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227054a531dd9ee2/Desktop/GMU DAEN Final project/Model/"/>
    </mc:Choice>
  </mc:AlternateContent>
  <xr:revisionPtr revIDLastSave="399" documentId="8_{5C408E60-1BB5-48E7-A7EC-FDD41BC7460B}" xr6:coauthVersionLast="47" xr6:coauthVersionMax="47" xr10:uidLastSave="{B5C3D449-0E88-43BA-8454-8E48D059F8EF}"/>
  <bookViews>
    <workbookView minimized="1" xWindow="345" yWindow="1800" windowWidth="24525" windowHeight="11295" firstSheet="13" activeTab="22" xr2:uid="{00000000-000D-0000-FFFF-FFFF00000000}"/>
  </bookViews>
  <sheets>
    <sheet name="2009" sheetId="1" r:id="rId1"/>
    <sheet name="2010" sheetId="2" r:id="rId2"/>
    <sheet name="hp" sheetId="4" r:id="rId3"/>
    <sheet name="2013" sheetId="5" r:id="rId4"/>
    <sheet name="2011" sheetId="3" r:id="rId5"/>
    <sheet name="2014" sheetId="6" r:id="rId6"/>
    <sheet name="2015" sheetId="7" r:id="rId7"/>
    <sheet name="2015 Tasting Room and Bulk Wine" sheetId="8" r:id="rId8"/>
    <sheet name="2016" sheetId="9" r:id="rId9"/>
    <sheet name="2017" sheetId="10" r:id="rId10"/>
    <sheet name="2018" sheetId="11" r:id="rId11"/>
    <sheet name="2019" sheetId="12" r:id="rId12"/>
    <sheet name="2020" sheetId="13" r:id="rId13"/>
    <sheet name="2021" sheetId="14" r:id="rId14"/>
    <sheet name="2022" sheetId="15" r:id="rId15"/>
    <sheet name="2023" sheetId="16" r:id="rId16"/>
    <sheet name="2024" sheetId="17" r:id="rId17"/>
    <sheet name="2025" sheetId="19" r:id="rId18"/>
    <sheet name="2026" sheetId="21" r:id="rId19"/>
    <sheet name="Crush_Calculator" sheetId="33" r:id="rId20"/>
    <sheet name="Class3_MRP" sheetId="47" r:id="rId21"/>
    <sheet name="Class2_MRP" sheetId="46" r:id="rId22"/>
    <sheet name="Class1_MRP" sheetId="45" r:id="rId23"/>
  </sheets>
  <definedNames>
    <definedName name="_xlnm.Print_Area" localSheetId="1">'2010'!$A$5:$Q$41</definedName>
    <definedName name="_xlnm.Print_Area" localSheetId="11">'2019'!$A$8:$T$73</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 i="33" l="1"/>
  <c r="V19" i="33"/>
  <c r="V20" i="33"/>
  <c r="V21" i="33"/>
  <c r="V22" i="33"/>
  <c r="V23" i="33"/>
  <c r="V24" i="33"/>
  <c r="V25" i="33"/>
  <c r="V17" i="33"/>
  <c r="V3" i="33"/>
  <c r="V4" i="33"/>
  <c r="V5" i="33"/>
  <c r="V6" i="33"/>
  <c r="V7" i="33"/>
  <c r="V8" i="33"/>
  <c r="V9" i="33"/>
  <c r="V10" i="33"/>
  <c r="V11" i="33"/>
  <c r="V2" i="33"/>
  <c r="U28" i="33"/>
  <c r="T26" i="33"/>
  <c r="S26" i="33"/>
  <c r="R26" i="33"/>
  <c r="Q26" i="33"/>
  <c r="P26" i="33"/>
  <c r="O26" i="33"/>
  <c r="N26" i="33"/>
  <c r="M26" i="33"/>
  <c r="L26" i="33"/>
  <c r="U14" i="33"/>
  <c r="S12" i="33"/>
  <c r="Q12" i="33"/>
  <c r="P12" i="33"/>
  <c r="O12" i="33"/>
  <c r="N12" i="33"/>
  <c r="M12" i="33"/>
  <c r="L12" i="33"/>
  <c r="U30" i="33" l="1"/>
  <c r="V28" i="33"/>
  <c r="V14" i="33"/>
  <c r="V30" i="33" l="1"/>
  <c r="H96" i="21"/>
  <c r="H95" i="21"/>
  <c r="H94" i="21"/>
  <c r="H93" i="21"/>
  <c r="H92" i="21"/>
  <c r="H91" i="21"/>
  <c r="H90" i="21"/>
  <c r="T75" i="21"/>
  <c r="S75" i="21"/>
  <c r="V75" i="21" s="1"/>
  <c r="U75" i="21" s="1"/>
  <c r="G95" i="21"/>
  <c r="G94" i="21"/>
  <c r="G93" i="21"/>
  <c r="G92" i="21"/>
  <c r="G91" i="21"/>
  <c r="G90" i="21"/>
  <c r="Q93" i="21"/>
  <c r="P93" i="21"/>
  <c r="O93" i="21"/>
  <c r="N93" i="21"/>
  <c r="M93" i="21"/>
  <c r="L93" i="21"/>
  <c r="K93" i="21"/>
  <c r="J93" i="21"/>
  <c r="I93" i="21"/>
  <c r="F93" i="21"/>
  <c r="E93" i="21"/>
  <c r="T32" i="21"/>
  <c r="S32" i="21"/>
  <c r="V32" i="21" s="1"/>
  <c r="U32" i="21" s="1"/>
  <c r="O95" i="19"/>
  <c r="N95" i="19"/>
  <c r="M95" i="19"/>
  <c r="L95" i="19"/>
  <c r="K95" i="19"/>
  <c r="J95" i="19"/>
  <c r="I95" i="19"/>
  <c r="H95" i="19"/>
  <c r="G95" i="19"/>
  <c r="T88" i="19"/>
  <c r="S88" i="19"/>
  <c r="F88" i="19"/>
  <c r="T15" i="19"/>
  <c r="S15" i="19"/>
  <c r="F15" i="19"/>
  <c r="V15" i="19" s="1"/>
  <c r="U15" i="19" s="1"/>
  <c r="T12" i="21"/>
  <c r="S12" i="21"/>
  <c r="V12" i="21" s="1"/>
  <c r="R95" i="21"/>
  <c r="Q95" i="21"/>
  <c r="P95" i="21"/>
  <c r="O95" i="21"/>
  <c r="N95" i="21"/>
  <c r="M95" i="21"/>
  <c r="L95" i="21"/>
  <c r="K95" i="21"/>
  <c r="J95" i="21"/>
  <c r="I95" i="21"/>
  <c r="F95" i="21"/>
  <c r="E95" i="21"/>
  <c r="E96" i="21"/>
  <c r="T44" i="21"/>
  <c r="F96" i="21"/>
  <c r="R96" i="21"/>
  <c r="Q96" i="21"/>
  <c r="P96" i="21"/>
  <c r="O96" i="21"/>
  <c r="N96" i="21"/>
  <c r="M96" i="21"/>
  <c r="L96" i="21"/>
  <c r="K96" i="21"/>
  <c r="J96" i="21"/>
  <c r="I96" i="21"/>
  <c r="G96" i="21"/>
  <c r="T72" i="21"/>
  <c r="S72" i="21"/>
  <c r="V72" i="21" s="1"/>
  <c r="T40" i="21"/>
  <c r="S40" i="21"/>
  <c r="V40" i="21" s="1"/>
  <c r="D96" i="21"/>
  <c r="D95" i="21"/>
  <c r="D99" i="21"/>
  <c r="T88" i="21"/>
  <c r="S88" i="21"/>
  <c r="T87" i="21"/>
  <c r="S87" i="21"/>
  <c r="V87" i="21" s="1"/>
  <c r="T86" i="21"/>
  <c r="S86" i="21"/>
  <c r="V86" i="21" s="1"/>
  <c r="T85" i="21"/>
  <c r="S85" i="21"/>
  <c r="V85" i="21" s="1"/>
  <c r="U85" i="21" s="1"/>
  <c r="T84" i="21"/>
  <c r="S84" i="21"/>
  <c r="V84" i="21" s="1"/>
  <c r="T83" i="21"/>
  <c r="S83" i="21"/>
  <c r="V83" i="21" s="1"/>
  <c r="T82" i="21"/>
  <c r="S82" i="21"/>
  <c r="V82" i="21" s="1"/>
  <c r="U82" i="21" s="1"/>
  <c r="T81" i="21"/>
  <c r="S81" i="21"/>
  <c r="V81" i="21" s="1"/>
  <c r="T80" i="21"/>
  <c r="S80" i="21"/>
  <c r="V80" i="21" s="1"/>
  <c r="T79" i="21"/>
  <c r="S79" i="21"/>
  <c r="V79" i="21" s="1"/>
  <c r="T78" i="21"/>
  <c r="S78" i="21"/>
  <c r="V78" i="21" s="1"/>
  <c r="U78" i="21" s="1"/>
  <c r="T77" i="21"/>
  <c r="S77" i="21"/>
  <c r="V77" i="21" s="1"/>
  <c r="T76" i="21"/>
  <c r="S76" i="21"/>
  <c r="V76" i="21" s="1"/>
  <c r="T73" i="21"/>
  <c r="U73" i="21" s="1"/>
  <c r="S73" i="21"/>
  <c r="T74" i="21"/>
  <c r="S74" i="21"/>
  <c r="V74" i="21" s="1"/>
  <c r="R125" i="21"/>
  <c r="T127" i="21" s="1"/>
  <c r="R118" i="21"/>
  <c r="R114" i="21"/>
  <c r="R111" i="21"/>
  <c r="W99" i="21"/>
  <c r="Q94" i="21"/>
  <c r="P94" i="21"/>
  <c r="O94" i="21"/>
  <c r="N94" i="21"/>
  <c r="M94" i="21"/>
  <c r="L94" i="21"/>
  <c r="K94" i="21"/>
  <c r="J94" i="21"/>
  <c r="I94" i="21"/>
  <c r="F94" i="21"/>
  <c r="E94" i="21"/>
  <c r="Q92" i="21"/>
  <c r="P92" i="21"/>
  <c r="O92" i="21"/>
  <c r="N92" i="21"/>
  <c r="M92" i="21"/>
  <c r="L92" i="21"/>
  <c r="K92" i="21"/>
  <c r="J92" i="21"/>
  <c r="I92" i="21"/>
  <c r="F92" i="21"/>
  <c r="E92" i="21"/>
  <c r="Q91" i="21"/>
  <c r="P91" i="21"/>
  <c r="O91" i="21"/>
  <c r="N91" i="21"/>
  <c r="M91" i="21"/>
  <c r="L91" i="21"/>
  <c r="K91" i="21"/>
  <c r="J91" i="21"/>
  <c r="I91" i="21"/>
  <c r="F91" i="21"/>
  <c r="E91" i="21"/>
  <c r="R90" i="21"/>
  <c r="Q90" i="21"/>
  <c r="P90" i="21"/>
  <c r="O90" i="21"/>
  <c r="N90" i="21"/>
  <c r="M90" i="21"/>
  <c r="L90" i="21"/>
  <c r="K90" i="21"/>
  <c r="J90" i="21"/>
  <c r="I90" i="21"/>
  <c r="F90" i="21"/>
  <c r="E90" i="21"/>
  <c r="T89" i="21"/>
  <c r="U89" i="21" s="1"/>
  <c r="S89" i="21"/>
  <c r="T71" i="21"/>
  <c r="S71" i="21"/>
  <c r="V71" i="21" s="1"/>
  <c r="T70" i="21"/>
  <c r="S70" i="21"/>
  <c r="V70" i="21" s="1"/>
  <c r="T69" i="21"/>
  <c r="S69" i="21"/>
  <c r="V69" i="21" s="1"/>
  <c r="T68" i="21"/>
  <c r="S68" i="21"/>
  <c r="V68" i="21" s="1"/>
  <c r="T67" i="21"/>
  <c r="S67" i="21"/>
  <c r="V67" i="21" s="1"/>
  <c r="T66" i="21"/>
  <c r="S66" i="21"/>
  <c r="V66" i="21" s="1"/>
  <c r="T65" i="21"/>
  <c r="S65" i="21"/>
  <c r="V65" i="21" s="1"/>
  <c r="T64" i="21"/>
  <c r="S64" i="21"/>
  <c r="V64" i="21" s="1"/>
  <c r="T63" i="21"/>
  <c r="S63" i="21"/>
  <c r="V63" i="21" s="1"/>
  <c r="U63" i="21" s="1"/>
  <c r="T62" i="21"/>
  <c r="S62" i="21"/>
  <c r="V62" i="21" s="1"/>
  <c r="T61" i="21"/>
  <c r="S61" i="21"/>
  <c r="T59" i="21"/>
  <c r="S59" i="21"/>
  <c r="V59" i="21" s="1"/>
  <c r="T58" i="21"/>
  <c r="S58" i="21"/>
  <c r="V58" i="21" s="1"/>
  <c r="T57" i="21"/>
  <c r="S57" i="21"/>
  <c r="V57" i="21" s="1"/>
  <c r="T56" i="21"/>
  <c r="S56" i="21"/>
  <c r="V56" i="21" s="1"/>
  <c r="T55" i="21"/>
  <c r="S55" i="21"/>
  <c r="V55" i="21" s="1"/>
  <c r="T54" i="21"/>
  <c r="S54" i="21"/>
  <c r="V54" i="21" s="1"/>
  <c r="T53" i="21"/>
  <c r="S53" i="21"/>
  <c r="V53" i="21" s="1"/>
  <c r="T52" i="21"/>
  <c r="S52" i="21"/>
  <c r="T51" i="21"/>
  <c r="U51" i="21" s="1"/>
  <c r="S51" i="21"/>
  <c r="T49" i="21"/>
  <c r="S49" i="21"/>
  <c r="V49" i="21" s="1"/>
  <c r="T48" i="21"/>
  <c r="S48" i="21"/>
  <c r="V48" i="21" s="1"/>
  <c r="T46" i="21"/>
  <c r="S46" i="21"/>
  <c r="V46" i="21" s="1"/>
  <c r="T45" i="21"/>
  <c r="S45" i="21"/>
  <c r="V45" i="21" s="1"/>
  <c r="S44" i="21"/>
  <c r="V44" i="21" s="1"/>
  <c r="T43" i="21"/>
  <c r="S43" i="21"/>
  <c r="V43" i="21" s="1"/>
  <c r="T42" i="21"/>
  <c r="S42" i="21"/>
  <c r="V42" i="21" s="1"/>
  <c r="T39" i="21"/>
  <c r="S39" i="21"/>
  <c r="V39" i="21" s="1"/>
  <c r="U39" i="21" s="1"/>
  <c r="T37" i="21"/>
  <c r="S37" i="21"/>
  <c r="V37" i="21" s="1"/>
  <c r="T36" i="21"/>
  <c r="S36" i="21"/>
  <c r="V36" i="21" s="1"/>
  <c r="T30" i="21"/>
  <c r="S30" i="21"/>
  <c r="V30" i="21" s="1"/>
  <c r="T28" i="21"/>
  <c r="S28" i="21"/>
  <c r="V28" i="21" s="1"/>
  <c r="T27" i="21"/>
  <c r="S27" i="21"/>
  <c r="V27" i="21" s="1"/>
  <c r="T26" i="21"/>
  <c r="S26" i="21"/>
  <c r="V26" i="21" s="1"/>
  <c r="T25" i="21"/>
  <c r="S25" i="21"/>
  <c r="V25" i="21" s="1"/>
  <c r="U25" i="21" s="1"/>
  <c r="T20" i="21"/>
  <c r="S20" i="21"/>
  <c r="V20" i="21" s="1"/>
  <c r="U20" i="21" s="1"/>
  <c r="S14" i="21"/>
  <c r="T9" i="21"/>
  <c r="S9" i="21"/>
  <c r="V9" i="21" s="1"/>
  <c r="S11" i="19"/>
  <c r="V11" i="19" s="1"/>
  <c r="T11" i="19"/>
  <c r="S12" i="19"/>
  <c r="T12" i="19"/>
  <c r="V12" i="19"/>
  <c r="S13" i="19"/>
  <c r="V13" i="19" s="1"/>
  <c r="U13" i="19" s="1"/>
  <c r="T13" i="19"/>
  <c r="H97" i="21" l="1"/>
  <c r="U49" i="21"/>
  <c r="P97" i="21"/>
  <c r="Q97" i="21"/>
  <c r="K97" i="21"/>
  <c r="U84" i="21"/>
  <c r="E97" i="21"/>
  <c r="L97" i="21"/>
  <c r="M97" i="21"/>
  <c r="N97" i="21"/>
  <c r="O97" i="21"/>
  <c r="U86" i="21"/>
  <c r="G97" i="21"/>
  <c r="U83" i="21"/>
  <c r="F97" i="21"/>
  <c r="I97" i="21"/>
  <c r="J97" i="21"/>
  <c r="U45" i="21"/>
  <c r="U79" i="21"/>
  <c r="V88" i="19"/>
  <c r="U88" i="19" s="1"/>
  <c r="U40" i="21"/>
  <c r="U12" i="21"/>
  <c r="U12" i="19"/>
  <c r="U11" i="19"/>
  <c r="S96" i="21"/>
  <c r="V96" i="21" s="1"/>
  <c r="V61" i="21"/>
  <c r="U61" i="21" s="1"/>
  <c r="U48" i="21"/>
  <c r="U77" i="21"/>
  <c r="U72" i="21"/>
  <c r="U65" i="21"/>
  <c r="T47" i="21"/>
  <c r="S47" i="21"/>
  <c r="V47" i="21" s="1"/>
  <c r="U47" i="21" s="1"/>
  <c r="T41" i="21"/>
  <c r="S41" i="21"/>
  <c r="V41" i="21" s="1"/>
  <c r="T24" i="21"/>
  <c r="S24" i="21"/>
  <c r="V24" i="21" s="1"/>
  <c r="U87" i="21"/>
  <c r="U62" i="21"/>
  <c r="V88" i="21"/>
  <c r="U88" i="21" s="1"/>
  <c r="U80" i="21"/>
  <c r="U81" i="21"/>
  <c r="U74" i="21"/>
  <c r="U44" i="21"/>
  <c r="U76" i="21"/>
  <c r="U43" i="21"/>
  <c r="U57" i="21"/>
  <c r="U30" i="21"/>
  <c r="U9" i="21"/>
  <c r="U59" i="21"/>
  <c r="U55" i="21"/>
  <c r="U53" i="21"/>
  <c r="U64" i="21"/>
  <c r="U36" i="21"/>
  <c r="U37" i="21"/>
  <c r="U56" i="21"/>
  <c r="U54" i="21"/>
  <c r="U58" i="21"/>
  <c r="U27" i="21"/>
  <c r="U69" i="21"/>
  <c r="U42" i="21"/>
  <c r="U28" i="21"/>
  <c r="U26" i="21"/>
  <c r="U46" i="21"/>
  <c r="U68" i="21"/>
  <c r="U67" i="21"/>
  <c r="U70" i="21"/>
  <c r="U66" i="21"/>
  <c r="U71" i="21"/>
  <c r="T50" i="21"/>
  <c r="S50" i="21"/>
  <c r="V50" i="21" s="1"/>
  <c r="S38" i="21"/>
  <c r="V38" i="21" s="1"/>
  <c r="T38" i="21"/>
  <c r="T31" i="21"/>
  <c r="S31" i="21"/>
  <c r="T19" i="21"/>
  <c r="S19" i="21"/>
  <c r="V19" i="21" s="1"/>
  <c r="T16" i="21"/>
  <c r="S16" i="21"/>
  <c r="V16" i="21" s="1"/>
  <c r="T13" i="21"/>
  <c r="S13" i="21"/>
  <c r="V13" i="21" s="1"/>
  <c r="R128" i="21"/>
  <c r="R130" i="21" s="1"/>
  <c r="T120" i="21"/>
  <c r="T90" i="21"/>
  <c r="S90" i="21"/>
  <c r="V90" i="21" s="1"/>
  <c r="T60" i="21"/>
  <c r="T95" i="21" s="1"/>
  <c r="S60" i="21"/>
  <c r="V52" i="21"/>
  <c r="T35" i="21"/>
  <c r="S35" i="21"/>
  <c r="V35" i="21" s="1"/>
  <c r="T34" i="21"/>
  <c r="S34" i="21"/>
  <c r="R94" i="21"/>
  <c r="S29" i="21"/>
  <c r="V29" i="21" s="1"/>
  <c r="T29" i="21"/>
  <c r="S23" i="21"/>
  <c r="V23" i="21" s="1"/>
  <c r="T23" i="21"/>
  <c r="S22" i="21"/>
  <c r="V22" i="21" s="1"/>
  <c r="T22" i="21"/>
  <c r="R93" i="21"/>
  <c r="T18" i="21"/>
  <c r="S18" i="21"/>
  <c r="V18" i="21" s="1"/>
  <c r="T17" i="21"/>
  <c r="S17" i="21"/>
  <c r="V17" i="21" s="1"/>
  <c r="T15" i="21"/>
  <c r="R92" i="21"/>
  <c r="S15" i="21"/>
  <c r="V15" i="21" s="1"/>
  <c r="R91" i="21"/>
  <c r="S11" i="21"/>
  <c r="V11" i="21" s="1"/>
  <c r="T11" i="21"/>
  <c r="R90" i="19"/>
  <c r="R76" i="19"/>
  <c r="R95" i="19" s="1"/>
  <c r="R53" i="19"/>
  <c r="R48" i="19"/>
  <c r="R47" i="19"/>
  <c r="R43" i="19"/>
  <c r="R41" i="19"/>
  <c r="R33" i="19"/>
  <c r="R31" i="19"/>
  <c r="R25" i="19"/>
  <c r="R24" i="19"/>
  <c r="R23" i="19"/>
  <c r="R22" i="19"/>
  <c r="R21" i="19"/>
  <c r="R17" i="19"/>
  <c r="R14" i="19"/>
  <c r="R91" i="19" s="1"/>
  <c r="R65" i="19"/>
  <c r="R124" i="19"/>
  <c r="T126" i="19" s="1"/>
  <c r="R113" i="19"/>
  <c r="R117" i="19"/>
  <c r="R110" i="19"/>
  <c r="AE124" i="19"/>
  <c r="E95" i="19"/>
  <c r="Q95" i="19"/>
  <c r="Q94" i="19"/>
  <c r="Q93" i="19"/>
  <c r="Q92" i="19"/>
  <c r="Q91" i="19"/>
  <c r="Q90" i="19"/>
  <c r="P95" i="19"/>
  <c r="P94" i="19"/>
  <c r="P93" i="19"/>
  <c r="P92" i="19"/>
  <c r="P91" i="19"/>
  <c r="P90" i="19"/>
  <c r="O94" i="19"/>
  <c r="O93" i="19"/>
  <c r="O92" i="19"/>
  <c r="O91" i="19"/>
  <c r="O90" i="19"/>
  <c r="N94" i="19"/>
  <c r="N93" i="19"/>
  <c r="N92" i="19"/>
  <c r="N91" i="19"/>
  <c r="N90" i="19"/>
  <c r="F76" i="19"/>
  <c r="F77" i="19"/>
  <c r="M94" i="19"/>
  <c r="M93" i="19"/>
  <c r="M92" i="19"/>
  <c r="M91" i="19"/>
  <c r="M90" i="19"/>
  <c r="O96" i="19" l="1"/>
  <c r="R97" i="21"/>
  <c r="R93" i="19"/>
  <c r="F95" i="19"/>
  <c r="U41" i="21"/>
  <c r="V60" i="21"/>
  <c r="S95" i="21"/>
  <c r="M96" i="19"/>
  <c r="Q96" i="19"/>
  <c r="T93" i="21"/>
  <c r="S93" i="21"/>
  <c r="V93" i="21" s="1"/>
  <c r="S94" i="21"/>
  <c r="V94" i="21" s="1"/>
  <c r="U24" i="21"/>
  <c r="U50" i="21"/>
  <c r="T96" i="21"/>
  <c r="U96" i="21" s="1"/>
  <c r="V95" i="21"/>
  <c r="U95" i="21" s="1"/>
  <c r="U90" i="21"/>
  <c r="U16" i="21"/>
  <c r="U19" i="21"/>
  <c r="U18" i="21"/>
  <c r="U13" i="21"/>
  <c r="U60" i="21"/>
  <c r="T94" i="21"/>
  <c r="V31" i="21"/>
  <c r="U31" i="21" s="1"/>
  <c r="U35" i="21"/>
  <c r="U38" i="21"/>
  <c r="U15" i="21"/>
  <c r="S92" i="21"/>
  <c r="V92" i="21" s="1"/>
  <c r="T92" i="21"/>
  <c r="S91" i="21"/>
  <c r="V91" i="21" s="1"/>
  <c r="T91" i="21"/>
  <c r="U52" i="21"/>
  <c r="V34" i="21"/>
  <c r="U29" i="21"/>
  <c r="U23" i="21"/>
  <c r="U22" i="21"/>
  <c r="U17" i="21"/>
  <c r="U11" i="21"/>
  <c r="R92" i="19"/>
  <c r="P96" i="19"/>
  <c r="R94" i="19"/>
  <c r="R127" i="19"/>
  <c r="R129" i="19" s="1"/>
  <c r="T119" i="19"/>
  <c r="N96" i="19"/>
  <c r="S30" i="19"/>
  <c r="V30" i="19" s="1"/>
  <c r="T30" i="19"/>
  <c r="L94" i="19"/>
  <c r="L93" i="19"/>
  <c r="L92" i="19"/>
  <c r="L91" i="19"/>
  <c r="L90" i="19"/>
  <c r="K94" i="19"/>
  <c r="K93" i="19"/>
  <c r="K92" i="19"/>
  <c r="K91" i="19"/>
  <c r="K90" i="19"/>
  <c r="J94" i="19"/>
  <c r="J93" i="19"/>
  <c r="J92" i="19"/>
  <c r="J91" i="19"/>
  <c r="J90" i="19"/>
  <c r="S17" i="19"/>
  <c r="V17" i="19" s="1"/>
  <c r="T75" i="19"/>
  <c r="S75" i="19"/>
  <c r="V75" i="19" s="1"/>
  <c r="T71" i="19"/>
  <c r="S71" i="19"/>
  <c r="V71" i="19" s="1"/>
  <c r="U71" i="19" s="1"/>
  <c r="I94" i="19"/>
  <c r="I93" i="19"/>
  <c r="I92" i="19"/>
  <c r="I91" i="19"/>
  <c r="I90" i="19"/>
  <c r="T69" i="19"/>
  <c r="S69" i="19"/>
  <c r="V69" i="19" s="1"/>
  <c r="H94" i="19"/>
  <c r="H93" i="19"/>
  <c r="H92" i="19"/>
  <c r="H91" i="19"/>
  <c r="H90" i="19"/>
  <c r="S95" i="19"/>
  <c r="V95" i="19" s="1"/>
  <c r="G94" i="19"/>
  <c r="G93" i="19"/>
  <c r="G92" i="19"/>
  <c r="G91" i="19"/>
  <c r="G90" i="19"/>
  <c r="D98" i="19"/>
  <c r="T77" i="19"/>
  <c r="S77" i="19"/>
  <c r="V77" i="19" s="1"/>
  <c r="T87" i="19"/>
  <c r="S87" i="19"/>
  <c r="V87" i="19" s="1"/>
  <c r="T86" i="19"/>
  <c r="S86" i="19"/>
  <c r="V86" i="19" s="1"/>
  <c r="T85" i="19"/>
  <c r="S85" i="19"/>
  <c r="V85" i="19" s="1"/>
  <c r="T84" i="19"/>
  <c r="S84" i="19"/>
  <c r="V84" i="19" s="1"/>
  <c r="T83" i="19"/>
  <c r="S83" i="19"/>
  <c r="V83" i="19" s="1"/>
  <c r="T82" i="19"/>
  <c r="S82" i="19"/>
  <c r="V82" i="19" s="1"/>
  <c r="T81" i="19"/>
  <c r="S81" i="19"/>
  <c r="V81" i="19" s="1"/>
  <c r="T80" i="19"/>
  <c r="S80" i="19"/>
  <c r="V80" i="19" s="1"/>
  <c r="T79" i="19"/>
  <c r="S79" i="19"/>
  <c r="V79" i="19" s="1"/>
  <c r="T78" i="19"/>
  <c r="S78" i="19"/>
  <c r="V78" i="19" s="1"/>
  <c r="U78" i="19" s="1"/>
  <c r="T76" i="19"/>
  <c r="S76" i="19"/>
  <c r="V76" i="19" s="1"/>
  <c r="T74" i="19"/>
  <c r="S74" i="19"/>
  <c r="V74" i="19" s="1"/>
  <c r="T73" i="19"/>
  <c r="S73" i="19"/>
  <c r="V73" i="19" s="1"/>
  <c r="E91" i="19"/>
  <c r="T72" i="19"/>
  <c r="S72" i="19"/>
  <c r="V72" i="19" s="1"/>
  <c r="T70" i="19"/>
  <c r="S70" i="19"/>
  <c r="V70" i="19" s="1"/>
  <c r="T68" i="19"/>
  <c r="S68" i="19"/>
  <c r="V68" i="19" s="1"/>
  <c r="T67" i="19"/>
  <c r="U67" i="19" s="1"/>
  <c r="S67" i="19"/>
  <c r="W98" i="19"/>
  <c r="F94" i="19"/>
  <c r="E94" i="19"/>
  <c r="F93" i="19"/>
  <c r="E93" i="19"/>
  <c r="F92" i="19"/>
  <c r="E92" i="19"/>
  <c r="F91" i="19"/>
  <c r="F90" i="19"/>
  <c r="F96" i="19" s="1"/>
  <c r="E90" i="19"/>
  <c r="T89" i="19"/>
  <c r="U89" i="19" s="1"/>
  <c r="S89" i="19"/>
  <c r="T66" i="19"/>
  <c r="S66" i="19"/>
  <c r="V66" i="19" s="1"/>
  <c r="T65" i="19"/>
  <c r="S65" i="19"/>
  <c r="V65" i="19" s="1"/>
  <c r="T64" i="19"/>
  <c r="S64" i="19"/>
  <c r="V64" i="19" s="1"/>
  <c r="T63" i="19"/>
  <c r="S63" i="19"/>
  <c r="V63" i="19" s="1"/>
  <c r="T62" i="19"/>
  <c r="S62" i="19"/>
  <c r="V62" i="19" s="1"/>
  <c r="T61" i="19"/>
  <c r="S61" i="19"/>
  <c r="V61" i="19" s="1"/>
  <c r="T60" i="19"/>
  <c r="S60" i="19"/>
  <c r="V60" i="19" s="1"/>
  <c r="T59" i="19"/>
  <c r="S59" i="19"/>
  <c r="V59" i="19" s="1"/>
  <c r="T58" i="19"/>
  <c r="S58" i="19"/>
  <c r="V58" i="19" s="1"/>
  <c r="T57" i="19"/>
  <c r="S57" i="19"/>
  <c r="V57" i="19" s="1"/>
  <c r="T56" i="19"/>
  <c r="S56" i="19"/>
  <c r="V56" i="19" s="1"/>
  <c r="T55" i="19"/>
  <c r="S55" i="19"/>
  <c r="V55" i="19" s="1"/>
  <c r="T54" i="19"/>
  <c r="S54" i="19"/>
  <c r="V54" i="19" s="1"/>
  <c r="T53" i="19"/>
  <c r="S53" i="19"/>
  <c r="V53" i="19" s="1"/>
  <c r="T52" i="19"/>
  <c r="S52" i="19"/>
  <c r="V52" i="19" s="1"/>
  <c r="T51" i="19"/>
  <c r="S51" i="19"/>
  <c r="V51" i="19" s="1"/>
  <c r="T50" i="19"/>
  <c r="S50" i="19"/>
  <c r="V50" i="19" s="1"/>
  <c r="T49" i="19"/>
  <c r="S49" i="19"/>
  <c r="V49" i="19" s="1"/>
  <c r="U49" i="19" s="1"/>
  <c r="T48" i="19"/>
  <c r="S48" i="19"/>
  <c r="V48" i="19" s="1"/>
  <c r="T47" i="19"/>
  <c r="S47" i="19"/>
  <c r="V47" i="19" s="1"/>
  <c r="T45" i="19"/>
  <c r="S45" i="19"/>
  <c r="V45" i="19" s="1"/>
  <c r="T44" i="19"/>
  <c r="S44" i="19"/>
  <c r="V44" i="19" s="1"/>
  <c r="T43" i="19"/>
  <c r="S43" i="19"/>
  <c r="V43" i="19" s="1"/>
  <c r="T42" i="19"/>
  <c r="S42" i="19"/>
  <c r="V42" i="19" s="1"/>
  <c r="T41" i="19"/>
  <c r="S41" i="19"/>
  <c r="V41" i="19" s="1"/>
  <c r="T40" i="19"/>
  <c r="S40" i="19"/>
  <c r="V40" i="19" s="1"/>
  <c r="T39" i="19"/>
  <c r="S39" i="19"/>
  <c r="V39" i="19" s="1"/>
  <c r="T38" i="19"/>
  <c r="S38" i="19"/>
  <c r="V38" i="19" s="1"/>
  <c r="T37" i="19"/>
  <c r="S37" i="19"/>
  <c r="V37" i="19" s="1"/>
  <c r="T36" i="19"/>
  <c r="S36" i="19"/>
  <c r="V36" i="19" s="1"/>
  <c r="T35" i="19"/>
  <c r="S35" i="19"/>
  <c r="V35" i="19" s="1"/>
  <c r="T34" i="19"/>
  <c r="S34" i="19"/>
  <c r="V34" i="19" s="1"/>
  <c r="T33" i="19"/>
  <c r="S33" i="19"/>
  <c r="V33" i="19" s="1"/>
  <c r="T32" i="19"/>
  <c r="S32" i="19"/>
  <c r="V32" i="19" s="1"/>
  <c r="T31" i="19"/>
  <c r="S31" i="19"/>
  <c r="V31" i="19" s="1"/>
  <c r="T28" i="19"/>
  <c r="S28" i="19"/>
  <c r="V28" i="19" s="1"/>
  <c r="T27" i="19"/>
  <c r="S27" i="19"/>
  <c r="V27" i="19" s="1"/>
  <c r="T26" i="19"/>
  <c r="S26" i="19"/>
  <c r="V26" i="19" s="1"/>
  <c r="T25" i="19"/>
  <c r="S25" i="19"/>
  <c r="V25" i="19" s="1"/>
  <c r="T24" i="19"/>
  <c r="S24" i="19"/>
  <c r="V24" i="19" s="1"/>
  <c r="T23" i="19"/>
  <c r="S23" i="19"/>
  <c r="V23" i="19" s="1"/>
  <c r="T22" i="19"/>
  <c r="S22" i="19"/>
  <c r="V22" i="19" s="1"/>
  <c r="T21" i="19"/>
  <c r="S21" i="19"/>
  <c r="V21" i="19" s="1"/>
  <c r="T20" i="19"/>
  <c r="S20" i="19"/>
  <c r="V20" i="19" s="1"/>
  <c r="T19" i="19"/>
  <c r="S19" i="19"/>
  <c r="V19" i="19" s="1"/>
  <c r="S18" i="19"/>
  <c r="T17" i="19"/>
  <c r="T16" i="19"/>
  <c r="S16" i="19"/>
  <c r="V16" i="19" s="1"/>
  <c r="T14" i="19"/>
  <c r="S14" i="19"/>
  <c r="V14" i="19" s="1"/>
  <c r="T9" i="19"/>
  <c r="S9" i="19"/>
  <c r="V9" i="19" s="1"/>
  <c r="F92" i="17"/>
  <c r="F91" i="17"/>
  <c r="F90" i="17"/>
  <c r="F89" i="17"/>
  <c r="F87" i="17"/>
  <c r="R92" i="17"/>
  <c r="R91" i="17"/>
  <c r="R90" i="17"/>
  <c r="R89" i="17"/>
  <c r="R88" i="17"/>
  <c r="R87" i="17"/>
  <c r="R106" i="17"/>
  <c r="R121" i="17" s="1"/>
  <c r="R123" i="17" s="1"/>
  <c r="AE99" i="17"/>
  <c r="S57" i="17"/>
  <c r="V57" i="17" s="1"/>
  <c r="U57" i="17" s="1"/>
  <c r="T57" i="17"/>
  <c r="S73" i="17"/>
  <c r="V73" i="17" s="1"/>
  <c r="T73" i="17"/>
  <c r="U73" i="17" l="1"/>
  <c r="R93" i="17"/>
  <c r="R96" i="19"/>
  <c r="I96" i="19"/>
  <c r="S92" i="19"/>
  <c r="U73" i="19"/>
  <c r="S91" i="19"/>
  <c r="V91" i="19" s="1"/>
  <c r="S94" i="19"/>
  <c r="V94" i="19" s="1"/>
  <c r="S93" i="19"/>
  <c r="V93" i="19" s="1"/>
  <c r="U75" i="19"/>
  <c r="U93" i="21"/>
  <c r="U91" i="21"/>
  <c r="U92" i="21"/>
  <c r="U34" i="21"/>
  <c r="U94" i="21"/>
  <c r="S97" i="21"/>
  <c r="T97" i="21"/>
  <c r="U80" i="19"/>
  <c r="U41" i="19"/>
  <c r="U30" i="19"/>
  <c r="U85" i="19"/>
  <c r="L96" i="19"/>
  <c r="U84" i="19"/>
  <c r="U69" i="19"/>
  <c r="J96" i="19"/>
  <c r="K96" i="19"/>
  <c r="H96" i="19"/>
  <c r="U82" i="19"/>
  <c r="G96" i="19"/>
  <c r="T95" i="19"/>
  <c r="U74" i="19"/>
  <c r="U79" i="19"/>
  <c r="U86" i="19"/>
  <c r="U87" i="19"/>
  <c r="U81" i="19"/>
  <c r="U77" i="19"/>
  <c r="U83" i="19"/>
  <c r="U55" i="19"/>
  <c r="U72" i="19"/>
  <c r="U76" i="19"/>
  <c r="U50" i="19"/>
  <c r="U70" i="19"/>
  <c r="U68" i="19"/>
  <c r="U65" i="19"/>
  <c r="U25" i="19"/>
  <c r="U39" i="19"/>
  <c r="U48" i="19"/>
  <c r="U34" i="19"/>
  <c r="U23" i="19"/>
  <c r="U9" i="19"/>
  <c r="U24" i="19"/>
  <c r="U31" i="19"/>
  <c r="U54" i="19"/>
  <c r="U62" i="19"/>
  <c r="U35" i="19"/>
  <c r="U52" i="19"/>
  <c r="U26" i="19"/>
  <c r="U36" i="19"/>
  <c r="U59" i="19"/>
  <c r="U51" i="19"/>
  <c r="U58" i="19"/>
  <c r="U66" i="19"/>
  <c r="U60" i="19"/>
  <c r="U40" i="19"/>
  <c r="U64" i="19"/>
  <c r="U37" i="19"/>
  <c r="U21" i="19"/>
  <c r="U14" i="19"/>
  <c r="U28" i="19"/>
  <c r="U47" i="19"/>
  <c r="U53" i="19"/>
  <c r="U61" i="19"/>
  <c r="U20" i="19"/>
  <c r="U42" i="19"/>
  <c r="U56" i="19"/>
  <c r="U38" i="19"/>
  <c r="U43" i="19"/>
  <c r="U57" i="19"/>
  <c r="T92" i="19"/>
  <c r="U17" i="19"/>
  <c r="U22" i="19"/>
  <c r="U45" i="19"/>
  <c r="E96" i="19"/>
  <c r="U32" i="19"/>
  <c r="V92" i="19"/>
  <c r="T94" i="19"/>
  <c r="U19" i="19"/>
  <c r="U33" i="19"/>
  <c r="U63" i="19"/>
  <c r="U16" i="19"/>
  <c r="T93" i="19"/>
  <c r="U27" i="19"/>
  <c r="U44" i="19"/>
  <c r="T90" i="19"/>
  <c r="T91" i="19"/>
  <c r="S90" i="19"/>
  <c r="V90" i="19" s="1"/>
  <c r="T78" i="17"/>
  <c r="S78" i="17"/>
  <c r="V78" i="17" s="1"/>
  <c r="T76" i="17"/>
  <c r="S76" i="17"/>
  <c r="V76" i="17" s="1"/>
  <c r="Q92" i="17"/>
  <c r="Q91" i="17"/>
  <c r="Q90" i="17"/>
  <c r="Q89" i="17"/>
  <c r="Q88" i="17"/>
  <c r="Q87" i="17"/>
  <c r="S30" i="17"/>
  <c r="P92" i="17"/>
  <c r="P91" i="17"/>
  <c r="P90" i="17"/>
  <c r="P89" i="17"/>
  <c r="P88" i="17"/>
  <c r="P87" i="17"/>
  <c r="O92" i="17"/>
  <c r="O91" i="17"/>
  <c r="O90" i="17"/>
  <c r="O89" i="17"/>
  <c r="O88" i="17"/>
  <c r="O87" i="17"/>
  <c r="N92" i="17"/>
  <c r="N91" i="17"/>
  <c r="N90" i="17"/>
  <c r="N89" i="17"/>
  <c r="N88" i="17"/>
  <c r="N87" i="17"/>
  <c r="T26" i="17"/>
  <c r="V26" i="17"/>
  <c r="M92" i="17"/>
  <c r="M91" i="17"/>
  <c r="M90" i="17"/>
  <c r="M89" i="17"/>
  <c r="M88" i="17"/>
  <c r="M87" i="17"/>
  <c r="L92" i="17"/>
  <c r="L91" i="17"/>
  <c r="L90" i="17"/>
  <c r="L89" i="17"/>
  <c r="L88" i="17"/>
  <c r="L87" i="17"/>
  <c r="K92" i="17"/>
  <c r="K91" i="17"/>
  <c r="K90" i="17"/>
  <c r="K89" i="17"/>
  <c r="K88" i="17"/>
  <c r="K87" i="17"/>
  <c r="J92" i="17"/>
  <c r="J91" i="17"/>
  <c r="J90" i="17"/>
  <c r="J89" i="17"/>
  <c r="J88" i="17"/>
  <c r="J87" i="17"/>
  <c r="I92" i="17"/>
  <c r="I91" i="17"/>
  <c r="I90" i="17"/>
  <c r="I89" i="17"/>
  <c r="I88" i="17"/>
  <c r="I87" i="17"/>
  <c r="H91" i="17"/>
  <c r="H90" i="17"/>
  <c r="H89" i="17"/>
  <c r="H88" i="17"/>
  <c r="E92" i="17"/>
  <c r="W95" i="17"/>
  <c r="U78" i="17" l="1"/>
  <c r="V97" i="21"/>
  <c r="U95" i="19"/>
  <c r="U94" i="19"/>
  <c r="U93" i="19"/>
  <c r="U92" i="19"/>
  <c r="U90" i="19"/>
  <c r="U91" i="19"/>
  <c r="T96" i="19"/>
  <c r="S96" i="19"/>
  <c r="U76" i="17"/>
  <c r="U26" i="17"/>
  <c r="Q93" i="17"/>
  <c r="L93" i="17"/>
  <c r="P93" i="17"/>
  <c r="J93" i="17"/>
  <c r="O93" i="17"/>
  <c r="N93" i="17"/>
  <c r="I93" i="17"/>
  <c r="M93" i="17"/>
  <c r="K93" i="17"/>
  <c r="G92" i="17"/>
  <c r="H92" i="17"/>
  <c r="T85" i="17"/>
  <c r="S85" i="17"/>
  <c r="V85" i="17" s="1"/>
  <c r="T84" i="17"/>
  <c r="S84" i="17"/>
  <c r="V84" i="17" s="1"/>
  <c r="T83" i="17"/>
  <c r="S83" i="17"/>
  <c r="V83" i="17" s="1"/>
  <c r="T82" i="17"/>
  <c r="S82" i="17"/>
  <c r="V82" i="17" s="1"/>
  <c r="T81" i="17"/>
  <c r="S81" i="17"/>
  <c r="V81" i="17" s="1"/>
  <c r="T80" i="17"/>
  <c r="S80" i="17"/>
  <c r="V80" i="17" s="1"/>
  <c r="T79" i="17"/>
  <c r="S79" i="17"/>
  <c r="V79" i="17" s="1"/>
  <c r="T77" i="17"/>
  <c r="S77" i="17"/>
  <c r="V77" i="17" s="1"/>
  <c r="T75" i="17"/>
  <c r="S75" i="17"/>
  <c r="V75" i="17" s="1"/>
  <c r="T74" i="17"/>
  <c r="S74" i="17"/>
  <c r="V74" i="17" s="1"/>
  <c r="T72" i="17"/>
  <c r="S72" i="17"/>
  <c r="V72" i="17" s="1"/>
  <c r="T71" i="17"/>
  <c r="S71" i="17"/>
  <c r="V71" i="17" s="1"/>
  <c r="T70" i="17"/>
  <c r="S70" i="17"/>
  <c r="V70" i="17" s="1"/>
  <c r="T69" i="17"/>
  <c r="S69" i="17"/>
  <c r="V69" i="17" s="1"/>
  <c r="T68" i="17"/>
  <c r="S68" i="17"/>
  <c r="V68" i="17" s="1"/>
  <c r="U68" i="17" s="1"/>
  <c r="T67" i="17"/>
  <c r="S67" i="17"/>
  <c r="V67" i="17" s="1"/>
  <c r="T66" i="17"/>
  <c r="S66" i="17"/>
  <c r="V66" i="17" s="1"/>
  <c r="T65" i="17"/>
  <c r="S65" i="17"/>
  <c r="T13" i="17"/>
  <c r="S13" i="17"/>
  <c r="V13" i="17" s="1"/>
  <c r="U97" i="21" l="1"/>
  <c r="V96" i="19"/>
  <c r="U75" i="17"/>
  <c r="U74" i="17"/>
  <c r="U79" i="17"/>
  <c r="U69" i="17"/>
  <c r="U66" i="17"/>
  <c r="U82" i="17"/>
  <c r="U67" i="17"/>
  <c r="U77" i="17"/>
  <c r="U80" i="17"/>
  <c r="U72" i="17"/>
  <c r="U83" i="17"/>
  <c r="U85" i="17"/>
  <c r="U70" i="17"/>
  <c r="U81" i="17"/>
  <c r="U84" i="17"/>
  <c r="U71" i="17"/>
  <c r="T92" i="17"/>
  <c r="V65" i="17"/>
  <c r="S92" i="17"/>
  <c r="U13" i="17"/>
  <c r="U96" i="19" l="1"/>
  <c r="U65" i="17"/>
  <c r="V92" i="17"/>
  <c r="E87" i="17"/>
  <c r="G91" i="17" l="1"/>
  <c r="E91" i="17"/>
  <c r="G90" i="17"/>
  <c r="E90" i="17"/>
  <c r="G89" i="17"/>
  <c r="E89" i="17"/>
  <c r="G88" i="17"/>
  <c r="F88" i="17"/>
  <c r="E88" i="17"/>
  <c r="H87" i="17"/>
  <c r="H93" i="17" s="1"/>
  <c r="G87" i="17"/>
  <c r="T86" i="17"/>
  <c r="U86" i="17" s="1"/>
  <c r="S86" i="17"/>
  <c r="T63" i="17"/>
  <c r="S63" i="17"/>
  <c r="V63" i="17" s="1"/>
  <c r="T62" i="17"/>
  <c r="S62" i="17"/>
  <c r="V62" i="17" s="1"/>
  <c r="T61" i="17"/>
  <c r="S61" i="17"/>
  <c r="V61" i="17" s="1"/>
  <c r="T60" i="17"/>
  <c r="S60" i="17"/>
  <c r="V60" i="17" s="1"/>
  <c r="T59" i="17"/>
  <c r="S59" i="17"/>
  <c r="V59" i="17" s="1"/>
  <c r="T58" i="17"/>
  <c r="S58" i="17"/>
  <c r="V58" i="17" s="1"/>
  <c r="T56" i="17"/>
  <c r="S56" i="17"/>
  <c r="V56" i="17" s="1"/>
  <c r="T55" i="17"/>
  <c r="S55" i="17"/>
  <c r="V55" i="17" s="1"/>
  <c r="T54" i="17"/>
  <c r="S54" i="17"/>
  <c r="V54" i="17" s="1"/>
  <c r="T53" i="17"/>
  <c r="S53" i="17"/>
  <c r="V53" i="17" s="1"/>
  <c r="T52" i="17"/>
  <c r="S52" i="17"/>
  <c r="V52" i="17" s="1"/>
  <c r="T51" i="17"/>
  <c r="S51" i="17"/>
  <c r="V51" i="17" s="1"/>
  <c r="T50" i="17"/>
  <c r="S50" i="17"/>
  <c r="V50" i="17" s="1"/>
  <c r="T49" i="17"/>
  <c r="S49" i="17"/>
  <c r="V49" i="17" s="1"/>
  <c r="T48" i="17"/>
  <c r="S48" i="17"/>
  <c r="V48" i="17" s="1"/>
  <c r="T47" i="17"/>
  <c r="S47" i="17"/>
  <c r="V47" i="17" s="1"/>
  <c r="T46" i="17"/>
  <c r="S46" i="17"/>
  <c r="V46" i="17" s="1"/>
  <c r="T45" i="17"/>
  <c r="S45" i="17"/>
  <c r="V45" i="17" s="1"/>
  <c r="T44" i="17"/>
  <c r="S44" i="17"/>
  <c r="V44" i="17" s="1"/>
  <c r="T43" i="17"/>
  <c r="S43" i="17"/>
  <c r="V43" i="17" s="1"/>
  <c r="T42" i="17"/>
  <c r="S42" i="17"/>
  <c r="T40" i="17"/>
  <c r="S40" i="17"/>
  <c r="V40" i="17" s="1"/>
  <c r="T39" i="17"/>
  <c r="S39" i="17"/>
  <c r="V39" i="17" s="1"/>
  <c r="T38" i="17"/>
  <c r="S38" i="17"/>
  <c r="V38" i="17" s="1"/>
  <c r="T37" i="17"/>
  <c r="S37" i="17"/>
  <c r="V37" i="17" s="1"/>
  <c r="T36" i="17"/>
  <c r="S36" i="17"/>
  <c r="V36" i="17" s="1"/>
  <c r="T35" i="17"/>
  <c r="S35" i="17"/>
  <c r="V35" i="17" s="1"/>
  <c r="T34" i="17"/>
  <c r="S34" i="17"/>
  <c r="V34" i="17" s="1"/>
  <c r="T33" i="17"/>
  <c r="S33" i="17"/>
  <c r="V33" i="17" s="1"/>
  <c r="T32" i="17"/>
  <c r="S32" i="17"/>
  <c r="V32" i="17" s="1"/>
  <c r="T31" i="17"/>
  <c r="S31" i="17"/>
  <c r="V31" i="17" s="1"/>
  <c r="T30" i="17"/>
  <c r="V30" i="17"/>
  <c r="T29" i="17"/>
  <c r="S29" i="17"/>
  <c r="V29" i="17" s="1"/>
  <c r="T28" i="17"/>
  <c r="S28" i="17"/>
  <c r="V28" i="17" s="1"/>
  <c r="S27" i="17"/>
  <c r="T25" i="17"/>
  <c r="S25" i="17"/>
  <c r="V25" i="17" s="1"/>
  <c r="T24" i="17"/>
  <c r="S24" i="17"/>
  <c r="V24" i="17" s="1"/>
  <c r="T23" i="17"/>
  <c r="S23" i="17"/>
  <c r="V23" i="17" s="1"/>
  <c r="T22" i="17"/>
  <c r="S22" i="17"/>
  <c r="V22" i="17" s="1"/>
  <c r="T21" i="17"/>
  <c r="S21" i="17"/>
  <c r="V21" i="17" s="1"/>
  <c r="T20" i="17"/>
  <c r="S20" i="17"/>
  <c r="V20" i="17" s="1"/>
  <c r="T19" i="17"/>
  <c r="S19" i="17"/>
  <c r="V19" i="17" s="1"/>
  <c r="T18" i="17"/>
  <c r="S18" i="17"/>
  <c r="V18" i="17" s="1"/>
  <c r="T17" i="17"/>
  <c r="S17" i="17"/>
  <c r="V17" i="17" s="1"/>
  <c r="T16" i="17"/>
  <c r="S16" i="17"/>
  <c r="V16" i="17" s="1"/>
  <c r="T14" i="17"/>
  <c r="S14" i="17"/>
  <c r="V14" i="17" s="1"/>
  <c r="T12" i="17"/>
  <c r="S12" i="17"/>
  <c r="V12" i="17" s="1"/>
  <c r="T11" i="17"/>
  <c r="S11" i="17"/>
  <c r="V11" i="17" s="1"/>
  <c r="T9" i="17"/>
  <c r="S9" i="17"/>
  <c r="V9" i="17" s="1"/>
  <c r="R96" i="16"/>
  <c r="R95" i="16"/>
  <c r="R94" i="16"/>
  <c r="R93" i="16"/>
  <c r="R92" i="16"/>
  <c r="R91" i="16"/>
  <c r="R89" i="16"/>
  <c r="V62" i="16"/>
  <c r="F95" i="16"/>
  <c r="F94" i="16"/>
  <c r="F93" i="16"/>
  <c r="K93" i="16"/>
  <c r="L93" i="16"/>
  <c r="M93" i="16"/>
  <c r="N93" i="16"/>
  <c r="E94" i="16"/>
  <c r="E93" i="16"/>
  <c r="Q96" i="16"/>
  <c r="Q95" i="16"/>
  <c r="Q94" i="16"/>
  <c r="Q93" i="16"/>
  <c r="Q92" i="16"/>
  <c r="Q91" i="16"/>
  <c r="Q89" i="16"/>
  <c r="P96" i="16"/>
  <c r="P95" i="16"/>
  <c r="P94" i="16"/>
  <c r="P93" i="16"/>
  <c r="P92" i="16"/>
  <c r="P91" i="16"/>
  <c r="P89" i="16"/>
  <c r="X87" i="15"/>
  <c r="U50" i="17" l="1"/>
  <c r="E93" i="17"/>
  <c r="U24" i="17"/>
  <c r="U25" i="17"/>
  <c r="U9" i="17"/>
  <c r="U12" i="17"/>
  <c r="U20" i="17"/>
  <c r="U28" i="17"/>
  <c r="U36" i="17"/>
  <c r="U53" i="17"/>
  <c r="U30" i="17"/>
  <c r="U47" i="17"/>
  <c r="G93" i="17"/>
  <c r="U60" i="17"/>
  <c r="U19" i="17"/>
  <c r="F93" i="17"/>
  <c r="U17" i="17"/>
  <c r="U22" i="17"/>
  <c r="U44" i="17"/>
  <c r="U16" i="17"/>
  <c r="U38" i="17"/>
  <c r="U45" i="17"/>
  <c r="U51" i="17"/>
  <c r="U58" i="17"/>
  <c r="U35" i="17"/>
  <c r="U61" i="17"/>
  <c r="U33" i="17"/>
  <c r="U59" i="17"/>
  <c r="U37" i="17"/>
  <c r="U46" i="17"/>
  <c r="U54" i="17"/>
  <c r="U62" i="17"/>
  <c r="U52" i="17"/>
  <c r="U48" i="17"/>
  <c r="U32" i="17"/>
  <c r="U40" i="17"/>
  <c r="U55" i="17"/>
  <c r="U18" i="17"/>
  <c r="U11" i="17"/>
  <c r="U21" i="17"/>
  <c r="U14" i="17"/>
  <c r="U23" i="17"/>
  <c r="U43" i="17"/>
  <c r="U49" i="17"/>
  <c r="U56" i="17"/>
  <c r="U63" i="17"/>
  <c r="U31" i="17"/>
  <c r="U39" i="17"/>
  <c r="T91" i="17"/>
  <c r="U29" i="17"/>
  <c r="U34" i="17"/>
  <c r="S91" i="17"/>
  <c r="V91" i="17" s="1"/>
  <c r="V42" i="17"/>
  <c r="U42" i="17" s="1"/>
  <c r="T87" i="17"/>
  <c r="S87" i="17"/>
  <c r="V87" i="17" s="1"/>
  <c r="T88" i="17"/>
  <c r="S88" i="17"/>
  <c r="V88" i="17" s="1"/>
  <c r="T89" i="17"/>
  <c r="S89" i="17"/>
  <c r="V89" i="17" s="1"/>
  <c r="T90" i="17"/>
  <c r="S90" i="17"/>
  <c r="V90" i="17" s="1"/>
  <c r="R97" i="16"/>
  <c r="R95" i="17" s="1"/>
  <c r="R96" i="17" s="1"/>
  <c r="P97" i="16"/>
  <c r="P95" i="17" s="1"/>
  <c r="P96" i="17" s="1"/>
  <c r="Q97" i="16"/>
  <c r="Q95" i="17" s="1"/>
  <c r="Q96" i="17" s="1"/>
  <c r="O96" i="16"/>
  <c r="O95" i="16"/>
  <c r="O94" i="16"/>
  <c r="O93" i="16"/>
  <c r="O92" i="16"/>
  <c r="O91" i="16"/>
  <c r="O89" i="16"/>
  <c r="S60" i="16"/>
  <c r="V60" i="16" s="1"/>
  <c r="T60" i="16"/>
  <c r="S30" i="16"/>
  <c r="V30" i="16" s="1"/>
  <c r="T30" i="16"/>
  <c r="S67" i="16"/>
  <c r="V67" i="16" s="1"/>
  <c r="T67" i="16"/>
  <c r="S68" i="16"/>
  <c r="V68" i="16" s="1"/>
  <c r="T68" i="16"/>
  <c r="S72" i="16"/>
  <c r="V72" i="16" s="1"/>
  <c r="T72" i="16"/>
  <c r="E96" i="16"/>
  <c r="T87" i="16"/>
  <c r="S87" i="16"/>
  <c r="V87" i="16" s="1"/>
  <c r="Q99" i="21" l="1"/>
  <c r="Q100" i="21" s="1"/>
  <c r="Q98" i="19"/>
  <c r="Q99" i="19" s="1"/>
  <c r="P99" i="21"/>
  <c r="P100" i="21" s="1"/>
  <c r="P98" i="19"/>
  <c r="P99" i="19" s="1"/>
  <c r="R98" i="19"/>
  <c r="R99" i="19" s="1"/>
  <c r="R99" i="21"/>
  <c r="R100" i="21" s="1"/>
  <c r="U90" i="17"/>
  <c r="U87" i="17"/>
  <c r="U88" i="17"/>
  <c r="U91" i="17"/>
  <c r="U89" i="17"/>
  <c r="T93" i="17"/>
  <c r="S93" i="17"/>
  <c r="O97" i="16"/>
  <c r="O95" i="17" s="1"/>
  <c r="U67" i="16"/>
  <c r="U72" i="16"/>
  <c r="U60" i="16"/>
  <c r="U68" i="16"/>
  <c r="U30" i="16"/>
  <c r="U87" i="16"/>
  <c r="J89" i="16"/>
  <c r="K89" i="16"/>
  <c r="L89" i="16"/>
  <c r="M89" i="16"/>
  <c r="N89" i="16"/>
  <c r="J91" i="16"/>
  <c r="K91" i="16"/>
  <c r="L91" i="16"/>
  <c r="M91" i="16"/>
  <c r="N91" i="16"/>
  <c r="J92" i="16"/>
  <c r="K92" i="16"/>
  <c r="L92" i="16"/>
  <c r="M92" i="16"/>
  <c r="N92" i="16"/>
  <c r="J93" i="16"/>
  <c r="J94" i="16"/>
  <c r="K94" i="16"/>
  <c r="L94" i="16"/>
  <c r="M94" i="16"/>
  <c r="N94" i="16"/>
  <c r="J95" i="16"/>
  <c r="K95" i="16"/>
  <c r="L95" i="16"/>
  <c r="M95" i="16"/>
  <c r="N95" i="16"/>
  <c r="J96" i="16"/>
  <c r="K96" i="16"/>
  <c r="L96" i="16"/>
  <c r="M96" i="16"/>
  <c r="N96" i="16"/>
  <c r="T104" i="16"/>
  <c r="S104" i="16"/>
  <c r="V104" i="16" s="1"/>
  <c r="T103" i="16"/>
  <c r="S103" i="16"/>
  <c r="V103" i="16" s="1"/>
  <c r="T102" i="16"/>
  <c r="S102" i="16"/>
  <c r="V102" i="16" s="1"/>
  <c r="I96" i="16"/>
  <c r="I95" i="16"/>
  <c r="I94" i="16"/>
  <c r="I93" i="16"/>
  <c r="I92" i="16"/>
  <c r="I91" i="16"/>
  <c r="I89" i="16"/>
  <c r="T71" i="16"/>
  <c r="S71" i="16"/>
  <c r="V71" i="16" s="1"/>
  <c r="T70" i="16"/>
  <c r="S70" i="16"/>
  <c r="V70" i="16" s="1"/>
  <c r="G94" i="16"/>
  <c r="H94" i="16"/>
  <c r="T29" i="16"/>
  <c r="S29" i="16"/>
  <c r="V29" i="16" s="1"/>
  <c r="T28" i="16"/>
  <c r="S28" i="16"/>
  <c r="V28" i="16" s="1"/>
  <c r="T41" i="16"/>
  <c r="S41" i="16"/>
  <c r="V41" i="16" s="1"/>
  <c r="O99" i="21" l="1"/>
  <c r="O100" i="21" s="1"/>
  <c r="O98" i="19"/>
  <c r="O99" i="19" s="1"/>
  <c r="O96" i="17"/>
  <c r="V93" i="17"/>
  <c r="U93" i="17" s="1"/>
  <c r="U103" i="16"/>
  <c r="U104" i="16"/>
  <c r="M97" i="16"/>
  <c r="M95" i="17" s="1"/>
  <c r="L97" i="16"/>
  <c r="L95" i="17" s="1"/>
  <c r="N97" i="16"/>
  <c r="N95" i="17" s="1"/>
  <c r="K97" i="16"/>
  <c r="K95" i="17" s="1"/>
  <c r="J97" i="16"/>
  <c r="J95" i="17" s="1"/>
  <c r="U102" i="16"/>
  <c r="U41" i="16"/>
  <c r="U29" i="16"/>
  <c r="U71" i="16"/>
  <c r="I97" i="16"/>
  <c r="I95" i="17" s="1"/>
  <c r="U70" i="16"/>
  <c r="U28" i="16"/>
  <c r="H96" i="16"/>
  <c r="H95" i="16"/>
  <c r="H93" i="16"/>
  <c r="H92" i="16"/>
  <c r="H91" i="16"/>
  <c r="H89" i="16"/>
  <c r="G96" i="16"/>
  <c r="G95" i="16"/>
  <c r="G93" i="16"/>
  <c r="G92" i="16"/>
  <c r="G91" i="16"/>
  <c r="G89" i="16"/>
  <c r="K99" i="21" l="1"/>
  <c r="K100" i="21" s="1"/>
  <c r="K98" i="19"/>
  <c r="K99" i="19" s="1"/>
  <c r="K96" i="17"/>
  <c r="L99" i="21"/>
  <c r="L100" i="21" s="1"/>
  <c r="L98" i="19"/>
  <c r="L99" i="19" s="1"/>
  <c r="L96" i="17"/>
  <c r="I99" i="21"/>
  <c r="I100" i="21" s="1"/>
  <c r="I98" i="19"/>
  <c r="I99" i="19" s="1"/>
  <c r="I96" i="17"/>
  <c r="J99" i="21"/>
  <c r="J100" i="21" s="1"/>
  <c r="J98" i="19"/>
  <c r="J99" i="19" s="1"/>
  <c r="J96" i="17"/>
  <c r="N99" i="21"/>
  <c r="N100" i="21" s="1"/>
  <c r="N98" i="19"/>
  <c r="N99" i="19" s="1"/>
  <c r="N96" i="17"/>
  <c r="M99" i="21"/>
  <c r="M100" i="21" s="1"/>
  <c r="M98" i="19"/>
  <c r="M99" i="19" s="1"/>
  <c r="M96" i="17"/>
  <c r="H97" i="16"/>
  <c r="H95" i="17" s="1"/>
  <c r="G97" i="16"/>
  <c r="G95" i="17" s="1"/>
  <c r="T90" i="16"/>
  <c r="T91" i="16"/>
  <c r="T92" i="16"/>
  <c r="T93" i="16"/>
  <c r="T94" i="16"/>
  <c r="T95" i="16"/>
  <c r="T96" i="16"/>
  <c r="T88" i="16"/>
  <c r="T89" i="16"/>
  <c r="E95" i="16"/>
  <c r="E92" i="16"/>
  <c r="F96" i="16"/>
  <c r="F92" i="16"/>
  <c r="F91" i="16"/>
  <c r="F89" i="16"/>
  <c r="T86" i="16"/>
  <c r="S86" i="16"/>
  <c r="V86" i="16" s="1"/>
  <c r="T85" i="16"/>
  <c r="S85" i="16"/>
  <c r="V85" i="16" s="1"/>
  <c r="T84" i="16"/>
  <c r="S84" i="16"/>
  <c r="V84" i="16" s="1"/>
  <c r="T83" i="16"/>
  <c r="S83" i="16"/>
  <c r="V83" i="16" s="1"/>
  <c r="T82" i="16"/>
  <c r="S82" i="16"/>
  <c r="V82" i="16" s="1"/>
  <c r="T81" i="16"/>
  <c r="S81" i="16"/>
  <c r="V81" i="16" s="1"/>
  <c r="T80" i="16"/>
  <c r="S80" i="16"/>
  <c r="V80" i="16" s="1"/>
  <c r="T79" i="16"/>
  <c r="S79" i="16"/>
  <c r="V79" i="16" s="1"/>
  <c r="T78" i="16"/>
  <c r="S78" i="16"/>
  <c r="V78" i="16" s="1"/>
  <c r="T77" i="16"/>
  <c r="S77" i="16"/>
  <c r="V77" i="16" s="1"/>
  <c r="T76" i="16"/>
  <c r="S76" i="16"/>
  <c r="V76" i="16" s="1"/>
  <c r="T75" i="16"/>
  <c r="S75" i="16"/>
  <c r="V75" i="16" s="1"/>
  <c r="T74" i="16"/>
  <c r="S74" i="16"/>
  <c r="V74" i="16" s="1"/>
  <c r="T73" i="16"/>
  <c r="S73" i="16"/>
  <c r="V73" i="16" s="1"/>
  <c r="T69" i="16"/>
  <c r="S69" i="16"/>
  <c r="V69" i="16" s="1"/>
  <c r="T66" i="16"/>
  <c r="S66" i="16"/>
  <c r="V66" i="16" s="1"/>
  <c r="T65" i="16"/>
  <c r="S65" i="16"/>
  <c r="V65" i="16" s="1"/>
  <c r="T64" i="16"/>
  <c r="S64" i="16"/>
  <c r="V64" i="16" s="1"/>
  <c r="S88" i="16"/>
  <c r="S90" i="16"/>
  <c r="V90" i="16" s="1"/>
  <c r="S99" i="16"/>
  <c r="V99" i="16" s="1"/>
  <c r="T99" i="16"/>
  <c r="S100" i="16"/>
  <c r="V100" i="16" s="1"/>
  <c r="T100" i="16"/>
  <c r="S101" i="16"/>
  <c r="V101" i="16" s="1"/>
  <c r="T101" i="16"/>
  <c r="T61" i="16"/>
  <c r="S61" i="16"/>
  <c r="V61" i="16" s="1"/>
  <c r="T59" i="16"/>
  <c r="S59" i="16"/>
  <c r="V59" i="16" s="1"/>
  <c r="T58" i="16"/>
  <c r="S58" i="16"/>
  <c r="V58" i="16" s="1"/>
  <c r="T57" i="16"/>
  <c r="S57" i="16"/>
  <c r="V57" i="16" s="1"/>
  <c r="T56" i="16"/>
  <c r="S56" i="16"/>
  <c r="V56" i="16" s="1"/>
  <c r="T55" i="16"/>
  <c r="S55" i="16"/>
  <c r="V55" i="16" s="1"/>
  <c r="T54" i="16"/>
  <c r="S54" i="16"/>
  <c r="V54" i="16" s="1"/>
  <c r="T53" i="16"/>
  <c r="S53" i="16"/>
  <c r="V53" i="16" s="1"/>
  <c r="T52" i="16"/>
  <c r="S52" i="16"/>
  <c r="V52" i="16" s="1"/>
  <c r="T51" i="16"/>
  <c r="S51" i="16"/>
  <c r="V51" i="16" s="1"/>
  <c r="T50" i="16"/>
  <c r="S50" i="16"/>
  <c r="V50" i="16" s="1"/>
  <c r="T49" i="16"/>
  <c r="S49" i="16"/>
  <c r="V49" i="16" s="1"/>
  <c r="T48" i="16"/>
  <c r="S48" i="16"/>
  <c r="V48" i="16" s="1"/>
  <c r="T47" i="16"/>
  <c r="S47" i="16"/>
  <c r="V47" i="16" s="1"/>
  <c r="T46" i="16"/>
  <c r="S46" i="16"/>
  <c r="V46" i="16" s="1"/>
  <c r="T45" i="16"/>
  <c r="S45" i="16"/>
  <c r="V45" i="16" s="1"/>
  <c r="T44" i="16"/>
  <c r="S44" i="16"/>
  <c r="V44" i="16" s="1"/>
  <c r="T43" i="16"/>
  <c r="S43" i="16"/>
  <c r="V43" i="16" s="1"/>
  <c r="S42" i="16"/>
  <c r="T40" i="16"/>
  <c r="S40" i="16"/>
  <c r="V40" i="16" s="1"/>
  <c r="T39" i="16"/>
  <c r="S39" i="16"/>
  <c r="V39" i="16" s="1"/>
  <c r="T38" i="16"/>
  <c r="S38" i="16"/>
  <c r="V38" i="16" s="1"/>
  <c r="T37" i="16"/>
  <c r="S37" i="16"/>
  <c r="V37" i="16" s="1"/>
  <c r="T36" i="16"/>
  <c r="S36" i="16"/>
  <c r="V36" i="16" s="1"/>
  <c r="T35" i="16"/>
  <c r="S35" i="16"/>
  <c r="V35" i="16" s="1"/>
  <c r="T34" i="16"/>
  <c r="S34" i="16"/>
  <c r="V34" i="16" s="1"/>
  <c r="T33" i="16"/>
  <c r="S33" i="16"/>
  <c r="V33" i="16" s="1"/>
  <c r="T32" i="16"/>
  <c r="S32" i="16"/>
  <c r="V32" i="16" s="1"/>
  <c r="T27" i="16"/>
  <c r="S27" i="16"/>
  <c r="V27" i="16" s="1"/>
  <c r="T26" i="16"/>
  <c r="S26" i="16"/>
  <c r="V26" i="16" s="1"/>
  <c r="T25" i="16"/>
  <c r="S25" i="16"/>
  <c r="V25" i="16" s="1"/>
  <c r="T24" i="16"/>
  <c r="S24" i="16"/>
  <c r="V24" i="16" s="1"/>
  <c r="T23" i="16"/>
  <c r="S23" i="16"/>
  <c r="V23" i="16" s="1"/>
  <c r="T22" i="16"/>
  <c r="S22" i="16"/>
  <c r="V22" i="16" s="1"/>
  <c r="T21" i="16"/>
  <c r="S21" i="16"/>
  <c r="V21" i="16" s="1"/>
  <c r="T20" i="16"/>
  <c r="S20" i="16"/>
  <c r="V20" i="16" s="1"/>
  <c r="T19" i="16"/>
  <c r="S19" i="16"/>
  <c r="V19" i="16" s="1"/>
  <c r="T15" i="16"/>
  <c r="S15" i="16"/>
  <c r="V15" i="16" s="1"/>
  <c r="T14" i="16"/>
  <c r="S14" i="16"/>
  <c r="V14" i="16" s="1"/>
  <c r="T13" i="16"/>
  <c r="S13" i="16"/>
  <c r="V13" i="16" s="1"/>
  <c r="T12" i="16"/>
  <c r="T11" i="16"/>
  <c r="S11" i="16"/>
  <c r="V11" i="16" s="1"/>
  <c r="T9" i="16"/>
  <c r="S9" i="16"/>
  <c r="V9" i="16" s="1"/>
  <c r="W74" i="15"/>
  <c r="W73" i="15"/>
  <c r="W72" i="15"/>
  <c r="W71" i="15"/>
  <c r="W70" i="15"/>
  <c r="W75" i="15" s="1"/>
  <c r="F71" i="15"/>
  <c r="F70" i="15"/>
  <c r="F99" i="15"/>
  <c r="G99" i="21" l="1"/>
  <c r="G100" i="21" s="1"/>
  <c r="G98" i="19"/>
  <c r="G99" i="19" s="1"/>
  <c r="G96" i="17"/>
  <c r="H99" i="21"/>
  <c r="H100" i="21" s="1"/>
  <c r="H98" i="19"/>
  <c r="H99" i="19" s="1"/>
  <c r="H96" i="17"/>
  <c r="S97" i="16"/>
  <c r="S95" i="17" s="1"/>
  <c r="E97" i="16"/>
  <c r="E95" i="17" s="1"/>
  <c r="T97" i="16"/>
  <c r="T95" i="17" s="1"/>
  <c r="U88" i="16"/>
  <c r="U64" i="16"/>
  <c r="S96" i="16"/>
  <c r="V96" i="16" s="1"/>
  <c r="U90" i="16"/>
  <c r="F97" i="16"/>
  <c r="F95" i="17" s="1"/>
  <c r="U12" i="16"/>
  <c r="U85" i="16"/>
  <c r="U76" i="16"/>
  <c r="U65" i="16"/>
  <c r="U74" i="16"/>
  <c r="U78" i="16"/>
  <c r="U73" i="16"/>
  <c r="U75" i="16"/>
  <c r="U79" i="16"/>
  <c r="U66" i="16"/>
  <c r="U83" i="16"/>
  <c r="U77" i="16"/>
  <c r="U82" i="16"/>
  <c r="U101" i="16"/>
  <c r="U84" i="16"/>
  <c r="U100" i="16"/>
  <c r="U69" i="16"/>
  <c r="U81" i="16"/>
  <c r="U99" i="16"/>
  <c r="U86" i="16"/>
  <c r="U80" i="16"/>
  <c r="S93" i="16"/>
  <c r="V93" i="16" s="1"/>
  <c r="S95" i="16"/>
  <c r="V95" i="16" s="1"/>
  <c r="S92" i="16"/>
  <c r="V92" i="16" s="1"/>
  <c r="S89" i="16"/>
  <c r="V89" i="16" s="1"/>
  <c r="S94" i="16"/>
  <c r="V94" i="16" s="1"/>
  <c r="S91" i="16"/>
  <c r="V91" i="16" s="1"/>
  <c r="U20" i="16"/>
  <c r="U59" i="16"/>
  <c r="U37" i="16"/>
  <c r="U24" i="16"/>
  <c r="U9" i="16"/>
  <c r="U23" i="16"/>
  <c r="U27" i="16"/>
  <c r="U40" i="16"/>
  <c r="U21" i="16"/>
  <c r="U25" i="16"/>
  <c r="U34" i="16"/>
  <c r="U38" i="16"/>
  <c r="U48" i="16"/>
  <c r="U52" i="16"/>
  <c r="U61" i="16"/>
  <c r="U14" i="16"/>
  <c r="U11" i="16"/>
  <c r="U58" i="16"/>
  <c r="U44" i="16"/>
  <c r="U51" i="16"/>
  <c r="U43" i="16"/>
  <c r="U50" i="16"/>
  <c r="U33" i="16"/>
  <c r="U54" i="16"/>
  <c r="U13" i="16"/>
  <c r="U15" i="16"/>
  <c r="U26" i="16"/>
  <c r="U32" i="16"/>
  <c r="U35" i="16"/>
  <c r="U45" i="16"/>
  <c r="U49" i="16"/>
  <c r="U56" i="16"/>
  <c r="U46" i="16"/>
  <c r="U53" i="16"/>
  <c r="U57" i="16"/>
  <c r="U19" i="16"/>
  <c r="U36" i="16"/>
  <c r="U22" i="16"/>
  <c r="U39" i="16"/>
  <c r="U47" i="16"/>
  <c r="U55" i="16"/>
  <c r="G74" i="15"/>
  <c r="G73" i="15"/>
  <c r="G72" i="15"/>
  <c r="G71" i="15"/>
  <c r="G70" i="15"/>
  <c r="G68" i="15"/>
  <c r="U59" i="15"/>
  <c r="T59" i="15"/>
  <c r="X59" i="15" s="1"/>
  <c r="U62" i="15"/>
  <c r="T62" i="15"/>
  <c r="X62" i="15" s="1"/>
  <c r="U61" i="15"/>
  <c r="T61" i="15"/>
  <c r="X61" i="15" s="1"/>
  <c r="U79" i="15"/>
  <c r="T79" i="15"/>
  <c r="X79" i="15" s="1"/>
  <c r="U78" i="15"/>
  <c r="T78" i="15"/>
  <c r="X78" i="15"/>
  <c r="V78" i="15" s="1"/>
  <c r="U77" i="15"/>
  <c r="T77" i="15"/>
  <c r="X77" i="15"/>
  <c r="V77" i="15" s="1"/>
  <c r="U56" i="15"/>
  <c r="T56" i="15"/>
  <c r="X56" i="15" s="1"/>
  <c r="U55" i="15"/>
  <c r="T55" i="15"/>
  <c r="U54" i="15"/>
  <c r="T54" i="15"/>
  <c r="M74" i="15"/>
  <c r="M73" i="15"/>
  <c r="M72" i="15"/>
  <c r="M71" i="15"/>
  <c r="M70" i="15"/>
  <c r="M68" i="15"/>
  <c r="U50" i="15"/>
  <c r="T50" i="15"/>
  <c r="X50" i="15" s="1"/>
  <c r="U53" i="15"/>
  <c r="T53" i="15"/>
  <c r="U49" i="15"/>
  <c r="T49" i="15"/>
  <c r="R74" i="15"/>
  <c r="Q74" i="15"/>
  <c r="P74" i="15"/>
  <c r="O74" i="15"/>
  <c r="N74" i="15"/>
  <c r="L74" i="15"/>
  <c r="K74" i="15"/>
  <c r="J74" i="15"/>
  <c r="I74" i="15"/>
  <c r="H74" i="15"/>
  <c r="F74" i="15"/>
  <c r="T67" i="15"/>
  <c r="X67" i="15" s="1"/>
  <c r="U66" i="15"/>
  <c r="T66" i="15"/>
  <c r="U65" i="15"/>
  <c r="T65" i="15"/>
  <c r="U64" i="15"/>
  <c r="T64" i="15"/>
  <c r="X64" i="15" s="1"/>
  <c r="U63" i="15"/>
  <c r="T63" i="15"/>
  <c r="X63" i="15" s="1"/>
  <c r="U60" i="15"/>
  <c r="T60" i="15"/>
  <c r="X60" i="15" s="1"/>
  <c r="U58" i="15"/>
  <c r="T58" i="15"/>
  <c r="X58" i="15" s="1"/>
  <c r="V58" i="15"/>
  <c r="U57" i="15"/>
  <c r="T57" i="15"/>
  <c r="X57" i="15" s="1"/>
  <c r="U52" i="15"/>
  <c r="T52" i="15"/>
  <c r="U51" i="15"/>
  <c r="T51" i="15"/>
  <c r="X51" i="15" s="1"/>
  <c r="V51" i="15"/>
  <c r="U48" i="15"/>
  <c r="T48" i="15"/>
  <c r="X48" i="15" s="1"/>
  <c r="T47" i="15"/>
  <c r="H73" i="15"/>
  <c r="H72" i="15"/>
  <c r="H71" i="15"/>
  <c r="H70" i="15"/>
  <c r="S73" i="15"/>
  <c r="R73" i="15"/>
  <c r="Q73" i="15"/>
  <c r="P73" i="15"/>
  <c r="O73" i="15"/>
  <c r="N73" i="15"/>
  <c r="L73" i="15"/>
  <c r="K73" i="15"/>
  <c r="J73" i="15"/>
  <c r="I73" i="15"/>
  <c r="F73" i="15"/>
  <c r="S72" i="15"/>
  <c r="R72" i="15"/>
  <c r="Q72" i="15"/>
  <c r="P72" i="15"/>
  <c r="O72" i="15"/>
  <c r="N72" i="15"/>
  <c r="L72" i="15"/>
  <c r="K72" i="15"/>
  <c r="J72" i="15"/>
  <c r="I72" i="15"/>
  <c r="F72" i="15"/>
  <c r="S71" i="15"/>
  <c r="R71" i="15"/>
  <c r="Q71" i="15"/>
  <c r="P71" i="15"/>
  <c r="O71" i="15"/>
  <c r="N71" i="15"/>
  <c r="L71" i="15"/>
  <c r="K71" i="15"/>
  <c r="J71" i="15"/>
  <c r="I71" i="15"/>
  <c r="S70" i="15"/>
  <c r="R70" i="15"/>
  <c r="Q70" i="15"/>
  <c r="P70" i="15"/>
  <c r="O70" i="15"/>
  <c r="N70" i="15"/>
  <c r="L70" i="15"/>
  <c r="K70" i="15"/>
  <c r="J70" i="15"/>
  <c r="I70" i="15"/>
  <c r="T69" i="15"/>
  <c r="X69" i="15"/>
  <c r="S68" i="15"/>
  <c r="R68" i="15"/>
  <c r="Q68" i="15"/>
  <c r="P68" i="15"/>
  <c r="O68" i="15"/>
  <c r="N68" i="15"/>
  <c r="L68" i="15"/>
  <c r="K68" i="15"/>
  <c r="J68" i="15"/>
  <c r="I68" i="15"/>
  <c r="H68" i="15"/>
  <c r="F68" i="15"/>
  <c r="F75" i="15" s="1"/>
  <c r="U46" i="15"/>
  <c r="T46" i="15"/>
  <c r="U45" i="15"/>
  <c r="T45" i="15"/>
  <c r="U44" i="15"/>
  <c r="T44" i="15"/>
  <c r="X44" i="15" s="1"/>
  <c r="U43" i="15"/>
  <c r="T43" i="15"/>
  <c r="U42" i="15"/>
  <c r="T42" i="15"/>
  <c r="X42" i="15" s="1"/>
  <c r="V42" i="15"/>
  <c r="U41" i="15"/>
  <c r="T41" i="15"/>
  <c r="X41" i="15" s="1"/>
  <c r="U40" i="15"/>
  <c r="T40" i="15"/>
  <c r="U39" i="15"/>
  <c r="T39" i="15"/>
  <c r="U38" i="15"/>
  <c r="T38" i="15"/>
  <c r="U37" i="15"/>
  <c r="T37" i="15"/>
  <c r="U36" i="15"/>
  <c r="T36" i="15"/>
  <c r="X36" i="15" s="1"/>
  <c r="U35" i="15"/>
  <c r="T35" i="15"/>
  <c r="U33" i="15"/>
  <c r="T33" i="15"/>
  <c r="U32" i="15"/>
  <c r="T32" i="15"/>
  <c r="X32" i="15" s="1"/>
  <c r="U31" i="15"/>
  <c r="T31" i="15"/>
  <c r="U30" i="15"/>
  <c r="T30" i="15"/>
  <c r="X30" i="15" s="1"/>
  <c r="V30" i="15"/>
  <c r="U29" i="15"/>
  <c r="T29" i="15"/>
  <c r="X29" i="15" s="1"/>
  <c r="U28" i="15"/>
  <c r="T28" i="15"/>
  <c r="U27" i="15"/>
  <c r="T27" i="15"/>
  <c r="U26" i="15"/>
  <c r="T26" i="15"/>
  <c r="U25" i="15"/>
  <c r="T25" i="15"/>
  <c r="U24" i="15"/>
  <c r="T24" i="15"/>
  <c r="X24" i="15" s="1"/>
  <c r="U23" i="15"/>
  <c r="V23" i="15" s="1"/>
  <c r="T23" i="15"/>
  <c r="X23" i="15" s="1"/>
  <c r="U22" i="15"/>
  <c r="T22" i="15"/>
  <c r="X22" i="15" s="1"/>
  <c r="U20" i="15"/>
  <c r="T20" i="15"/>
  <c r="X20" i="15" s="1"/>
  <c r="U19" i="15"/>
  <c r="T19" i="15"/>
  <c r="U18" i="15"/>
  <c r="T18" i="15"/>
  <c r="U17" i="15"/>
  <c r="T17" i="15"/>
  <c r="U16" i="15"/>
  <c r="T16" i="15"/>
  <c r="U15" i="15"/>
  <c r="T15" i="15"/>
  <c r="X15" i="15" s="1"/>
  <c r="U14" i="15"/>
  <c r="U13" i="15"/>
  <c r="T13" i="15"/>
  <c r="X13" i="15" s="1"/>
  <c r="U12" i="15"/>
  <c r="T12" i="15"/>
  <c r="X12" i="15" s="1"/>
  <c r="V12" i="15"/>
  <c r="U11" i="15"/>
  <c r="T11" i="15"/>
  <c r="U9" i="15"/>
  <c r="T9" i="15"/>
  <c r="Q67" i="14"/>
  <c r="Q66" i="14"/>
  <c r="Q65" i="14"/>
  <c r="Q64" i="14"/>
  <c r="Q63" i="14"/>
  <c r="Q62" i="14"/>
  <c r="S56" i="14"/>
  <c r="R56" i="14"/>
  <c r="U56" i="14"/>
  <c r="R54" i="14"/>
  <c r="U54" i="14"/>
  <c r="S54" i="14"/>
  <c r="O67" i="14"/>
  <c r="O66" i="14"/>
  <c r="O65" i="14"/>
  <c r="O64" i="14"/>
  <c r="O63" i="14"/>
  <c r="O62" i="14"/>
  <c r="M67" i="14"/>
  <c r="M66" i="14"/>
  <c r="M65" i="14"/>
  <c r="M64" i="14"/>
  <c r="M63" i="14"/>
  <c r="M62" i="14"/>
  <c r="L67" i="14"/>
  <c r="L66" i="14"/>
  <c r="L65" i="14"/>
  <c r="L64" i="14"/>
  <c r="L62" i="14"/>
  <c r="K67" i="14"/>
  <c r="K66" i="14"/>
  <c r="K65" i="14"/>
  <c r="K64" i="14"/>
  <c r="K62" i="14"/>
  <c r="I66" i="14"/>
  <c r="I67" i="14"/>
  <c r="I65" i="14"/>
  <c r="I64" i="14"/>
  <c r="R41" i="14"/>
  <c r="U41" i="14"/>
  <c r="S41" i="14"/>
  <c r="R61" i="14"/>
  <c r="U61" i="14"/>
  <c r="F67" i="14"/>
  <c r="G67" i="14"/>
  <c r="H67" i="14"/>
  <c r="J67" i="14"/>
  <c r="N67" i="14"/>
  <c r="P67" i="14"/>
  <c r="E67" i="14"/>
  <c r="S60" i="14"/>
  <c r="R60" i="14"/>
  <c r="U60" i="14"/>
  <c r="S59" i="14"/>
  <c r="R59" i="14"/>
  <c r="U59" i="14"/>
  <c r="S58" i="14"/>
  <c r="R58" i="14"/>
  <c r="U58" i="14"/>
  <c r="S57" i="14"/>
  <c r="R57" i="14"/>
  <c r="U57" i="14"/>
  <c r="S55" i="14"/>
  <c r="R55" i="14"/>
  <c r="U55" i="14"/>
  <c r="S53" i="14"/>
  <c r="R53" i="14"/>
  <c r="U53" i="14"/>
  <c r="S52" i="14"/>
  <c r="R52" i="14"/>
  <c r="U52" i="14"/>
  <c r="S51" i="14"/>
  <c r="R51" i="14"/>
  <c r="U51" i="14"/>
  <c r="S50" i="14"/>
  <c r="R50" i="14"/>
  <c r="U50" i="14"/>
  <c r="S49" i="14"/>
  <c r="R49" i="14"/>
  <c r="U49" i="14"/>
  <c r="S48" i="14"/>
  <c r="R48" i="14"/>
  <c r="U48" i="14"/>
  <c r="E62" i="14"/>
  <c r="F62" i="14"/>
  <c r="G62" i="14"/>
  <c r="H62" i="14"/>
  <c r="I62" i="14"/>
  <c r="J62" i="14"/>
  <c r="N62" i="14"/>
  <c r="P62" i="14"/>
  <c r="E63" i="14"/>
  <c r="F63" i="14"/>
  <c r="G63" i="14"/>
  <c r="H63" i="14"/>
  <c r="I63" i="14"/>
  <c r="J63" i="14"/>
  <c r="K63" i="14"/>
  <c r="L63" i="14"/>
  <c r="N63" i="14"/>
  <c r="P63" i="14"/>
  <c r="E64" i="14"/>
  <c r="F64" i="14"/>
  <c r="G64" i="14"/>
  <c r="H64" i="14"/>
  <c r="J64" i="14"/>
  <c r="N64" i="14"/>
  <c r="P64" i="14"/>
  <c r="E65" i="14"/>
  <c r="F65" i="14"/>
  <c r="G65" i="14"/>
  <c r="H65" i="14"/>
  <c r="J65" i="14"/>
  <c r="N65" i="14"/>
  <c r="P65" i="14"/>
  <c r="E66" i="14"/>
  <c r="F66" i="14"/>
  <c r="G66" i="14"/>
  <c r="H66" i="14"/>
  <c r="J66" i="14"/>
  <c r="N66" i="14"/>
  <c r="P66" i="14"/>
  <c r="D147" i="14"/>
  <c r="M146" i="14"/>
  <c r="N146" i="14"/>
  <c r="L145" i="14"/>
  <c r="M145" i="14"/>
  <c r="P145" i="14"/>
  <c r="P147" i="14"/>
  <c r="L144" i="14"/>
  <c r="M144" i="14"/>
  <c r="N144" i="14"/>
  <c r="L143" i="14"/>
  <c r="M143" i="14"/>
  <c r="O143" i="14"/>
  <c r="L142" i="14"/>
  <c r="M142" i="14"/>
  <c r="O142" i="14"/>
  <c r="L141" i="14"/>
  <c r="M141" i="14"/>
  <c r="O141" i="14"/>
  <c r="L140" i="14"/>
  <c r="P136" i="14"/>
  <c r="O136" i="14"/>
  <c r="N136" i="14"/>
  <c r="M136" i="14"/>
  <c r="L136" i="14"/>
  <c r="K136" i="14"/>
  <c r="J136" i="14"/>
  <c r="I136" i="14"/>
  <c r="H136" i="14"/>
  <c r="G136" i="14"/>
  <c r="F136" i="14"/>
  <c r="E136" i="14"/>
  <c r="D136" i="14"/>
  <c r="S46" i="14"/>
  <c r="R46" i="14"/>
  <c r="U46" i="14"/>
  <c r="S45" i="14"/>
  <c r="R45" i="14"/>
  <c r="U45" i="14"/>
  <c r="S44" i="14"/>
  <c r="R44" i="14"/>
  <c r="U44" i="14"/>
  <c r="S43" i="14"/>
  <c r="R43" i="14"/>
  <c r="U43" i="14"/>
  <c r="S42" i="14"/>
  <c r="R42" i="14"/>
  <c r="U42" i="14"/>
  <c r="S40" i="14"/>
  <c r="R40" i="14"/>
  <c r="U40" i="14"/>
  <c r="S39" i="14"/>
  <c r="R39" i="14"/>
  <c r="U39" i="14"/>
  <c r="S38" i="14"/>
  <c r="R38" i="14"/>
  <c r="U38" i="14"/>
  <c r="S37" i="14"/>
  <c r="R37" i="14"/>
  <c r="U37" i="14"/>
  <c r="S36" i="14"/>
  <c r="R36" i="14"/>
  <c r="U36" i="14"/>
  <c r="S35" i="14"/>
  <c r="R35" i="14"/>
  <c r="U35" i="14"/>
  <c r="S34" i="14"/>
  <c r="R34" i="14"/>
  <c r="S31" i="14"/>
  <c r="R31" i="14"/>
  <c r="U31" i="14"/>
  <c r="W30" i="14"/>
  <c r="S30" i="14"/>
  <c r="R30" i="14"/>
  <c r="U30" i="14"/>
  <c r="S29" i="14"/>
  <c r="R29" i="14"/>
  <c r="U29" i="14"/>
  <c r="S28" i="14"/>
  <c r="R28" i="14"/>
  <c r="U28" i="14"/>
  <c r="S27" i="14"/>
  <c r="R27" i="14"/>
  <c r="U27" i="14"/>
  <c r="S26" i="14"/>
  <c r="R26" i="14"/>
  <c r="U26" i="14"/>
  <c r="S25" i="14"/>
  <c r="R25" i="14"/>
  <c r="U25" i="14"/>
  <c r="S24" i="14"/>
  <c r="R24" i="14"/>
  <c r="U24" i="14"/>
  <c r="S23" i="14"/>
  <c r="R23" i="14"/>
  <c r="U23" i="14"/>
  <c r="S22" i="14"/>
  <c r="R22" i="14"/>
  <c r="U22" i="14"/>
  <c r="U21" i="14"/>
  <c r="S21" i="14"/>
  <c r="S20" i="14"/>
  <c r="R20" i="14"/>
  <c r="U20" i="14"/>
  <c r="S19" i="14"/>
  <c r="R19" i="14"/>
  <c r="U19" i="14"/>
  <c r="S18" i="14"/>
  <c r="R18" i="14"/>
  <c r="U18" i="14"/>
  <c r="S17" i="14"/>
  <c r="R17" i="14"/>
  <c r="U17" i="14"/>
  <c r="S16" i="14"/>
  <c r="R16" i="14"/>
  <c r="U16" i="14"/>
  <c r="S15" i="14"/>
  <c r="R15" i="14"/>
  <c r="U15" i="14"/>
  <c r="S14" i="14"/>
  <c r="R14" i="14"/>
  <c r="U14" i="14"/>
  <c r="S13" i="14"/>
  <c r="R13" i="14"/>
  <c r="U13" i="14"/>
  <c r="W11" i="14"/>
  <c r="V11" i="14"/>
  <c r="S11" i="14"/>
  <c r="R11" i="14"/>
  <c r="U11" i="14"/>
  <c r="S9" i="14"/>
  <c r="R9" i="14"/>
  <c r="U9" i="14"/>
  <c r="P140" i="13"/>
  <c r="S74" i="15"/>
  <c r="U69" i="15"/>
  <c r="K68" i="14"/>
  <c r="O68" i="14"/>
  <c r="P68" i="14"/>
  <c r="F68" i="14"/>
  <c r="J68" i="14"/>
  <c r="N68" i="14"/>
  <c r="G68" i="14"/>
  <c r="L68" i="14"/>
  <c r="M68" i="14"/>
  <c r="Q68" i="14"/>
  <c r="H68" i="14"/>
  <c r="I68" i="14"/>
  <c r="E68" i="14"/>
  <c r="T54" i="14"/>
  <c r="T56" i="14"/>
  <c r="T50" i="14"/>
  <c r="T59" i="14"/>
  <c r="T52" i="14"/>
  <c r="T41" i="14"/>
  <c r="R67" i="14"/>
  <c r="U67" i="14"/>
  <c r="T49" i="14"/>
  <c r="S67" i="14"/>
  <c r="R63" i="14"/>
  <c r="U63" i="14"/>
  <c r="T51" i="14"/>
  <c r="T53" i="14"/>
  <c r="R62" i="14"/>
  <c r="U62" i="14"/>
  <c r="T48" i="14"/>
  <c r="R66" i="14"/>
  <c r="U66" i="14"/>
  <c r="S65" i="14"/>
  <c r="R64" i="14"/>
  <c r="U64" i="14"/>
  <c r="R65" i="14"/>
  <c r="U65" i="14"/>
  <c r="T57" i="14"/>
  <c r="T55" i="14"/>
  <c r="T60" i="14"/>
  <c r="T58" i="14"/>
  <c r="S66" i="14"/>
  <c r="S63" i="14"/>
  <c r="S62" i="14"/>
  <c r="S64" i="14"/>
  <c r="T27" i="14"/>
  <c r="T18" i="14"/>
  <c r="T19" i="14"/>
  <c r="O147" i="14"/>
  <c r="T40" i="14"/>
  <c r="T42" i="14"/>
  <c r="T22" i="14"/>
  <c r="T25" i="14"/>
  <c r="T9" i="14"/>
  <c r="T26" i="14"/>
  <c r="T13" i="14"/>
  <c r="T24" i="14"/>
  <c r="T29" i="14"/>
  <c r="T14" i="14"/>
  <c r="N147" i="14"/>
  <c r="T36" i="14"/>
  <c r="T21" i="14"/>
  <c r="T17" i="14"/>
  <c r="T39" i="14"/>
  <c r="T43" i="14"/>
  <c r="T38" i="14"/>
  <c r="T15" i="14"/>
  <c r="T23" i="14"/>
  <c r="T30" i="14"/>
  <c r="U34" i="14"/>
  <c r="T37" i="14"/>
  <c r="T44" i="14"/>
  <c r="T16" i="14"/>
  <c r="T31" i="14"/>
  <c r="T11" i="14"/>
  <c r="L147" i="14"/>
  <c r="M147" i="14"/>
  <c r="T20" i="14"/>
  <c r="T28" i="14"/>
  <c r="T35" i="14"/>
  <c r="T45" i="14"/>
  <c r="T46" i="14"/>
  <c r="M140" i="14"/>
  <c r="U57" i="13"/>
  <c r="T62" i="14"/>
  <c r="T63" i="14"/>
  <c r="T67" i="14"/>
  <c r="T65" i="14"/>
  <c r="R68" i="14"/>
  <c r="U68" i="14"/>
  <c r="T64" i="14"/>
  <c r="S68" i="14"/>
  <c r="T34" i="14"/>
  <c r="U66" i="13"/>
  <c r="T66" i="14"/>
  <c r="T68" i="14"/>
  <c r="O140" i="13"/>
  <c r="N140" i="13"/>
  <c r="D151" i="13"/>
  <c r="L145" i="13"/>
  <c r="M145" i="13"/>
  <c r="O145" i="13"/>
  <c r="L146" i="13"/>
  <c r="M146" i="13"/>
  <c r="O146" i="13"/>
  <c r="L147" i="13"/>
  <c r="M147" i="13"/>
  <c r="O147" i="13"/>
  <c r="L148" i="13"/>
  <c r="M148" i="13"/>
  <c r="N148" i="13"/>
  <c r="L149" i="13"/>
  <c r="M149" i="13"/>
  <c r="P149" i="13"/>
  <c r="P151" i="13"/>
  <c r="M150" i="13"/>
  <c r="N150" i="13"/>
  <c r="L144" i="13"/>
  <c r="M144" i="13"/>
  <c r="O151" i="13"/>
  <c r="N151" i="13"/>
  <c r="L151" i="13"/>
  <c r="M151" i="13"/>
  <c r="M140" i="13"/>
  <c r="L140" i="13"/>
  <c r="K140" i="13"/>
  <c r="I140" i="13"/>
  <c r="S62" i="13"/>
  <c r="R62" i="13"/>
  <c r="U62" i="13"/>
  <c r="T62" i="13"/>
  <c r="S36" i="13"/>
  <c r="R36" i="13"/>
  <c r="U36" i="13"/>
  <c r="T36" i="13"/>
  <c r="H140" i="13"/>
  <c r="G140" i="13"/>
  <c r="F140" i="13"/>
  <c r="E140" i="13"/>
  <c r="J140" i="13"/>
  <c r="D140" i="13"/>
  <c r="R16" i="13"/>
  <c r="U16" i="13"/>
  <c r="S16" i="13"/>
  <c r="T16" i="13"/>
  <c r="W19" i="13"/>
  <c r="V19" i="13"/>
  <c r="W18" i="13"/>
  <c r="V18" i="13"/>
  <c r="V17" i="13"/>
  <c r="W16" i="13"/>
  <c r="V16" i="13"/>
  <c r="W15" i="13"/>
  <c r="V15" i="13"/>
  <c r="V14" i="13"/>
  <c r="W14" i="13"/>
  <c r="R47" i="13"/>
  <c r="U47" i="13"/>
  <c r="S47" i="13"/>
  <c r="T47" i="13"/>
  <c r="S46" i="13"/>
  <c r="S45" i="13"/>
  <c r="S64" i="13"/>
  <c r="R64" i="13"/>
  <c r="U64" i="13"/>
  <c r="S63" i="13"/>
  <c r="R63" i="13"/>
  <c r="U63" i="13"/>
  <c r="Q71" i="13"/>
  <c r="P71" i="13"/>
  <c r="O71" i="13"/>
  <c r="N71" i="13"/>
  <c r="M71" i="13"/>
  <c r="L71" i="13"/>
  <c r="K71" i="13"/>
  <c r="J71" i="13"/>
  <c r="I71" i="13"/>
  <c r="H71" i="13"/>
  <c r="G71" i="13"/>
  <c r="F71" i="13"/>
  <c r="Q70" i="13"/>
  <c r="P70" i="13"/>
  <c r="O70" i="13"/>
  <c r="N70" i="13"/>
  <c r="M70" i="13"/>
  <c r="L70" i="13"/>
  <c r="K70" i="13"/>
  <c r="J70" i="13"/>
  <c r="I70" i="13"/>
  <c r="H70" i="13"/>
  <c r="G70" i="13"/>
  <c r="F70" i="13"/>
  <c r="Q69" i="13"/>
  <c r="P69" i="13"/>
  <c r="O69" i="13"/>
  <c r="N69" i="13"/>
  <c r="M69" i="13"/>
  <c r="L69" i="13"/>
  <c r="K69" i="13"/>
  <c r="J69" i="13"/>
  <c r="I69" i="13"/>
  <c r="H69" i="13"/>
  <c r="G69" i="13"/>
  <c r="F69" i="13"/>
  <c r="Q68" i="13"/>
  <c r="P68" i="13"/>
  <c r="O68" i="13"/>
  <c r="N68" i="13"/>
  <c r="M68" i="13"/>
  <c r="L68" i="13"/>
  <c r="K68" i="13"/>
  <c r="J68" i="13"/>
  <c r="I68" i="13"/>
  <c r="H68" i="13"/>
  <c r="G68" i="13"/>
  <c r="F68" i="13"/>
  <c r="Q67" i="13"/>
  <c r="P67" i="13"/>
  <c r="O67" i="13"/>
  <c r="N67" i="13"/>
  <c r="M67" i="13"/>
  <c r="L67" i="13"/>
  <c r="K67" i="13"/>
  <c r="J67" i="13"/>
  <c r="I67" i="13"/>
  <c r="H67" i="13"/>
  <c r="G67" i="13"/>
  <c r="F67" i="13"/>
  <c r="Q66" i="13"/>
  <c r="P66" i="13"/>
  <c r="O66" i="13"/>
  <c r="N66" i="13"/>
  <c r="M66" i="13"/>
  <c r="L66" i="13"/>
  <c r="K66" i="13"/>
  <c r="J66" i="13"/>
  <c r="I66" i="13"/>
  <c r="H66" i="13"/>
  <c r="G66" i="13"/>
  <c r="F66" i="13"/>
  <c r="E66" i="13"/>
  <c r="Q10" i="12"/>
  <c r="P56" i="12"/>
  <c r="R56" i="12"/>
  <c r="P55" i="12"/>
  <c r="R55" i="12"/>
  <c r="P53" i="12"/>
  <c r="P52" i="12"/>
  <c r="P51" i="12"/>
  <c r="P50" i="12"/>
  <c r="P45" i="12"/>
  <c r="P40" i="12"/>
  <c r="P37" i="12"/>
  <c r="P36" i="12"/>
  <c r="P34" i="12"/>
  <c r="P33" i="12"/>
  <c r="P32" i="12"/>
  <c r="P31" i="12"/>
  <c r="P30" i="12"/>
  <c r="P24" i="12"/>
  <c r="P23" i="12"/>
  <c r="P22" i="12"/>
  <c r="P14" i="12"/>
  <c r="P11" i="12"/>
  <c r="U11" i="12"/>
  <c r="V9" i="13"/>
  <c r="Q72" i="13"/>
  <c r="T64" i="13"/>
  <c r="T63" i="13"/>
  <c r="M72" i="13"/>
  <c r="J72" i="13"/>
  <c r="K72" i="13"/>
  <c r="L72" i="13"/>
  <c r="F72" i="13"/>
  <c r="G72" i="13"/>
  <c r="H72" i="13"/>
  <c r="P72" i="13"/>
  <c r="N72" i="13"/>
  <c r="O72" i="13"/>
  <c r="I72" i="13"/>
  <c r="S61" i="13"/>
  <c r="E67" i="13"/>
  <c r="E68" i="13"/>
  <c r="E69" i="13"/>
  <c r="E70" i="13"/>
  <c r="E71" i="13"/>
  <c r="W62" i="13"/>
  <c r="R61" i="13"/>
  <c r="U61" i="13"/>
  <c r="T61" i="13"/>
  <c r="S60" i="13"/>
  <c r="R60" i="13"/>
  <c r="U60" i="13"/>
  <c r="S59" i="13"/>
  <c r="R59" i="13"/>
  <c r="U59" i="13"/>
  <c r="S58" i="13"/>
  <c r="R58" i="13"/>
  <c r="U58" i="13"/>
  <c r="S56" i="13"/>
  <c r="R56" i="13"/>
  <c r="U56" i="13"/>
  <c r="S55" i="13"/>
  <c r="R55" i="13"/>
  <c r="U55" i="13"/>
  <c r="S54" i="13"/>
  <c r="R54" i="13"/>
  <c r="U54" i="13"/>
  <c r="S53" i="13"/>
  <c r="R53" i="13"/>
  <c r="U53" i="13"/>
  <c r="S52" i="13"/>
  <c r="R52" i="13"/>
  <c r="U52" i="13"/>
  <c r="S51" i="13"/>
  <c r="R51" i="13"/>
  <c r="U51" i="13"/>
  <c r="S50" i="13"/>
  <c r="R50" i="13"/>
  <c r="W46" i="13"/>
  <c r="R46" i="13"/>
  <c r="U46" i="13"/>
  <c r="T46" i="13"/>
  <c r="R45" i="13"/>
  <c r="U45" i="13"/>
  <c r="T45" i="13"/>
  <c r="S44" i="13"/>
  <c r="S43" i="13"/>
  <c r="S42" i="13"/>
  <c r="S41" i="13"/>
  <c r="R39" i="13"/>
  <c r="U39" i="13"/>
  <c r="S38" i="13"/>
  <c r="R38" i="13"/>
  <c r="U38" i="13"/>
  <c r="R37" i="13"/>
  <c r="U37" i="13"/>
  <c r="U34" i="13"/>
  <c r="S34" i="13"/>
  <c r="S32" i="13"/>
  <c r="S30" i="13"/>
  <c r="R30" i="13"/>
  <c r="U30" i="13"/>
  <c r="S29" i="13"/>
  <c r="R29" i="13"/>
  <c r="U29" i="13"/>
  <c r="R28" i="13"/>
  <c r="U28" i="13"/>
  <c r="S27" i="13"/>
  <c r="R27" i="13"/>
  <c r="U27" i="13"/>
  <c r="S26" i="13"/>
  <c r="R26" i="13"/>
  <c r="U26" i="13"/>
  <c r="S24" i="13"/>
  <c r="S22" i="13"/>
  <c r="R22" i="13"/>
  <c r="U22" i="13"/>
  <c r="S21" i="13"/>
  <c r="S15" i="13"/>
  <c r="R15" i="13"/>
  <c r="U15" i="13"/>
  <c r="R14" i="13"/>
  <c r="S12" i="13"/>
  <c r="E72" i="13"/>
  <c r="S71" i="13"/>
  <c r="T15" i="13"/>
  <c r="T26" i="13"/>
  <c r="T58" i="13"/>
  <c r="R32" i="13"/>
  <c r="U32" i="13"/>
  <c r="T32" i="13"/>
  <c r="S19" i="13"/>
  <c r="R71" i="13"/>
  <c r="T54" i="13"/>
  <c r="T59" i="13"/>
  <c r="T38" i="13"/>
  <c r="R19" i="13"/>
  <c r="U19" i="13"/>
  <c r="T27" i="13"/>
  <c r="T34" i="13"/>
  <c r="R11" i="13"/>
  <c r="U11" i="13"/>
  <c r="S18" i="13"/>
  <c r="S11" i="13"/>
  <c r="U50" i="13"/>
  <c r="T30" i="13"/>
  <c r="R43" i="13"/>
  <c r="U43" i="13"/>
  <c r="T43" i="13"/>
  <c r="T60" i="13"/>
  <c r="R25" i="13"/>
  <c r="U25" i="13"/>
  <c r="S17" i="13"/>
  <c r="T56" i="13"/>
  <c r="T52" i="13"/>
  <c r="S23" i="13"/>
  <c r="S28" i="13"/>
  <c r="T28" i="13"/>
  <c r="S33" i="13"/>
  <c r="R35" i="13"/>
  <c r="U35" i="13"/>
  <c r="R41" i="13"/>
  <c r="U41" i="13"/>
  <c r="T41" i="13"/>
  <c r="R44" i="13"/>
  <c r="U44" i="13"/>
  <c r="T44" i="13"/>
  <c r="T53" i="13"/>
  <c r="R18" i="13"/>
  <c r="U18" i="13"/>
  <c r="T29" i="13"/>
  <c r="S37" i="13"/>
  <c r="T37" i="13"/>
  <c r="S31" i="13"/>
  <c r="S39" i="13"/>
  <c r="T39" i="13"/>
  <c r="R42" i="13"/>
  <c r="U42" i="13"/>
  <c r="T42" i="13"/>
  <c r="T51" i="13"/>
  <c r="R17" i="13"/>
  <c r="R21" i="13"/>
  <c r="U21" i="13"/>
  <c r="S40" i="13"/>
  <c r="T22" i="13"/>
  <c r="S14" i="13"/>
  <c r="T14" i="13"/>
  <c r="S25" i="13"/>
  <c r="T55" i="13"/>
  <c r="S66" i="13"/>
  <c r="R24" i="13"/>
  <c r="U24" i="13"/>
  <c r="T24" i="13"/>
  <c r="S35" i="13"/>
  <c r="R40" i="13"/>
  <c r="U40" i="13"/>
  <c r="R9" i="13"/>
  <c r="S9" i="13"/>
  <c r="R23" i="13"/>
  <c r="U23" i="13"/>
  <c r="S67" i="13"/>
  <c r="R12" i="13"/>
  <c r="R33" i="13"/>
  <c r="U33" i="13"/>
  <c r="R31" i="13"/>
  <c r="U31" i="13"/>
  <c r="P54" i="12"/>
  <c r="P49" i="12"/>
  <c r="P13" i="12"/>
  <c r="U68" i="13"/>
  <c r="T50" i="13"/>
  <c r="U71" i="13"/>
  <c r="T71" i="13"/>
  <c r="U70" i="13"/>
  <c r="T21" i="13"/>
  <c r="U69" i="13"/>
  <c r="U12" i="13"/>
  <c r="T12" i="13"/>
  <c r="T33" i="13"/>
  <c r="T19" i="13"/>
  <c r="T17" i="13"/>
  <c r="S70" i="13"/>
  <c r="T31" i="13"/>
  <c r="T11" i="13"/>
  <c r="T18" i="13"/>
  <c r="S69" i="13"/>
  <c r="T25" i="13"/>
  <c r="S68" i="13"/>
  <c r="T40" i="13"/>
  <c r="R68" i="13"/>
  <c r="T23" i="13"/>
  <c r="R69" i="13"/>
  <c r="R70" i="13"/>
  <c r="U9" i="13"/>
  <c r="T9" i="13"/>
  <c r="R66" i="13"/>
  <c r="R67" i="13"/>
  <c r="T35" i="13"/>
  <c r="E80" i="12"/>
  <c r="F80" i="12"/>
  <c r="G80" i="12"/>
  <c r="H80" i="12"/>
  <c r="I80" i="12"/>
  <c r="J80" i="12"/>
  <c r="K80" i="12"/>
  <c r="L80" i="12"/>
  <c r="M80" i="12"/>
  <c r="N80" i="12"/>
  <c r="O80" i="12"/>
  <c r="P80" i="12"/>
  <c r="D80" i="12"/>
  <c r="V71" i="12"/>
  <c r="Q70" i="12"/>
  <c r="T70" i="12"/>
  <c r="S70" i="12"/>
  <c r="R69" i="12"/>
  <c r="Q69" i="12"/>
  <c r="T69" i="12"/>
  <c r="R68" i="12"/>
  <c r="Q68" i="12"/>
  <c r="T68" i="12"/>
  <c r="R67" i="12"/>
  <c r="Q67" i="12"/>
  <c r="T67" i="12"/>
  <c r="R66" i="12"/>
  <c r="R65" i="12"/>
  <c r="R64" i="12"/>
  <c r="Q64" i="12"/>
  <c r="T64" i="12"/>
  <c r="R63" i="12"/>
  <c r="Q63" i="12"/>
  <c r="T63" i="12"/>
  <c r="R62" i="12"/>
  <c r="Q62" i="12"/>
  <c r="T62" i="12"/>
  <c r="Q61" i="12"/>
  <c r="T61" i="12"/>
  <c r="R60" i="12"/>
  <c r="Q60" i="12"/>
  <c r="T60" i="12"/>
  <c r="U67" i="13"/>
  <c r="T67" i="13"/>
  <c r="T66" i="13"/>
  <c r="R72" i="13"/>
  <c r="T69" i="13"/>
  <c r="T70" i="13"/>
  <c r="S72" i="13"/>
  <c r="T68" i="13"/>
  <c r="S62" i="12"/>
  <c r="S69" i="12"/>
  <c r="S60" i="12"/>
  <c r="S64" i="12"/>
  <c r="S68" i="12"/>
  <c r="S63" i="12"/>
  <c r="S67" i="12"/>
  <c r="Q66" i="12"/>
  <c r="T66" i="12"/>
  <c r="S66" i="12"/>
  <c r="R61" i="12"/>
  <c r="S61" i="12"/>
  <c r="Q65" i="12"/>
  <c r="T65" i="12"/>
  <c r="S65" i="12"/>
  <c r="P75" i="12"/>
  <c r="O75" i="12"/>
  <c r="N75" i="12"/>
  <c r="L75" i="12"/>
  <c r="K75" i="12"/>
  <c r="J75" i="12"/>
  <c r="H75" i="12"/>
  <c r="G75" i="12"/>
  <c r="F75" i="12"/>
  <c r="D75" i="12"/>
  <c r="U72" i="13"/>
  <c r="T72" i="13"/>
  <c r="Q80" i="12"/>
  <c r="O131" i="12"/>
  <c r="O51" i="12"/>
  <c r="O45" i="12"/>
  <c r="O40" i="12"/>
  <c r="O34" i="12"/>
  <c r="O32" i="12"/>
  <c r="O23" i="12"/>
  <c r="O22" i="12"/>
  <c r="O20" i="12"/>
  <c r="M11" i="12"/>
  <c r="M75" i="12"/>
  <c r="M42" i="12"/>
  <c r="M43" i="12"/>
  <c r="M40" i="12"/>
  <c r="M45" i="12"/>
  <c r="M50" i="12"/>
  <c r="M46" i="12"/>
  <c r="M27" i="12"/>
  <c r="M32" i="12"/>
  <c r="M34" i="12"/>
  <c r="M24" i="12"/>
  <c r="M20" i="12"/>
  <c r="M21" i="12"/>
  <c r="M17" i="12"/>
  <c r="M22" i="12"/>
  <c r="M23" i="12"/>
  <c r="E75" i="12"/>
  <c r="Q56" i="12"/>
  <c r="T56" i="12"/>
  <c r="S56" i="12"/>
  <c r="V56" i="12"/>
  <c r="I45" i="12"/>
  <c r="I50" i="12"/>
  <c r="I43" i="12"/>
  <c r="I40" i="12"/>
  <c r="I32" i="12"/>
  <c r="I27" i="12"/>
  <c r="I28" i="12"/>
  <c r="I30" i="12"/>
  <c r="I34" i="12"/>
  <c r="I24" i="12"/>
  <c r="I23" i="12"/>
  <c r="I22" i="12"/>
  <c r="I20" i="12"/>
  <c r="I18" i="12"/>
  <c r="I14" i="12"/>
  <c r="I11" i="12"/>
  <c r="I75" i="12"/>
  <c r="H116" i="12"/>
  <c r="H117" i="12"/>
  <c r="H120" i="12"/>
  <c r="H124" i="12"/>
  <c r="H119" i="12"/>
  <c r="T44" i="12"/>
  <c r="R44" i="12"/>
  <c r="R45" i="12"/>
  <c r="R46" i="12"/>
  <c r="R47" i="12"/>
  <c r="R48" i="12"/>
  <c r="R49" i="12"/>
  <c r="R50" i="12"/>
  <c r="R51" i="12"/>
  <c r="R52" i="12"/>
  <c r="R53" i="12"/>
  <c r="R54" i="12"/>
  <c r="Q45" i="12"/>
  <c r="T45" i="12"/>
  <c r="Q46" i="12"/>
  <c r="T46" i="12"/>
  <c r="Q47" i="12"/>
  <c r="T47" i="12"/>
  <c r="Q48" i="12"/>
  <c r="T48" i="12"/>
  <c r="Q49" i="12"/>
  <c r="T49" i="12"/>
  <c r="Q50" i="12"/>
  <c r="T50" i="12"/>
  <c r="Q51" i="12"/>
  <c r="T51" i="12"/>
  <c r="Q52" i="12"/>
  <c r="T52" i="12"/>
  <c r="Q53" i="12"/>
  <c r="T53" i="12"/>
  <c r="Q54" i="12"/>
  <c r="T54" i="12"/>
  <c r="Q55" i="12"/>
  <c r="T55" i="12"/>
  <c r="S55" i="12"/>
  <c r="S53" i="12"/>
  <c r="S49" i="12"/>
  <c r="S54" i="12"/>
  <c r="S46" i="12"/>
  <c r="S52" i="12"/>
  <c r="S48" i="12"/>
  <c r="S51" i="12"/>
  <c r="S47" i="12"/>
  <c r="S50" i="12"/>
  <c r="S44" i="12"/>
  <c r="S45" i="12"/>
  <c r="Q79" i="12"/>
  <c r="E79" i="12"/>
  <c r="F79" i="12"/>
  <c r="G79" i="12"/>
  <c r="H79" i="12"/>
  <c r="I79" i="12"/>
  <c r="J79" i="12"/>
  <c r="K79" i="12"/>
  <c r="L79" i="12"/>
  <c r="M79" i="12"/>
  <c r="N79" i="12"/>
  <c r="O79" i="12"/>
  <c r="P79" i="12"/>
  <c r="D79" i="12"/>
  <c r="E78" i="12"/>
  <c r="F78" i="12"/>
  <c r="G78" i="12"/>
  <c r="H78" i="12"/>
  <c r="I78" i="12"/>
  <c r="J78" i="12"/>
  <c r="K78" i="12"/>
  <c r="L78" i="12"/>
  <c r="M78" i="12"/>
  <c r="N78" i="12"/>
  <c r="O78" i="12"/>
  <c r="P78" i="12"/>
  <c r="D78" i="12"/>
  <c r="R79" i="12"/>
  <c r="T79" i="12"/>
  <c r="R42" i="12"/>
  <c r="Q42" i="12"/>
  <c r="T42" i="12"/>
  <c r="S79" i="12"/>
  <c r="S42" i="12"/>
  <c r="P77" i="12"/>
  <c r="O77" i="12"/>
  <c r="N77" i="12"/>
  <c r="M77" i="12"/>
  <c r="L77" i="12"/>
  <c r="K77" i="12"/>
  <c r="J77" i="12"/>
  <c r="I77" i="12"/>
  <c r="H77" i="12"/>
  <c r="G77" i="12"/>
  <c r="F77" i="12"/>
  <c r="E77" i="12"/>
  <c r="D77" i="12"/>
  <c r="P76" i="12"/>
  <c r="O76" i="12"/>
  <c r="N76" i="12"/>
  <c r="M76" i="12"/>
  <c r="L76" i="12"/>
  <c r="K76" i="12"/>
  <c r="J76" i="12"/>
  <c r="I76" i="12"/>
  <c r="H76" i="12"/>
  <c r="G76" i="12"/>
  <c r="F76" i="12"/>
  <c r="E76" i="12"/>
  <c r="D76" i="12"/>
  <c r="R43" i="12"/>
  <c r="Q43" i="12"/>
  <c r="T43" i="12"/>
  <c r="R41" i="12"/>
  <c r="Q41" i="12"/>
  <c r="T41" i="12"/>
  <c r="R40" i="12"/>
  <c r="Q40" i="12"/>
  <c r="T40" i="12"/>
  <c r="R39" i="12"/>
  <c r="Q39" i="12"/>
  <c r="T39" i="12"/>
  <c r="R38" i="12"/>
  <c r="Q38" i="12"/>
  <c r="T38" i="12"/>
  <c r="R37" i="12"/>
  <c r="Q37" i="12"/>
  <c r="T37" i="12"/>
  <c r="R36" i="12"/>
  <c r="Q36" i="12"/>
  <c r="T36" i="12"/>
  <c r="R35" i="12"/>
  <c r="Q35" i="12"/>
  <c r="T35" i="12"/>
  <c r="R34" i="12"/>
  <c r="Q34" i="12"/>
  <c r="T34" i="12"/>
  <c r="R33" i="12"/>
  <c r="Q33" i="12"/>
  <c r="R32" i="12"/>
  <c r="Q32" i="12"/>
  <c r="T32" i="12"/>
  <c r="R31" i="12"/>
  <c r="Q31" i="12"/>
  <c r="T31" i="12"/>
  <c r="R30" i="12"/>
  <c r="Q30" i="12"/>
  <c r="T30" i="12"/>
  <c r="R29" i="12"/>
  <c r="Q29" i="12"/>
  <c r="T29" i="12"/>
  <c r="R28" i="12"/>
  <c r="Q28" i="12"/>
  <c r="T28" i="12"/>
  <c r="R27" i="12"/>
  <c r="Q27" i="12"/>
  <c r="T27" i="12"/>
  <c r="R25" i="12"/>
  <c r="Q25" i="12"/>
  <c r="T25" i="12"/>
  <c r="R24" i="12"/>
  <c r="Q24" i="12"/>
  <c r="T24" i="12"/>
  <c r="R23" i="12"/>
  <c r="Q23" i="12"/>
  <c r="T23" i="12"/>
  <c r="R22" i="12"/>
  <c r="Q22" i="12"/>
  <c r="T22" i="12"/>
  <c r="R21" i="12"/>
  <c r="Q21" i="12"/>
  <c r="T21" i="12"/>
  <c r="R20" i="12"/>
  <c r="Q20" i="12"/>
  <c r="T20" i="12"/>
  <c r="R19" i="12"/>
  <c r="Q19" i="12"/>
  <c r="T19" i="12"/>
  <c r="R18" i="12"/>
  <c r="Q18" i="12"/>
  <c r="T18" i="12"/>
  <c r="R17" i="12"/>
  <c r="Q17" i="12"/>
  <c r="T17" i="12"/>
  <c r="R16" i="12"/>
  <c r="Q16" i="12"/>
  <c r="T16" i="12"/>
  <c r="R14" i="12"/>
  <c r="Q14" i="12"/>
  <c r="T14" i="12"/>
  <c r="R13" i="12"/>
  <c r="Q13" i="12"/>
  <c r="R11" i="12"/>
  <c r="Q11" i="12"/>
  <c r="R10" i="12"/>
  <c r="T11" i="12"/>
  <c r="Q81" i="12"/>
  <c r="H81" i="12"/>
  <c r="J81" i="12"/>
  <c r="P81" i="12"/>
  <c r="F81" i="12"/>
  <c r="N81" i="12"/>
  <c r="K81" i="12"/>
  <c r="D81" i="12"/>
  <c r="L81" i="12"/>
  <c r="T10" i="12"/>
  <c r="S10" i="12"/>
  <c r="Q75" i="12"/>
  <c r="T75" i="12"/>
  <c r="I81" i="12"/>
  <c r="E81" i="12"/>
  <c r="M81" i="12"/>
  <c r="G81" i="12"/>
  <c r="O81" i="12"/>
  <c r="T33" i="12"/>
  <c r="S33" i="12"/>
  <c r="Q78" i="12"/>
  <c r="T78" i="12"/>
  <c r="S20" i="12"/>
  <c r="S24" i="12"/>
  <c r="S29" i="12"/>
  <c r="S37" i="12"/>
  <c r="S18" i="12"/>
  <c r="S22" i="12"/>
  <c r="S27" i="12"/>
  <c r="S31" i="12"/>
  <c r="S35" i="12"/>
  <c r="S39" i="12"/>
  <c r="S11" i="12"/>
  <c r="S17" i="12"/>
  <c r="S21" i="12"/>
  <c r="S25" i="12"/>
  <c r="S30" i="12"/>
  <c r="S34" i="12"/>
  <c r="S38" i="12"/>
  <c r="S14" i="12"/>
  <c r="S19" i="12"/>
  <c r="S23" i="12"/>
  <c r="S28" i="12"/>
  <c r="S32" i="12"/>
  <c r="S36" i="12"/>
  <c r="S40" i="12"/>
  <c r="R78" i="12"/>
  <c r="S41" i="12"/>
  <c r="S16" i="12"/>
  <c r="S43" i="12"/>
  <c r="R75" i="12"/>
  <c r="Q76" i="12"/>
  <c r="T76" i="12"/>
  <c r="R76" i="12"/>
  <c r="R77" i="12"/>
  <c r="Q77" i="12"/>
  <c r="T77" i="12"/>
  <c r="T13" i="12"/>
  <c r="S13" i="12"/>
  <c r="R58" i="11"/>
  <c r="Q58" i="11"/>
  <c r="T58" i="11"/>
  <c r="R41" i="11"/>
  <c r="Q41" i="11"/>
  <c r="T41" i="11"/>
  <c r="R48" i="11"/>
  <c r="Q48" i="11"/>
  <c r="T48" i="11"/>
  <c r="Q47" i="11"/>
  <c r="T47" i="11"/>
  <c r="R47" i="11"/>
  <c r="Q19" i="11"/>
  <c r="T19" i="11"/>
  <c r="R19" i="11"/>
  <c r="Q25" i="11"/>
  <c r="T25" i="11"/>
  <c r="R25" i="11"/>
  <c r="Q49" i="11"/>
  <c r="T49" i="11"/>
  <c r="R49" i="11"/>
  <c r="R57" i="11"/>
  <c r="Q57" i="11"/>
  <c r="T57" i="11"/>
  <c r="R56" i="11"/>
  <c r="Q56" i="11"/>
  <c r="T56" i="11"/>
  <c r="Q55" i="11"/>
  <c r="T55" i="11"/>
  <c r="R55" i="11"/>
  <c r="R54" i="11"/>
  <c r="Q54" i="11"/>
  <c r="T54" i="11"/>
  <c r="R53" i="11"/>
  <c r="Q53" i="11"/>
  <c r="T53" i="11"/>
  <c r="R52" i="11"/>
  <c r="Q52" i="11"/>
  <c r="T52" i="11"/>
  <c r="R51" i="11"/>
  <c r="Q51" i="11"/>
  <c r="T51" i="11"/>
  <c r="R50" i="11"/>
  <c r="Q50" i="11"/>
  <c r="T50" i="11"/>
  <c r="Q46" i="11"/>
  <c r="T46" i="11"/>
  <c r="R46" i="11"/>
  <c r="Q45" i="11"/>
  <c r="T45" i="11"/>
  <c r="R45" i="11"/>
  <c r="Q44" i="11"/>
  <c r="T44" i="11"/>
  <c r="R44" i="11"/>
  <c r="Q43" i="11"/>
  <c r="T43" i="11"/>
  <c r="R43" i="11"/>
  <c r="Q38" i="11"/>
  <c r="T38" i="11"/>
  <c r="R38" i="11"/>
  <c r="Q37" i="11"/>
  <c r="T37" i="11"/>
  <c r="R37" i="11"/>
  <c r="Q36" i="11"/>
  <c r="T36" i="11"/>
  <c r="R36" i="11"/>
  <c r="Q34" i="11"/>
  <c r="T34" i="11"/>
  <c r="R34" i="11"/>
  <c r="Q32" i="11"/>
  <c r="T32" i="11"/>
  <c r="R32" i="11"/>
  <c r="Q31" i="11"/>
  <c r="T31" i="11"/>
  <c r="R31" i="11"/>
  <c r="Q30" i="11"/>
  <c r="T30" i="11"/>
  <c r="R30" i="11"/>
  <c r="Q28" i="11"/>
  <c r="T28" i="11"/>
  <c r="R28" i="11"/>
  <c r="Q24" i="11"/>
  <c r="T24" i="11"/>
  <c r="R24" i="11"/>
  <c r="Q15" i="11"/>
  <c r="T15" i="11"/>
  <c r="R15" i="11"/>
  <c r="Q13" i="11"/>
  <c r="T13" i="11"/>
  <c r="R13" i="11"/>
  <c r="R40" i="11"/>
  <c r="R39" i="11"/>
  <c r="R35" i="11"/>
  <c r="R33" i="11"/>
  <c r="R29" i="11"/>
  <c r="R26" i="11"/>
  <c r="R23" i="11"/>
  <c r="R22" i="11"/>
  <c r="R21" i="11"/>
  <c r="R20" i="11"/>
  <c r="R18" i="11"/>
  <c r="R17" i="11"/>
  <c r="R14" i="11"/>
  <c r="R12" i="11"/>
  <c r="R10" i="11"/>
  <c r="Q40" i="11"/>
  <c r="T40" i="11"/>
  <c r="Q39" i="11"/>
  <c r="T39" i="11"/>
  <c r="Q35" i="11"/>
  <c r="T35" i="11"/>
  <c r="Q33" i="11"/>
  <c r="T33" i="11"/>
  <c r="Q29" i="11"/>
  <c r="T29" i="11"/>
  <c r="Q26" i="11"/>
  <c r="T26" i="11"/>
  <c r="Q23" i="11"/>
  <c r="T23" i="11"/>
  <c r="Q22" i="11"/>
  <c r="T22" i="11"/>
  <c r="Q21" i="11"/>
  <c r="T21" i="11"/>
  <c r="Q20" i="11"/>
  <c r="T20" i="11"/>
  <c r="Q18" i="11"/>
  <c r="T18" i="11"/>
  <c r="Q17" i="11"/>
  <c r="T17" i="11"/>
  <c r="Q14" i="11"/>
  <c r="T14" i="11"/>
  <c r="Q12" i="11"/>
  <c r="T12" i="11"/>
  <c r="Q10" i="11"/>
  <c r="Q60" i="11"/>
  <c r="E64" i="11"/>
  <c r="F64" i="11"/>
  <c r="G64" i="11"/>
  <c r="H64" i="11"/>
  <c r="I64" i="11"/>
  <c r="J64" i="11"/>
  <c r="K64" i="11"/>
  <c r="L64" i="11"/>
  <c r="M64" i="11"/>
  <c r="N64" i="11"/>
  <c r="O64" i="11"/>
  <c r="P64" i="11"/>
  <c r="D65" i="11"/>
  <c r="D64" i="11"/>
  <c r="D60" i="11"/>
  <c r="D61" i="11"/>
  <c r="D62" i="11"/>
  <c r="D63" i="11"/>
  <c r="P63" i="11"/>
  <c r="O63" i="11"/>
  <c r="N63" i="11"/>
  <c r="M63" i="11"/>
  <c r="L63" i="11"/>
  <c r="K63" i="11"/>
  <c r="J63" i="11"/>
  <c r="I63" i="11"/>
  <c r="H63" i="11"/>
  <c r="G63" i="11"/>
  <c r="F63" i="11"/>
  <c r="E63" i="11"/>
  <c r="P62" i="11"/>
  <c r="O62" i="11"/>
  <c r="N62" i="11"/>
  <c r="M62" i="11"/>
  <c r="L62" i="11"/>
  <c r="K62" i="11"/>
  <c r="J62" i="11"/>
  <c r="J60" i="11"/>
  <c r="J61" i="11"/>
  <c r="I62" i="11"/>
  <c r="H62" i="11"/>
  <c r="G62" i="11"/>
  <c r="F62" i="11"/>
  <c r="E62" i="11"/>
  <c r="P61" i="11"/>
  <c r="O61" i="11"/>
  <c r="N61" i="11"/>
  <c r="M61" i="11"/>
  <c r="L61" i="11"/>
  <c r="K61" i="11"/>
  <c r="I61" i="11"/>
  <c r="H61" i="11"/>
  <c r="G61" i="11"/>
  <c r="E61" i="11"/>
  <c r="F61" i="11"/>
  <c r="P60" i="11"/>
  <c r="O60" i="11"/>
  <c r="N60" i="11"/>
  <c r="M60" i="11"/>
  <c r="L60" i="11"/>
  <c r="K60" i="11"/>
  <c r="I60" i="11"/>
  <c r="H60" i="11"/>
  <c r="E60" i="11"/>
  <c r="F60" i="11"/>
  <c r="G60" i="11"/>
  <c r="R45" i="10"/>
  <c r="U45" i="10"/>
  <c r="S45" i="10"/>
  <c r="Q57" i="10"/>
  <c r="Q97" i="10"/>
  <c r="I60" i="10"/>
  <c r="J60" i="10"/>
  <c r="K60" i="10"/>
  <c r="L60" i="10"/>
  <c r="M60" i="10"/>
  <c r="N60" i="10"/>
  <c r="O60" i="10"/>
  <c r="P60" i="10"/>
  <c r="Q60" i="10"/>
  <c r="F60" i="10"/>
  <c r="G60" i="10"/>
  <c r="H60" i="10"/>
  <c r="E60" i="10"/>
  <c r="S41" i="10"/>
  <c r="R41" i="10"/>
  <c r="U41" i="10"/>
  <c r="S40" i="10"/>
  <c r="R40" i="10"/>
  <c r="U40" i="10"/>
  <c r="S42" i="10"/>
  <c r="S39" i="10"/>
  <c r="S38" i="10"/>
  <c r="R55" i="10"/>
  <c r="U55" i="10"/>
  <c r="S55" i="10"/>
  <c r="R54" i="10"/>
  <c r="U54" i="10"/>
  <c r="R53" i="10"/>
  <c r="U53" i="10"/>
  <c r="R52" i="10"/>
  <c r="U52" i="10"/>
  <c r="R51" i="10"/>
  <c r="U51" i="10"/>
  <c r="S51" i="10"/>
  <c r="R50" i="10"/>
  <c r="U50" i="10"/>
  <c r="R49" i="10"/>
  <c r="U49" i="10"/>
  <c r="R48" i="10"/>
  <c r="U48" i="10"/>
  <c r="R47" i="10"/>
  <c r="U47" i="10"/>
  <c r="R46" i="10"/>
  <c r="U46" i="10"/>
  <c r="S46" i="10"/>
  <c r="R44" i="10"/>
  <c r="U44" i="10"/>
  <c r="R43" i="10"/>
  <c r="U43" i="10"/>
  <c r="R42" i="10"/>
  <c r="U42" i="10"/>
  <c r="R39" i="10"/>
  <c r="U39" i="10"/>
  <c r="R38" i="10"/>
  <c r="U38" i="10"/>
  <c r="S87" i="10"/>
  <c r="R87" i="10"/>
  <c r="U87" i="10"/>
  <c r="S86" i="10"/>
  <c r="R86" i="10"/>
  <c r="U86" i="10"/>
  <c r="S85" i="10"/>
  <c r="R85" i="10"/>
  <c r="U85" i="10"/>
  <c r="S84" i="10"/>
  <c r="R84" i="10"/>
  <c r="U84" i="10"/>
  <c r="S83" i="10"/>
  <c r="R83" i="10"/>
  <c r="U83" i="10"/>
  <c r="S82" i="10"/>
  <c r="R82" i="10"/>
  <c r="U82" i="10"/>
  <c r="R96" i="10"/>
  <c r="R100" i="10"/>
  <c r="Q96" i="10"/>
  <c r="Q100" i="10"/>
  <c r="P96" i="10"/>
  <c r="P100" i="10"/>
  <c r="O96" i="10"/>
  <c r="O100" i="10"/>
  <c r="N96" i="10"/>
  <c r="N100" i="10"/>
  <c r="M96" i="10"/>
  <c r="M100" i="10"/>
  <c r="L96" i="10"/>
  <c r="L100" i="10"/>
  <c r="K96" i="10"/>
  <c r="K100" i="10"/>
  <c r="J96" i="10"/>
  <c r="J100" i="10"/>
  <c r="I96" i="10"/>
  <c r="I100" i="10"/>
  <c r="H96" i="10"/>
  <c r="H100" i="10"/>
  <c r="G96" i="10"/>
  <c r="G100" i="10"/>
  <c r="F96" i="10"/>
  <c r="S96" i="10"/>
  <c r="S100" i="10"/>
  <c r="E96" i="10"/>
  <c r="E100" i="10"/>
  <c r="Q90" i="10"/>
  <c r="P90" i="10"/>
  <c r="O90" i="10"/>
  <c r="N90" i="10"/>
  <c r="M90" i="10"/>
  <c r="L90" i="10"/>
  <c r="L59" i="10"/>
  <c r="K90" i="10"/>
  <c r="J90" i="10"/>
  <c r="I90" i="10"/>
  <c r="H90" i="10"/>
  <c r="G90" i="10"/>
  <c r="F90" i="10"/>
  <c r="E90" i="10"/>
  <c r="Q89" i="10"/>
  <c r="P89" i="10"/>
  <c r="O89" i="10"/>
  <c r="N89" i="10"/>
  <c r="M89" i="10"/>
  <c r="M58" i="10"/>
  <c r="L89" i="10"/>
  <c r="K89" i="10"/>
  <c r="J89" i="10"/>
  <c r="I89" i="10"/>
  <c r="F89" i="10"/>
  <c r="G89" i="10"/>
  <c r="H89" i="10"/>
  <c r="H91" i="10"/>
  <c r="E89" i="10"/>
  <c r="E58" i="10"/>
  <c r="S80" i="10"/>
  <c r="R80" i="10"/>
  <c r="U80" i="10"/>
  <c r="S79" i="10"/>
  <c r="R79" i="10"/>
  <c r="U79" i="10"/>
  <c r="S78" i="10"/>
  <c r="R78" i="10"/>
  <c r="U78" i="10"/>
  <c r="S77" i="10"/>
  <c r="R77" i="10"/>
  <c r="U77" i="10"/>
  <c r="S76" i="10"/>
  <c r="R76" i="10"/>
  <c r="U76" i="10"/>
  <c r="S75" i="10"/>
  <c r="R75" i="10"/>
  <c r="U75" i="10"/>
  <c r="S74" i="10"/>
  <c r="R74" i="10"/>
  <c r="U74" i="10"/>
  <c r="S73" i="10"/>
  <c r="R73" i="10"/>
  <c r="U73" i="10"/>
  <c r="S71" i="10"/>
  <c r="R71" i="10"/>
  <c r="U71" i="10"/>
  <c r="S70" i="10"/>
  <c r="R70" i="10"/>
  <c r="U70" i="10"/>
  <c r="S69" i="10"/>
  <c r="R69" i="10"/>
  <c r="U69" i="10"/>
  <c r="S68" i="10"/>
  <c r="R68" i="10"/>
  <c r="U68" i="10"/>
  <c r="S67" i="10"/>
  <c r="R67" i="10"/>
  <c r="U67" i="10"/>
  <c r="Q59" i="10"/>
  <c r="P59" i="10"/>
  <c r="P57" i="10"/>
  <c r="P97" i="10"/>
  <c r="P58" i="10"/>
  <c r="O59" i="10"/>
  <c r="N59" i="10"/>
  <c r="M59" i="10"/>
  <c r="K59" i="10"/>
  <c r="J59" i="10"/>
  <c r="I59" i="10"/>
  <c r="H59" i="10"/>
  <c r="H57" i="10"/>
  <c r="H58" i="10"/>
  <c r="G59" i="10"/>
  <c r="F59" i="10"/>
  <c r="E59" i="10"/>
  <c r="Q58" i="10"/>
  <c r="O58" i="10"/>
  <c r="N58" i="10"/>
  <c r="L58" i="10"/>
  <c r="K58" i="10"/>
  <c r="J58" i="10"/>
  <c r="I58" i="10"/>
  <c r="G58" i="10"/>
  <c r="F58" i="10"/>
  <c r="R13" i="10"/>
  <c r="U13" i="10"/>
  <c r="R14" i="10"/>
  <c r="U14" i="10"/>
  <c r="R15" i="10"/>
  <c r="U15" i="10"/>
  <c r="R16" i="10"/>
  <c r="U16" i="10"/>
  <c r="R17" i="10"/>
  <c r="U17" i="10"/>
  <c r="R18" i="10"/>
  <c r="U18" i="10"/>
  <c r="R19" i="10"/>
  <c r="U19" i="10"/>
  <c r="R20" i="10"/>
  <c r="U20" i="10"/>
  <c r="R21" i="10"/>
  <c r="U21" i="10"/>
  <c r="R22" i="10"/>
  <c r="U22" i="10"/>
  <c r="R23" i="10"/>
  <c r="U23" i="10"/>
  <c r="O57" i="10"/>
  <c r="O97" i="10"/>
  <c r="N57" i="10"/>
  <c r="N97" i="10"/>
  <c r="M57" i="10"/>
  <c r="M97" i="10"/>
  <c r="L57" i="10"/>
  <c r="K57" i="10"/>
  <c r="K97" i="10"/>
  <c r="J57" i="10"/>
  <c r="I57" i="10"/>
  <c r="F57" i="10"/>
  <c r="F97" i="10"/>
  <c r="G57" i="10"/>
  <c r="E57" i="10"/>
  <c r="E97" i="10"/>
  <c r="S54" i="10"/>
  <c r="S53" i="10"/>
  <c r="S52" i="10"/>
  <c r="S50" i="10"/>
  <c r="S49" i="10"/>
  <c r="S48" i="10"/>
  <c r="S47" i="10"/>
  <c r="S44" i="10"/>
  <c r="S43" i="10"/>
  <c r="S36" i="10"/>
  <c r="R36" i="10"/>
  <c r="U36" i="10"/>
  <c r="S35" i="10"/>
  <c r="R35" i="10"/>
  <c r="U35" i="10"/>
  <c r="S34" i="10"/>
  <c r="R34" i="10"/>
  <c r="U34" i="10"/>
  <c r="S33" i="10"/>
  <c r="R33" i="10"/>
  <c r="U33" i="10"/>
  <c r="S32" i="10"/>
  <c r="R32" i="10"/>
  <c r="U32" i="10"/>
  <c r="S31" i="10"/>
  <c r="R31" i="10"/>
  <c r="U31" i="10"/>
  <c r="S30" i="10"/>
  <c r="R30" i="10"/>
  <c r="U30" i="10"/>
  <c r="S29" i="10"/>
  <c r="R29" i="10"/>
  <c r="U29" i="10"/>
  <c r="S28" i="10"/>
  <c r="R28" i="10"/>
  <c r="U28" i="10"/>
  <c r="S27" i="10"/>
  <c r="R27" i="10"/>
  <c r="U27" i="10"/>
  <c r="S26" i="10"/>
  <c r="R26" i="10"/>
  <c r="U26" i="10"/>
  <c r="S25" i="10"/>
  <c r="R25" i="10"/>
  <c r="U25" i="10"/>
  <c r="S23" i="10"/>
  <c r="S22" i="10"/>
  <c r="S21" i="10"/>
  <c r="S20" i="10"/>
  <c r="S19" i="10"/>
  <c r="S18" i="10"/>
  <c r="S17" i="10"/>
  <c r="S16" i="10"/>
  <c r="S15" i="10"/>
  <c r="S14" i="10"/>
  <c r="S13" i="10"/>
  <c r="S11" i="10"/>
  <c r="R11" i="10"/>
  <c r="S10" i="10"/>
  <c r="R10" i="10"/>
  <c r="U10" i="10"/>
  <c r="S75" i="9"/>
  <c r="S74" i="9"/>
  <c r="S72" i="9"/>
  <c r="R72" i="9"/>
  <c r="U72" i="9"/>
  <c r="S64" i="9"/>
  <c r="R64" i="9"/>
  <c r="U64" i="9"/>
  <c r="E35" i="9"/>
  <c r="R75" i="9"/>
  <c r="U75" i="9"/>
  <c r="R74" i="9"/>
  <c r="U74" i="9"/>
  <c r="K34" i="9"/>
  <c r="S34" i="9"/>
  <c r="K78" i="9"/>
  <c r="K15" i="9"/>
  <c r="S15" i="9"/>
  <c r="S66" i="9"/>
  <c r="R66" i="9"/>
  <c r="U66" i="9"/>
  <c r="S65" i="9"/>
  <c r="R65" i="9"/>
  <c r="U65" i="9"/>
  <c r="K38" i="9"/>
  <c r="K56" i="9"/>
  <c r="F56" i="9"/>
  <c r="G56" i="9"/>
  <c r="H56" i="9"/>
  <c r="I56" i="9"/>
  <c r="J56" i="9"/>
  <c r="L56" i="9"/>
  <c r="M56" i="9"/>
  <c r="N56" i="9"/>
  <c r="O56" i="9"/>
  <c r="P56" i="9"/>
  <c r="Q56" i="9"/>
  <c r="J79" i="9"/>
  <c r="S71" i="9"/>
  <c r="R71" i="9"/>
  <c r="U71" i="9"/>
  <c r="S76" i="9"/>
  <c r="S73" i="9"/>
  <c r="S70" i="9"/>
  <c r="S69" i="9"/>
  <c r="S67" i="9"/>
  <c r="S63" i="9"/>
  <c r="S11" i="9"/>
  <c r="S10" i="9"/>
  <c r="S21" i="9"/>
  <c r="S20" i="9"/>
  <c r="S19" i="9"/>
  <c r="S18" i="9"/>
  <c r="S17" i="9"/>
  <c r="S16" i="9"/>
  <c r="J14" i="9"/>
  <c r="R14" i="9"/>
  <c r="U14" i="9"/>
  <c r="S13" i="9"/>
  <c r="R13" i="9"/>
  <c r="U13" i="9"/>
  <c r="S33" i="9"/>
  <c r="S32" i="9"/>
  <c r="S31" i="9"/>
  <c r="S30" i="9"/>
  <c r="S29" i="9"/>
  <c r="S28" i="9"/>
  <c r="S27" i="9"/>
  <c r="S26" i="9"/>
  <c r="R26" i="9"/>
  <c r="U26" i="9"/>
  <c r="S25" i="9"/>
  <c r="J24" i="9"/>
  <c r="J78" i="9"/>
  <c r="S23" i="9"/>
  <c r="S35" i="9"/>
  <c r="S51" i="9"/>
  <c r="S50" i="9"/>
  <c r="S49" i="9"/>
  <c r="S48" i="9"/>
  <c r="S47" i="9"/>
  <c r="S46" i="9"/>
  <c r="S45" i="9"/>
  <c r="S44" i="9"/>
  <c r="S43" i="9"/>
  <c r="S42" i="9"/>
  <c r="S41" i="9"/>
  <c r="S40" i="9"/>
  <c r="S37" i="9"/>
  <c r="S39" i="9"/>
  <c r="Q79" i="9"/>
  <c r="P79" i="9"/>
  <c r="O79" i="9"/>
  <c r="N79" i="9"/>
  <c r="M79" i="9"/>
  <c r="I79" i="9"/>
  <c r="H79" i="9"/>
  <c r="G79" i="9"/>
  <c r="F79" i="9"/>
  <c r="Q78" i="9"/>
  <c r="Q55" i="9"/>
  <c r="P78" i="9"/>
  <c r="P55" i="9"/>
  <c r="O78" i="9"/>
  <c r="O55" i="9"/>
  <c r="N78" i="9"/>
  <c r="N55" i="9"/>
  <c r="M78" i="9"/>
  <c r="M55" i="9"/>
  <c r="I78" i="9"/>
  <c r="I55" i="9"/>
  <c r="H78" i="9"/>
  <c r="H55" i="9"/>
  <c r="F78" i="9"/>
  <c r="F55" i="9"/>
  <c r="Q54" i="9"/>
  <c r="Q86" i="9"/>
  <c r="P54" i="9"/>
  <c r="O54" i="9"/>
  <c r="O86" i="9"/>
  <c r="N54" i="9"/>
  <c r="N86" i="9"/>
  <c r="M54" i="9"/>
  <c r="M86" i="9"/>
  <c r="I54" i="9"/>
  <c r="I86" i="9"/>
  <c r="H54" i="9"/>
  <c r="H86" i="9"/>
  <c r="G54" i="9"/>
  <c r="G86" i="9"/>
  <c r="F54" i="9"/>
  <c r="F86" i="9"/>
  <c r="F53" i="9"/>
  <c r="F85" i="9"/>
  <c r="E54" i="9"/>
  <c r="E86" i="9"/>
  <c r="Q53" i="9"/>
  <c r="Q85" i="9"/>
  <c r="P53" i="9"/>
  <c r="P85" i="9"/>
  <c r="O53" i="9"/>
  <c r="O85" i="9"/>
  <c r="N53" i="9"/>
  <c r="N85" i="9"/>
  <c r="M53" i="9"/>
  <c r="M85" i="9"/>
  <c r="J53" i="9"/>
  <c r="J85" i="9"/>
  <c r="I53" i="9"/>
  <c r="I85" i="9"/>
  <c r="H53" i="9"/>
  <c r="H85" i="9"/>
  <c r="G53" i="9"/>
  <c r="E53" i="9"/>
  <c r="E85" i="9"/>
  <c r="R76" i="9"/>
  <c r="U76" i="9"/>
  <c r="R70" i="9"/>
  <c r="U70" i="9"/>
  <c r="L79" i="9"/>
  <c r="K79" i="9"/>
  <c r="L78" i="9"/>
  <c r="L55" i="9"/>
  <c r="G78" i="9"/>
  <c r="E79" i="9"/>
  <c r="E56" i="9"/>
  <c r="E78" i="9"/>
  <c r="G55" i="9"/>
  <c r="R51" i="9"/>
  <c r="U51" i="9"/>
  <c r="R50" i="9"/>
  <c r="U50" i="9"/>
  <c r="R49" i="9"/>
  <c r="U49" i="9"/>
  <c r="R48" i="9"/>
  <c r="U48" i="9"/>
  <c r="R47" i="9"/>
  <c r="U47" i="9"/>
  <c r="R46" i="9"/>
  <c r="U46" i="9"/>
  <c r="R45" i="9"/>
  <c r="U45" i="9"/>
  <c r="R44" i="9"/>
  <c r="U44" i="9"/>
  <c r="R43" i="9"/>
  <c r="U43" i="9"/>
  <c r="R42" i="9"/>
  <c r="U42" i="9"/>
  <c r="R41" i="9"/>
  <c r="U41" i="9"/>
  <c r="R40" i="9"/>
  <c r="U40" i="9"/>
  <c r="R39" i="9"/>
  <c r="U39" i="9"/>
  <c r="R69" i="9"/>
  <c r="U69" i="9"/>
  <c r="R37" i="9"/>
  <c r="U37" i="9"/>
  <c r="R67" i="9"/>
  <c r="U67" i="9"/>
  <c r="R63" i="9"/>
  <c r="U63" i="9"/>
  <c r="R35" i="9"/>
  <c r="R33" i="9"/>
  <c r="U33" i="9"/>
  <c r="R32" i="9"/>
  <c r="U32" i="9"/>
  <c r="R31" i="9"/>
  <c r="U31" i="9"/>
  <c r="R30" i="9"/>
  <c r="U30" i="9"/>
  <c r="R29" i="9"/>
  <c r="U29" i="9"/>
  <c r="R28" i="9"/>
  <c r="U28" i="9"/>
  <c r="R27" i="9"/>
  <c r="U27" i="9"/>
  <c r="R73" i="9"/>
  <c r="U73" i="9"/>
  <c r="R25" i="9"/>
  <c r="U25" i="9"/>
  <c r="R23" i="9"/>
  <c r="U23" i="9"/>
  <c r="R21" i="9"/>
  <c r="U21" i="9"/>
  <c r="R20" i="9"/>
  <c r="U20" i="9"/>
  <c r="R19" i="9"/>
  <c r="U19" i="9"/>
  <c r="R18" i="9"/>
  <c r="U18" i="9"/>
  <c r="R17" i="9"/>
  <c r="U17" i="9"/>
  <c r="R16" i="9"/>
  <c r="U16" i="9"/>
  <c r="R11" i="9"/>
  <c r="U11" i="9"/>
  <c r="L54" i="9"/>
  <c r="L86" i="9"/>
  <c r="L53" i="9"/>
  <c r="L85" i="9"/>
  <c r="K53" i="9"/>
  <c r="K85" i="9"/>
  <c r="R10" i="9"/>
  <c r="D25" i="8"/>
  <c r="D24" i="8"/>
  <c r="D23" i="8"/>
  <c r="D22" i="8"/>
  <c r="D21" i="8"/>
  <c r="D20" i="8"/>
  <c r="D19" i="8"/>
  <c r="D18" i="8"/>
  <c r="D17" i="8"/>
  <c r="D16" i="8"/>
  <c r="D15" i="8"/>
  <c r="D14" i="8"/>
  <c r="D13" i="8"/>
  <c r="D12" i="8"/>
  <c r="D11" i="8"/>
  <c r="D10" i="8"/>
  <c r="D9" i="8"/>
  <c r="D8" i="8"/>
  <c r="D7" i="8"/>
  <c r="D6" i="8"/>
  <c r="D5" i="8"/>
  <c r="D4" i="8"/>
  <c r="D3" i="8"/>
  <c r="D2" i="8"/>
  <c r="S51" i="7"/>
  <c r="R51" i="7"/>
  <c r="U51" i="7"/>
  <c r="R50" i="7"/>
  <c r="U50" i="7"/>
  <c r="S50" i="7"/>
  <c r="S49" i="7"/>
  <c r="R49" i="7"/>
  <c r="U49" i="7"/>
  <c r="R38" i="7"/>
  <c r="U38" i="7"/>
  <c r="S38" i="7"/>
  <c r="R30" i="6"/>
  <c r="U30" i="6"/>
  <c r="F56" i="7"/>
  <c r="G56" i="7"/>
  <c r="H56" i="7"/>
  <c r="I56" i="7"/>
  <c r="J56" i="7"/>
  <c r="K56" i="7"/>
  <c r="L56" i="7"/>
  <c r="M56" i="7"/>
  <c r="N56" i="7"/>
  <c r="O56" i="7"/>
  <c r="P56" i="7"/>
  <c r="Q56" i="7"/>
  <c r="Q53" i="7"/>
  <c r="Q54" i="7"/>
  <c r="Q55" i="7"/>
  <c r="E56" i="7"/>
  <c r="S48" i="7"/>
  <c r="R48" i="7"/>
  <c r="U48" i="7"/>
  <c r="S47" i="7"/>
  <c r="R47" i="7"/>
  <c r="U47" i="7"/>
  <c r="S46" i="7"/>
  <c r="R46" i="7"/>
  <c r="U46" i="7"/>
  <c r="S45" i="7"/>
  <c r="R45" i="7"/>
  <c r="U45" i="7"/>
  <c r="S44" i="7"/>
  <c r="R44" i="7"/>
  <c r="U44" i="7"/>
  <c r="S43" i="7"/>
  <c r="R43" i="7"/>
  <c r="U43" i="7"/>
  <c r="S42" i="7"/>
  <c r="R42" i="7"/>
  <c r="U42" i="7"/>
  <c r="S41" i="7"/>
  <c r="R41" i="7"/>
  <c r="U41" i="7"/>
  <c r="S40" i="7"/>
  <c r="R40" i="7"/>
  <c r="U40" i="7"/>
  <c r="S39" i="7"/>
  <c r="R39" i="7"/>
  <c r="U39" i="7"/>
  <c r="S37" i="7"/>
  <c r="R37" i="7"/>
  <c r="U37" i="7"/>
  <c r="P55" i="7"/>
  <c r="F55" i="7"/>
  <c r="G55" i="7"/>
  <c r="H55" i="7"/>
  <c r="I55" i="7"/>
  <c r="J55" i="7"/>
  <c r="K55" i="7"/>
  <c r="L55" i="7"/>
  <c r="M55" i="7"/>
  <c r="N55" i="7"/>
  <c r="O55" i="7"/>
  <c r="O53" i="7"/>
  <c r="O54" i="7"/>
  <c r="E55" i="7"/>
  <c r="P54" i="7"/>
  <c r="N54" i="7"/>
  <c r="M54" i="7"/>
  <c r="L54" i="7"/>
  <c r="K54" i="7"/>
  <c r="J54" i="7"/>
  <c r="I54" i="7"/>
  <c r="H54" i="7"/>
  <c r="G54" i="7"/>
  <c r="F54" i="7"/>
  <c r="E54" i="7"/>
  <c r="E53" i="7"/>
  <c r="P53" i="7"/>
  <c r="N53" i="7"/>
  <c r="M53" i="7"/>
  <c r="L53" i="7"/>
  <c r="K53" i="7"/>
  <c r="J53" i="7"/>
  <c r="F53" i="7"/>
  <c r="G53" i="7"/>
  <c r="H53" i="7"/>
  <c r="I53" i="7"/>
  <c r="S35" i="7"/>
  <c r="R35" i="7"/>
  <c r="U35" i="7"/>
  <c r="S34" i="7"/>
  <c r="R34" i="7"/>
  <c r="U34" i="7"/>
  <c r="S33" i="7"/>
  <c r="R33" i="7"/>
  <c r="U33" i="7"/>
  <c r="S32" i="7"/>
  <c r="R32" i="7"/>
  <c r="U32" i="7"/>
  <c r="S31" i="7"/>
  <c r="R31" i="7"/>
  <c r="U31" i="7"/>
  <c r="S30" i="7"/>
  <c r="R30" i="7"/>
  <c r="U30" i="7"/>
  <c r="S29" i="7"/>
  <c r="R29" i="7"/>
  <c r="U29" i="7"/>
  <c r="S28" i="7"/>
  <c r="R28" i="7"/>
  <c r="U28" i="7"/>
  <c r="S27" i="7"/>
  <c r="R27" i="7"/>
  <c r="U27" i="7"/>
  <c r="S26" i="7"/>
  <c r="R26" i="7"/>
  <c r="U26" i="7"/>
  <c r="S25" i="7"/>
  <c r="R25" i="7"/>
  <c r="U25" i="7"/>
  <c r="S24" i="7"/>
  <c r="R24" i="7"/>
  <c r="U24" i="7"/>
  <c r="S23" i="7"/>
  <c r="R23" i="7"/>
  <c r="U23" i="7"/>
  <c r="S21" i="7"/>
  <c r="R21" i="7"/>
  <c r="U21" i="7"/>
  <c r="S20" i="7"/>
  <c r="R20" i="7"/>
  <c r="U20" i="7"/>
  <c r="S19" i="7"/>
  <c r="R19" i="7"/>
  <c r="U19" i="7"/>
  <c r="S18" i="7"/>
  <c r="R18" i="7"/>
  <c r="U18" i="7"/>
  <c r="S17" i="7"/>
  <c r="R17" i="7"/>
  <c r="S16" i="7"/>
  <c r="R16" i="7"/>
  <c r="U16" i="7"/>
  <c r="S15" i="7"/>
  <c r="R15" i="7"/>
  <c r="U15" i="7"/>
  <c r="S13" i="7"/>
  <c r="R13" i="7"/>
  <c r="U13" i="7"/>
  <c r="S12" i="7"/>
  <c r="R12" i="7"/>
  <c r="U12" i="7"/>
  <c r="S11" i="7"/>
  <c r="R11" i="7"/>
  <c r="S10" i="7"/>
  <c r="R10" i="7"/>
  <c r="U10" i="7"/>
  <c r="R49" i="6"/>
  <c r="U49" i="6"/>
  <c r="S49" i="6"/>
  <c r="F55" i="6"/>
  <c r="G55" i="6"/>
  <c r="H55" i="6"/>
  <c r="I55" i="6"/>
  <c r="J55" i="6"/>
  <c r="K55" i="6"/>
  <c r="L55" i="6"/>
  <c r="M55" i="6"/>
  <c r="N55" i="6"/>
  <c r="O55" i="6"/>
  <c r="P55" i="6"/>
  <c r="Q55" i="6"/>
  <c r="E55" i="6"/>
  <c r="E54" i="6"/>
  <c r="Q54" i="6"/>
  <c r="P54" i="6"/>
  <c r="O54" i="6"/>
  <c r="N54" i="6"/>
  <c r="N52" i="6"/>
  <c r="N53" i="6"/>
  <c r="M54" i="6"/>
  <c r="L54" i="6"/>
  <c r="L52" i="6"/>
  <c r="L53" i="6"/>
  <c r="K54" i="6"/>
  <c r="J54" i="6"/>
  <c r="I54" i="6"/>
  <c r="H54" i="6"/>
  <c r="G54" i="6"/>
  <c r="F54" i="6"/>
  <c r="Q53" i="6"/>
  <c r="P53" i="6"/>
  <c r="O53" i="6"/>
  <c r="M53" i="6"/>
  <c r="K53" i="6"/>
  <c r="J53" i="6"/>
  <c r="I53" i="6"/>
  <c r="H53" i="6"/>
  <c r="H52" i="6"/>
  <c r="G53" i="6"/>
  <c r="F53" i="6"/>
  <c r="E53" i="6"/>
  <c r="Q52" i="6"/>
  <c r="P52" i="6"/>
  <c r="O52" i="6"/>
  <c r="M52" i="6"/>
  <c r="K52" i="6"/>
  <c r="J52" i="6"/>
  <c r="I52" i="6"/>
  <c r="G52" i="6"/>
  <c r="F52" i="6"/>
  <c r="E52" i="6"/>
  <c r="S50" i="6"/>
  <c r="R50" i="6"/>
  <c r="U50" i="6"/>
  <c r="S48" i="6"/>
  <c r="R48" i="6"/>
  <c r="U48" i="6"/>
  <c r="S47" i="6"/>
  <c r="R47" i="6"/>
  <c r="U47" i="6"/>
  <c r="S46" i="6"/>
  <c r="R46" i="6"/>
  <c r="U46" i="6"/>
  <c r="S45" i="6"/>
  <c r="R45" i="6"/>
  <c r="U45" i="6"/>
  <c r="S44" i="6"/>
  <c r="R44" i="6"/>
  <c r="U44" i="6"/>
  <c r="S43" i="6"/>
  <c r="R43" i="6"/>
  <c r="U43" i="6"/>
  <c r="S42" i="6"/>
  <c r="R42" i="6"/>
  <c r="U42" i="6"/>
  <c r="S41" i="6"/>
  <c r="R41" i="6"/>
  <c r="U41" i="6"/>
  <c r="S40" i="6"/>
  <c r="R40" i="6"/>
  <c r="U40" i="6"/>
  <c r="S39" i="6"/>
  <c r="R39" i="6"/>
  <c r="U39" i="6"/>
  <c r="S38" i="6"/>
  <c r="R38" i="6"/>
  <c r="S36" i="6"/>
  <c r="T36" i="6"/>
  <c r="R36" i="6"/>
  <c r="S35" i="6"/>
  <c r="R35" i="6"/>
  <c r="U35" i="6"/>
  <c r="S34" i="6"/>
  <c r="R34" i="6"/>
  <c r="U34" i="6"/>
  <c r="S33" i="6"/>
  <c r="R33" i="6"/>
  <c r="U33" i="6"/>
  <c r="S32" i="6"/>
  <c r="R32" i="6"/>
  <c r="U32" i="6"/>
  <c r="S31" i="6"/>
  <c r="R31" i="6"/>
  <c r="U31" i="6"/>
  <c r="S30" i="6"/>
  <c r="S29" i="6"/>
  <c r="R29" i="6"/>
  <c r="U29" i="6"/>
  <c r="S28" i="6"/>
  <c r="R28" i="6"/>
  <c r="U28" i="6"/>
  <c r="S27" i="6"/>
  <c r="R27" i="6"/>
  <c r="U27" i="6"/>
  <c r="S26" i="6"/>
  <c r="R26" i="6"/>
  <c r="U26" i="6"/>
  <c r="S24" i="6"/>
  <c r="R24" i="6"/>
  <c r="U24" i="6"/>
  <c r="S23" i="6"/>
  <c r="R23" i="6"/>
  <c r="U23" i="6"/>
  <c r="S22" i="6"/>
  <c r="R22" i="6"/>
  <c r="U22" i="6"/>
  <c r="S21" i="6"/>
  <c r="R21" i="6"/>
  <c r="U21" i="6"/>
  <c r="S20" i="6"/>
  <c r="R20" i="6"/>
  <c r="U20" i="6"/>
  <c r="S19" i="6"/>
  <c r="R19" i="6"/>
  <c r="U19" i="6"/>
  <c r="S18" i="6"/>
  <c r="R18" i="6"/>
  <c r="R17" i="6"/>
  <c r="U17" i="6"/>
  <c r="R10" i="6"/>
  <c r="R12" i="6"/>
  <c r="U12" i="6"/>
  <c r="R13" i="6"/>
  <c r="U13" i="6"/>
  <c r="R14" i="6"/>
  <c r="U14" i="6"/>
  <c r="S17" i="6"/>
  <c r="S15" i="6"/>
  <c r="T15" i="6"/>
  <c r="R15" i="6"/>
  <c r="S14" i="6"/>
  <c r="S13" i="6"/>
  <c r="S12" i="6"/>
  <c r="S11" i="6"/>
  <c r="T11" i="6"/>
  <c r="R11" i="6"/>
  <c r="S10" i="6"/>
  <c r="Q55" i="5"/>
  <c r="Q52" i="5"/>
  <c r="Q53" i="5"/>
  <c r="Q54" i="5"/>
  <c r="P55" i="5"/>
  <c r="O55" i="5"/>
  <c r="N55" i="5"/>
  <c r="M55" i="5"/>
  <c r="L55" i="5"/>
  <c r="K55" i="5"/>
  <c r="J55" i="5"/>
  <c r="I55" i="5"/>
  <c r="H55" i="5"/>
  <c r="G55" i="5"/>
  <c r="F55" i="5"/>
  <c r="E55" i="5"/>
  <c r="P54" i="5"/>
  <c r="P52" i="5"/>
  <c r="P53" i="5"/>
  <c r="O54" i="5"/>
  <c r="N54" i="5"/>
  <c r="N52" i="5"/>
  <c r="N53" i="5"/>
  <c r="M54" i="5"/>
  <c r="L54" i="5"/>
  <c r="K54" i="5"/>
  <c r="J54" i="5"/>
  <c r="I54" i="5"/>
  <c r="H54" i="5"/>
  <c r="G54" i="5"/>
  <c r="F54" i="5"/>
  <c r="E54" i="5"/>
  <c r="O53" i="5"/>
  <c r="M53" i="5"/>
  <c r="L53" i="5"/>
  <c r="K53" i="5"/>
  <c r="J53" i="5"/>
  <c r="I53" i="5"/>
  <c r="H53" i="5"/>
  <c r="G53" i="5"/>
  <c r="F53" i="5"/>
  <c r="E53" i="5"/>
  <c r="O52" i="5"/>
  <c r="M52" i="5"/>
  <c r="L52" i="5"/>
  <c r="K52" i="5"/>
  <c r="J52" i="5"/>
  <c r="I52" i="5"/>
  <c r="H52" i="5"/>
  <c r="G52" i="5"/>
  <c r="F52" i="5"/>
  <c r="E52" i="5"/>
  <c r="S50" i="5"/>
  <c r="R50" i="5"/>
  <c r="U50" i="5"/>
  <c r="Y50" i="5"/>
  <c r="S49" i="5"/>
  <c r="R49" i="5"/>
  <c r="U49" i="5"/>
  <c r="S48" i="5"/>
  <c r="R48" i="5"/>
  <c r="U48" i="5"/>
  <c r="Y47" i="5"/>
  <c r="S46" i="5"/>
  <c r="R46" i="5"/>
  <c r="U46" i="5"/>
  <c r="S45" i="5"/>
  <c r="R45" i="5"/>
  <c r="U45" i="5"/>
  <c r="S44" i="5"/>
  <c r="R44" i="5"/>
  <c r="U44" i="5"/>
  <c r="Y44" i="5"/>
  <c r="S43" i="5"/>
  <c r="R43" i="5"/>
  <c r="U43" i="5"/>
  <c r="Y43" i="5"/>
  <c r="S42" i="5"/>
  <c r="R42" i="5"/>
  <c r="U42" i="5"/>
  <c r="Y42" i="5"/>
  <c r="S41" i="5"/>
  <c r="R41" i="5"/>
  <c r="U41" i="5"/>
  <c r="Y41" i="5"/>
  <c r="S40" i="5"/>
  <c r="R40" i="5"/>
  <c r="U40" i="5"/>
  <c r="S39" i="5"/>
  <c r="R39" i="5"/>
  <c r="U39" i="5"/>
  <c r="Y39" i="5"/>
  <c r="S38" i="5"/>
  <c r="R38" i="5"/>
  <c r="U38" i="5"/>
  <c r="S37" i="5"/>
  <c r="R37" i="5"/>
  <c r="U37" i="5"/>
  <c r="Y37" i="5"/>
  <c r="S36" i="5"/>
  <c r="R36" i="5"/>
  <c r="U36" i="5"/>
  <c r="Y36" i="5"/>
  <c r="Y35" i="5"/>
  <c r="S34" i="5"/>
  <c r="R34" i="5"/>
  <c r="U34" i="5"/>
  <c r="Y34" i="5"/>
  <c r="S33" i="5"/>
  <c r="R33" i="5"/>
  <c r="U33" i="5"/>
  <c r="Y33" i="5"/>
  <c r="S32" i="5"/>
  <c r="R32" i="5"/>
  <c r="U32" i="5"/>
  <c r="Y32" i="5"/>
  <c r="S31" i="5"/>
  <c r="R31" i="5"/>
  <c r="U31" i="5"/>
  <c r="S30" i="5"/>
  <c r="R30" i="5"/>
  <c r="U30" i="5"/>
  <c r="S29" i="5"/>
  <c r="R29" i="5"/>
  <c r="U29" i="5"/>
  <c r="S28" i="5"/>
  <c r="R28" i="5"/>
  <c r="U28" i="5"/>
  <c r="S27" i="5"/>
  <c r="R27" i="5"/>
  <c r="U27" i="5"/>
  <c r="Y27" i="5"/>
  <c r="S26" i="5"/>
  <c r="R26" i="5"/>
  <c r="U26" i="5"/>
  <c r="Y26" i="5"/>
  <c r="S25" i="5"/>
  <c r="R25" i="5"/>
  <c r="U25" i="5"/>
  <c r="Y25" i="5"/>
  <c r="Y24" i="5"/>
  <c r="S23" i="5"/>
  <c r="R23" i="5"/>
  <c r="U23" i="5"/>
  <c r="S22" i="5"/>
  <c r="R22" i="5"/>
  <c r="U22" i="5"/>
  <c r="Y22" i="5"/>
  <c r="S21" i="5"/>
  <c r="R21" i="5"/>
  <c r="U21" i="5"/>
  <c r="S20" i="5"/>
  <c r="R20" i="5"/>
  <c r="U20" i="5"/>
  <c r="Y20" i="5"/>
  <c r="S19" i="5"/>
  <c r="R19" i="5"/>
  <c r="U19" i="5"/>
  <c r="Y19" i="5"/>
  <c r="S18" i="5"/>
  <c r="R18" i="5"/>
  <c r="U18" i="5"/>
  <c r="S17" i="5"/>
  <c r="R17" i="5"/>
  <c r="U17" i="5"/>
  <c r="S16" i="5"/>
  <c r="R16" i="5"/>
  <c r="U16" i="5"/>
  <c r="Y16" i="5"/>
  <c r="S15" i="5"/>
  <c r="R15" i="5"/>
  <c r="U15" i="5"/>
  <c r="S14" i="5"/>
  <c r="T14" i="5"/>
  <c r="R14" i="5"/>
  <c r="S13" i="5"/>
  <c r="R13" i="5"/>
  <c r="U13" i="5"/>
  <c r="S11" i="5"/>
  <c r="R11" i="5"/>
  <c r="S10" i="5"/>
  <c r="R10" i="5"/>
  <c r="U10" i="5"/>
  <c r="S9" i="5"/>
  <c r="R9" i="5"/>
  <c r="U9" i="5"/>
  <c r="Q45" i="3"/>
  <c r="P45" i="3"/>
  <c r="P43" i="3"/>
  <c r="P44" i="3"/>
  <c r="O45" i="3"/>
  <c r="N45" i="3"/>
  <c r="M45" i="3"/>
  <c r="L45" i="3"/>
  <c r="K45" i="3"/>
  <c r="J45" i="3"/>
  <c r="I45" i="3"/>
  <c r="H45" i="3"/>
  <c r="H43" i="3"/>
  <c r="H44" i="3"/>
  <c r="G45" i="3"/>
  <c r="F45" i="3"/>
  <c r="E45" i="3"/>
  <c r="Q44" i="3"/>
  <c r="O44" i="3"/>
  <c r="N44" i="3"/>
  <c r="M44" i="3"/>
  <c r="L44" i="3"/>
  <c r="K44" i="3"/>
  <c r="J44" i="3"/>
  <c r="I44" i="3"/>
  <c r="G44" i="3"/>
  <c r="F44" i="3"/>
  <c r="E44" i="3"/>
  <c r="E43" i="3"/>
  <c r="Q43" i="3"/>
  <c r="O43" i="3"/>
  <c r="N43" i="3"/>
  <c r="M43" i="3"/>
  <c r="L43" i="3"/>
  <c r="K43" i="3"/>
  <c r="J43" i="3"/>
  <c r="I43" i="3"/>
  <c r="G43" i="3"/>
  <c r="F43" i="3"/>
  <c r="S41" i="3"/>
  <c r="R41" i="3"/>
  <c r="U41" i="3"/>
  <c r="S40" i="3"/>
  <c r="R40" i="3"/>
  <c r="U40" i="3"/>
  <c r="S39" i="3"/>
  <c r="R39" i="3"/>
  <c r="U39" i="3"/>
  <c r="S38" i="3"/>
  <c r="R38" i="3"/>
  <c r="U38" i="3"/>
  <c r="S37" i="3"/>
  <c r="R37" i="3"/>
  <c r="U37" i="3"/>
  <c r="S36" i="3"/>
  <c r="R36" i="3"/>
  <c r="U36" i="3"/>
  <c r="S35" i="3"/>
  <c r="R35" i="3"/>
  <c r="U35" i="3"/>
  <c r="S34" i="3"/>
  <c r="R34" i="3"/>
  <c r="U34" i="3"/>
  <c r="S32" i="3"/>
  <c r="R32" i="3"/>
  <c r="U32" i="3"/>
  <c r="S31" i="3"/>
  <c r="R31" i="3"/>
  <c r="U31" i="3"/>
  <c r="S30" i="3"/>
  <c r="R30" i="3"/>
  <c r="U30" i="3"/>
  <c r="S29" i="3"/>
  <c r="R29" i="3"/>
  <c r="U29" i="3"/>
  <c r="S28" i="3"/>
  <c r="R28" i="3"/>
  <c r="U28" i="3"/>
  <c r="S27" i="3"/>
  <c r="R27" i="3"/>
  <c r="U27" i="3"/>
  <c r="S26" i="3"/>
  <c r="R26" i="3"/>
  <c r="S25" i="3"/>
  <c r="R25" i="3"/>
  <c r="U25" i="3"/>
  <c r="S24" i="3"/>
  <c r="R24" i="3"/>
  <c r="U24" i="3"/>
  <c r="S23" i="3"/>
  <c r="R23" i="3"/>
  <c r="U23" i="3"/>
  <c r="S21" i="3"/>
  <c r="R21" i="3"/>
  <c r="U21" i="3"/>
  <c r="S20" i="3"/>
  <c r="R20" i="3"/>
  <c r="U20" i="3"/>
  <c r="S19" i="3"/>
  <c r="R19" i="3"/>
  <c r="U19" i="3"/>
  <c r="S18" i="3"/>
  <c r="R18" i="3"/>
  <c r="U18" i="3"/>
  <c r="S17" i="3"/>
  <c r="R17" i="3"/>
  <c r="U17" i="3"/>
  <c r="S16" i="3"/>
  <c r="R16" i="3"/>
  <c r="U16" i="3"/>
  <c r="S15" i="3"/>
  <c r="R15" i="3"/>
  <c r="U15" i="3"/>
  <c r="S14" i="3"/>
  <c r="R14" i="3"/>
  <c r="U14" i="3"/>
  <c r="S13" i="3"/>
  <c r="R13" i="3"/>
  <c r="U13" i="3"/>
  <c r="S12" i="3"/>
  <c r="R12" i="3"/>
  <c r="U12" i="3"/>
  <c r="S11" i="3"/>
  <c r="R11" i="3"/>
  <c r="U11" i="3"/>
  <c r="S9" i="3"/>
  <c r="R9" i="3"/>
  <c r="U9" i="3"/>
  <c r="S8" i="3"/>
  <c r="R8" i="3"/>
  <c r="U8" i="3"/>
  <c r="S7" i="3"/>
  <c r="R7" i="3"/>
  <c r="U7" i="3"/>
  <c r="Q49" i="2"/>
  <c r="P49" i="2"/>
  <c r="O49" i="2"/>
  <c r="N49" i="2"/>
  <c r="M49" i="2"/>
  <c r="L49" i="2"/>
  <c r="F49" i="2"/>
  <c r="G49" i="2"/>
  <c r="H49" i="2"/>
  <c r="I49" i="2"/>
  <c r="J49" i="2"/>
  <c r="K49" i="2"/>
  <c r="E49" i="2"/>
  <c r="Q48" i="2"/>
  <c r="P48" i="2"/>
  <c r="O48" i="2"/>
  <c r="N48" i="2"/>
  <c r="M48" i="2"/>
  <c r="L48" i="2"/>
  <c r="K48" i="2"/>
  <c r="J48" i="2"/>
  <c r="I48" i="2"/>
  <c r="H48" i="2"/>
  <c r="G48" i="2"/>
  <c r="F48" i="2"/>
  <c r="E48" i="2"/>
  <c r="Q46" i="2"/>
  <c r="P46" i="2"/>
  <c r="O46" i="2"/>
  <c r="N46" i="2"/>
  <c r="M46" i="2"/>
  <c r="L46" i="2"/>
  <c r="K46" i="2"/>
  <c r="J46" i="2"/>
  <c r="I46" i="2"/>
  <c r="H46" i="2"/>
  <c r="G46" i="2"/>
  <c r="F46" i="2"/>
  <c r="E46" i="2"/>
  <c r="Q45" i="2"/>
  <c r="P45" i="2"/>
  <c r="O45" i="2"/>
  <c r="N45" i="2"/>
  <c r="M45" i="2"/>
  <c r="L45" i="2"/>
  <c r="K45" i="2"/>
  <c r="J45" i="2"/>
  <c r="I45" i="2"/>
  <c r="H45" i="2"/>
  <c r="G45" i="2"/>
  <c r="F45" i="2"/>
  <c r="E45" i="2"/>
  <c r="Q44" i="2"/>
  <c r="P44" i="2"/>
  <c r="O44" i="2"/>
  <c r="N44" i="2"/>
  <c r="M44" i="2"/>
  <c r="F44" i="2"/>
  <c r="G44" i="2"/>
  <c r="H44" i="2"/>
  <c r="I44" i="2"/>
  <c r="J44" i="2"/>
  <c r="K44" i="2"/>
  <c r="L44" i="2"/>
  <c r="E44" i="2"/>
  <c r="Q43" i="2"/>
  <c r="P43" i="2"/>
  <c r="O43" i="2"/>
  <c r="N43" i="2"/>
  <c r="M43" i="2"/>
  <c r="L43" i="2"/>
  <c r="K43" i="2"/>
  <c r="J43" i="2"/>
  <c r="F43" i="2"/>
  <c r="G43" i="2"/>
  <c r="H43" i="2"/>
  <c r="I43" i="2"/>
  <c r="E43" i="2"/>
  <c r="S41" i="2"/>
  <c r="T41" i="2"/>
  <c r="R41" i="2"/>
  <c r="S40" i="2"/>
  <c r="R40" i="2"/>
  <c r="U40" i="2"/>
  <c r="S39" i="2"/>
  <c r="R39" i="2"/>
  <c r="U39" i="2"/>
  <c r="S38" i="2"/>
  <c r="R38" i="2"/>
  <c r="U38" i="2"/>
  <c r="S37" i="2"/>
  <c r="S36" i="2"/>
  <c r="T36" i="2"/>
  <c r="R36" i="2"/>
  <c r="S35" i="2"/>
  <c r="R35" i="2"/>
  <c r="U35" i="2"/>
  <c r="S34" i="2"/>
  <c r="R34" i="2"/>
  <c r="U34" i="2"/>
  <c r="S33" i="2"/>
  <c r="R33" i="2"/>
  <c r="U33" i="2"/>
  <c r="S32" i="2"/>
  <c r="R32" i="2"/>
  <c r="U32" i="2"/>
  <c r="S31" i="2"/>
  <c r="R31" i="2"/>
  <c r="U31" i="2"/>
  <c r="S30" i="2"/>
  <c r="R30" i="2"/>
  <c r="U30" i="2"/>
  <c r="S29" i="2"/>
  <c r="R29" i="2"/>
  <c r="U29" i="2"/>
  <c r="S28" i="2"/>
  <c r="R28" i="2"/>
  <c r="U28" i="2"/>
  <c r="S27" i="2"/>
  <c r="R27" i="2"/>
  <c r="U27" i="2"/>
  <c r="S26" i="2"/>
  <c r="R26" i="2"/>
  <c r="U26" i="2"/>
  <c r="S24" i="2"/>
  <c r="T24" i="2"/>
  <c r="R24" i="2"/>
  <c r="S23" i="2"/>
  <c r="T23" i="2"/>
  <c r="R23" i="2"/>
  <c r="S22" i="2"/>
  <c r="T22" i="2"/>
  <c r="R22" i="2"/>
  <c r="S21" i="2"/>
  <c r="T21" i="2"/>
  <c r="R21" i="2"/>
  <c r="S20" i="2"/>
  <c r="T20" i="2"/>
  <c r="R20" i="2"/>
  <c r="S19" i="2"/>
  <c r="R19" i="2"/>
  <c r="U19" i="2"/>
  <c r="S18" i="2"/>
  <c r="R18" i="2"/>
  <c r="U18" i="2"/>
  <c r="S17" i="2"/>
  <c r="T17" i="2"/>
  <c r="R17" i="2"/>
  <c r="S16" i="2"/>
  <c r="T16" i="2"/>
  <c r="R16" i="2"/>
  <c r="S15" i="2"/>
  <c r="R15" i="2"/>
  <c r="U15" i="2"/>
  <c r="S14" i="2"/>
  <c r="R14" i="2"/>
  <c r="U14" i="2"/>
  <c r="S13" i="2"/>
  <c r="R13" i="2"/>
  <c r="U13" i="2"/>
  <c r="S12" i="2"/>
  <c r="R12" i="2"/>
  <c r="U12" i="2"/>
  <c r="S11" i="2"/>
  <c r="R11" i="2"/>
  <c r="U11" i="2"/>
  <c r="S9" i="2"/>
  <c r="R9" i="2"/>
  <c r="U9" i="2"/>
  <c r="S8" i="2"/>
  <c r="T8" i="2"/>
  <c r="R8" i="2"/>
  <c r="S7" i="2"/>
  <c r="T7" i="2"/>
  <c r="R7" i="2"/>
  <c r="S6" i="2"/>
  <c r="R6" i="2"/>
  <c r="U6" i="2"/>
  <c r="R5" i="2"/>
  <c r="U5" i="2"/>
  <c r="S5" i="2"/>
  <c r="S3" i="2"/>
  <c r="T3" i="2"/>
  <c r="R3" i="2"/>
  <c r="Q41" i="1"/>
  <c r="N41" i="1"/>
  <c r="M41" i="1"/>
  <c r="L41" i="1"/>
  <c r="K41" i="1"/>
  <c r="J41" i="1"/>
  <c r="I41" i="1"/>
  <c r="H41" i="1"/>
  <c r="C41" i="1"/>
  <c r="D41" i="1"/>
  <c r="E41" i="1"/>
  <c r="F41" i="1"/>
  <c r="G41" i="1"/>
  <c r="Q40" i="1"/>
  <c r="N40" i="1"/>
  <c r="M40" i="1"/>
  <c r="L40" i="1"/>
  <c r="K40" i="1"/>
  <c r="J40" i="1"/>
  <c r="I40" i="1"/>
  <c r="H40" i="1"/>
  <c r="C40" i="1"/>
  <c r="D40" i="1"/>
  <c r="E40" i="1"/>
  <c r="F40" i="1"/>
  <c r="G40" i="1"/>
  <c r="Q38" i="1"/>
  <c r="N38" i="1"/>
  <c r="M38" i="1"/>
  <c r="L38" i="1"/>
  <c r="K38" i="1"/>
  <c r="J38" i="1"/>
  <c r="I38" i="1"/>
  <c r="H38" i="1"/>
  <c r="G38" i="1"/>
  <c r="F38" i="1"/>
  <c r="E38" i="1"/>
  <c r="C38" i="1"/>
  <c r="D38" i="1"/>
  <c r="Q37" i="1"/>
  <c r="N37" i="1"/>
  <c r="M37" i="1"/>
  <c r="L37" i="1"/>
  <c r="K37" i="1"/>
  <c r="J37" i="1"/>
  <c r="I37" i="1"/>
  <c r="H37" i="1"/>
  <c r="G37" i="1"/>
  <c r="F37" i="1"/>
  <c r="E37" i="1"/>
  <c r="D37" i="1"/>
  <c r="C37" i="1"/>
  <c r="Q36" i="1"/>
  <c r="N36" i="1"/>
  <c r="M36" i="1"/>
  <c r="L36" i="1"/>
  <c r="K36" i="1"/>
  <c r="J36" i="1"/>
  <c r="I36" i="1"/>
  <c r="H36" i="1"/>
  <c r="G36" i="1"/>
  <c r="F36" i="1"/>
  <c r="E36" i="1"/>
  <c r="D36" i="1"/>
  <c r="C36" i="1"/>
  <c r="P34" i="1"/>
  <c r="O34" i="1"/>
  <c r="S34" i="1"/>
  <c r="P33" i="1"/>
  <c r="O33" i="1"/>
  <c r="S33" i="1"/>
  <c r="P32" i="1"/>
  <c r="O32" i="1"/>
  <c r="S32" i="1"/>
  <c r="P31" i="1"/>
  <c r="O31" i="1"/>
  <c r="S31" i="1"/>
  <c r="P30" i="1"/>
  <c r="O30" i="1"/>
  <c r="S30" i="1"/>
  <c r="P29" i="1"/>
  <c r="O29" i="1"/>
  <c r="S29" i="1"/>
  <c r="P28" i="1"/>
  <c r="O28" i="1"/>
  <c r="S28" i="1"/>
  <c r="P27" i="1"/>
  <c r="O27" i="1"/>
  <c r="S27" i="1"/>
  <c r="P26" i="1"/>
  <c r="O26" i="1"/>
  <c r="S26" i="1"/>
  <c r="P25" i="1"/>
  <c r="O25" i="1"/>
  <c r="S25" i="1"/>
  <c r="P24" i="1"/>
  <c r="O24" i="1"/>
  <c r="S24" i="1"/>
  <c r="P23" i="1"/>
  <c r="O23" i="1"/>
  <c r="S23" i="1"/>
  <c r="P22" i="1"/>
  <c r="O22" i="1"/>
  <c r="S22" i="1"/>
  <c r="P21" i="1"/>
  <c r="O21" i="1"/>
  <c r="S21" i="1"/>
  <c r="P20" i="1"/>
  <c r="O20" i="1"/>
  <c r="S20" i="1"/>
  <c r="P19" i="1"/>
  <c r="O19" i="1"/>
  <c r="S19" i="1"/>
  <c r="P18" i="1"/>
  <c r="O18" i="1"/>
  <c r="S18" i="1"/>
  <c r="P17" i="1"/>
  <c r="O17" i="1"/>
  <c r="S17" i="1"/>
  <c r="P16" i="1"/>
  <c r="O16" i="1"/>
  <c r="S16" i="1"/>
  <c r="P15" i="1"/>
  <c r="O15" i="1"/>
  <c r="S15" i="1"/>
  <c r="P14" i="1"/>
  <c r="O14" i="1"/>
  <c r="S14" i="1"/>
  <c r="P13" i="1"/>
  <c r="O13" i="1"/>
  <c r="S13" i="1"/>
  <c r="P12" i="1"/>
  <c r="O12" i="1"/>
  <c r="S12" i="1"/>
  <c r="P11" i="1"/>
  <c r="O11" i="1"/>
  <c r="S11" i="1"/>
  <c r="P10" i="1"/>
  <c r="O10" i="1"/>
  <c r="S10" i="1"/>
  <c r="P9" i="1"/>
  <c r="O9" i="1"/>
  <c r="S9" i="1"/>
  <c r="P8" i="1"/>
  <c r="O8" i="1"/>
  <c r="S8" i="1"/>
  <c r="P7" i="1"/>
  <c r="O7" i="1"/>
  <c r="S7" i="1"/>
  <c r="P6" i="1"/>
  <c r="O6" i="1"/>
  <c r="S6" i="1"/>
  <c r="P5" i="1"/>
  <c r="O5" i="1"/>
  <c r="S5" i="1"/>
  <c r="P4" i="1"/>
  <c r="O4" i="1"/>
  <c r="S4" i="1"/>
  <c r="P3" i="1"/>
  <c r="O3" i="1"/>
  <c r="S3" i="1"/>
  <c r="Y48" i="5"/>
  <c r="T52" i="10"/>
  <c r="T19" i="10"/>
  <c r="S17" i="11"/>
  <c r="S33" i="11"/>
  <c r="T46" i="6"/>
  <c r="T16" i="7"/>
  <c r="T25" i="7"/>
  <c r="T31" i="7"/>
  <c r="T33" i="7"/>
  <c r="T48" i="5"/>
  <c r="T30" i="9"/>
  <c r="T21" i="3"/>
  <c r="T63" i="9"/>
  <c r="J91" i="10"/>
  <c r="T18" i="5"/>
  <c r="T39" i="7"/>
  <c r="K56" i="5"/>
  <c r="T13" i="6"/>
  <c r="K56" i="6"/>
  <c r="T82" i="10"/>
  <c r="P91" i="10"/>
  <c r="T33" i="9"/>
  <c r="T44" i="10"/>
  <c r="T32" i="9"/>
  <c r="T54" i="10"/>
  <c r="R38" i="9"/>
  <c r="U38" i="9"/>
  <c r="S38" i="9"/>
  <c r="T16" i="9"/>
  <c r="T20" i="9"/>
  <c r="T47" i="10"/>
  <c r="G91" i="10"/>
  <c r="T87" i="10"/>
  <c r="Q61" i="11"/>
  <c r="T61" i="11"/>
  <c r="F47" i="3"/>
  <c r="I99" i="10"/>
  <c r="M56" i="5"/>
  <c r="T47" i="9"/>
  <c r="T51" i="9"/>
  <c r="H65" i="11"/>
  <c r="N57" i="9"/>
  <c r="T49" i="9"/>
  <c r="S51" i="11"/>
  <c r="T24" i="6"/>
  <c r="T83" i="10"/>
  <c r="T27" i="9"/>
  <c r="T23" i="9"/>
  <c r="T43" i="9"/>
  <c r="I57" i="9"/>
  <c r="T39" i="10"/>
  <c r="N87" i="9"/>
  <c r="T31" i="10"/>
  <c r="O56" i="5"/>
  <c r="Q56" i="5"/>
  <c r="H80" i="9"/>
  <c r="K99" i="10"/>
  <c r="S18" i="11"/>
  <c r="S35" i="11"/>
  <c r="T10" i="5"/>
  <c r="T18" i="9"/>
  <c r="P98" i="10"/>
  <c r="T21" i="7"/>
  <c r="T26" i="7"/>
  <c r="T37" i="7"/>
  <c r="T46" i="7"/>
  <c r="G88" i="9"/>
  <c r="T70" i="10"/>
  <c r="T40" i="10"/>
  <c r="T19" i="6"/>
  <c r="T26" i="5"/>
  <c r="T46" i="5"/>
  <c r="L98" i="10"/>
  <c r="O91" i="10"/>
  <c r="Q99" i="10"/>
  <c r="O98" i="10"/>
  <c r="T17" i="10"/>
  <c r="J98" i="10"/>
  <c r="T49" i="10"/>
  <c r="Y46" i="5"/>
  <c r="T19" i="9"/>
  <c r="T19" i="5"/>
  <c r="T41" i="6"/>
  <c r="I56" i="6"/>
  <c r="O80" i="9"/>
  <c r="G61" i="10"/>
  <c r="G99" i="10"/>
  <c r="N99" i="10"/>
  <c r="T45" i="10"/>
  <c r="K55" i="9"/>
  <c r="K87" i="9"/>
  <c r="G87" i="9"/>
  <c r="L80" i="9"/>
  <c r="M80" i="9"/>
  <c r="K47" i="3"/>
  <c r="T22" i="10"/>
  <c r="T39" i="9"/>
  <c r="J99" i="10"/>
  <c r="T24" i="7"/>
  <c r="T70" i="9"/>
  <c r="H99" i="10"/>
  <c r="O99" i="10"/>
  <c r="T85" i="10"/>
  <c r="R90" i="10"/>
  <c r="U90" i="10"/>
  <c r="Q57" i="9"/>
  <c r="H57" i="9"/>
  <c r="N91" i="10"/>
  <c r="R43" i="3"/>
  <c r="T15" i="5"/>
  <c r="O61" i="10"/>
  <c r="L91" i="10"/>
  <c r="G56" i="6"/>
  <c r="N47" i="3"/>
  <c r="S52" i="5"/>
  <c r="T10" i="10"/>
  <c r="T12" i="3"/>
  <c r="T20" i="3"/>
  <c r="T25" i="9"/>
  <c r="T71" i="10"/>
  <c r="S53" i="11"/>
  <c r="T32" i="6"/>
  <c r="T75" i="10"/>
  <c r="H56" i="6"/>
  <c r="T65" i="9"/>
  <c r="S59" i="10"/>
  <c r="R59" i="10"/>
  <c r="E99" i="10"/>
  <c r="Q63" i="11"/>
  <c r="T63" i="11"/>
  <c r="R5" i="1"/>
  <c r="T14" i="3"/>
  <c r="Q47" i="3"/>
  <c r="T50" i="5"/>
  <c r="M56" i="6"/>
  <c r="J57" i="7"/>
  <c r="T38" i="7"/>
  <c r="Q80" i="9"/>
  <c r="T28" i="9"/>
  <c r="T11" i="9"/>
  <c r="K61" i="10"/>
  <c r="Q62" i="11"/>
  <c r="T62" i="11"/>
  <c r="T81" i="12"/>
  <c r="E91" i="10"/>
  <c r="U96" i="10"/>
  <c r="T96" i="10"/>
  <c r="R27" i="1"/>
  <c r="T27" i="6"/>
  <c r="T38" i="10"/>
  <c r="T42" i="5"/>
  <c r="F100" i="10"/>
  <c r="H56" i="5"/>
  <c r="S57" i="11"/>
  <c r="T39" i="5"/>
  <c r="Y18" i="5"/>
  <c r="R8" i="1"/>
  <c r="R12" i="1"/>
  <c r="T38" i="2"/>
  <c r="T8" i="3"/>
  <c r="S50" i="11"/>
  <c r="T14" i="6"/>
  <c r="E56" i="6"/>
  <c r="N56" i="6"/>
  <c r="I80" i="9"/>
  <c r="N61" i="10"/>
  <c r="H88" i="9"/>
  <c r="R15" i="9"/>
  <c r="U15" i="9"/>
  <c r="T15" i="9"/>
  <c r="R33" i="1"/>
  <c r="T39" i="2"/>
  <c r="T71" i="9"/>
  <c r="S22" i="11"/>
  <c r="S23" i="11"/>
  <c r="S53" i="9"/>
  <c r="R79" i="9"/>
  <c r="U79" i="9"/>
  <c r="K54" i="9"/>
  <c r="K86" i="9"/>
  <c r="R10" i="1"/>
  <c r="K57" i="7"/>
  <c r="T49" i="7"/>
  <c r="F87" i="9"/>
  <c r="T76" i="10"/>
  <c r="R28" i="1"/>
  <c r="T35" i="2"/>
  <c r="I47" i="3"/>
  <c r="T16" i="5"/>
  <c r="T20" i="5"/>
  <c r="T43" i="6"/>
  <c r="T18" i="10"/>
  <c r="T84" i="10"/>
  <c r="S14" i="11"/>
  <c r="S21" i="11"/>
  <c r="S29" i="11"/>
  <c r="F56" i="5"/>
  <c r="T41" i="7"/>
  <c r="T43" i="7"/>
  <c r="P88" i="9"/>
  <c r="S14" i="9"/>
  <c r="T14" i="9"/>
  <c r="R57" i="10"/>
  <c r="R97" i="10"/>
  <c r="U97" i="10"/>
  <c r="T35" i="10"/>
  <c r="T5" i="2"/>
  <c r="J56" i="6"/>
  <c r="R4" i="1"/>
  <c r="T38" i="3"/>
  <c r="T32" i="5"/>
  <c r="T13" i="10"/>
  <c r="T42" i="10"/>
  <c r="T50" i="10"/>
  <c r="S12" i="11"/>
  <c r="S26" i="11"/>
  <c r="S44" i="11"/>
  <c r="T30" i="5"/>
  <c r="Y30" i="5"/>
  <c r="L57" i="9"/>
  <c r="T23" i="10"/>
  <c r="T15" i="10"/>
  <c r="F99" i="10"/>
  <c r="M91" i="10"/>
  <c r="M65" i="11"/>
  <c r="T39" i="3"/>
  <c r="T27" i="5"/>
  <c r="T45" i="6"/>
  <c r="T50" i="6"/>
  <c r="F56" i="6"/>
  <c r="S56" i="7"/>
  <c r="T25" i="10"/>
  <c r="T36" i="10"/>
  <c r="T74" i="10"/>
  <c r="G65" i="11"/>
  <c r="T15" i="3"/>
  <c r="T19" i="3"/>
  <c r="T10" i="7"/>
  <c r="T27" i="7"/>
  <c r="T20" i="10"/>
  <c r="F61" i="10"/>
  <c r="I91" i="10"/>
  <c r="L56" i="5"/>
  <c r="T17" i="6"/>
  <c r="T29" i="6"/>
  <c r="T26" i="10"/>
  <c r="T30" i="10"/>
  <c r="T60" i="11"/>
  <c r="T16" i="3"/>
  <c r="T47" i="6"/>
  <c r="T50" i="7"/>
  <c r="P57" i="9"/>
  <c r="S79" i="9"/>
  <c r="T50" i="9"/>
  <c r="T13" i="9"/>
  <c r="T73" i="9"/>
  <c r="O88" i="9"/>
  <c r="T34" i="10"/>
  <c r="U100" i="10"/>
  <c r="T100" i="10"/>
  <c r="S54" i="11"/>
  <c r="R15" i="1"/>
  <c r="R19" i="1"/>
  <c r="S48" i="2"/>
  <c r="T41" i="3"/>
  <c r="T48" i="7"/>
  <c r="G57" i="9"/>
  <c r="S24" i="11"/>
  <c r="G85" i="9"/>
  <c r="R31" i="1"/>
  <c r="T12" i="2"/>
  <c r="T19" i="2"/>
  <c r="T34" i="2"/>
  <c r="L47" i="3"/>
  <c r="J47" i="3"/>
  <c r="T22" i="6"/>
  <c r="T34" i="6"/>
  <c r="T20" i="7"/>
  <c r="R55" i="7"/>
  <c r="T28" i="7"/>
  <c r="T35" i="7"/>
  <c r="R53" i="9"/>
  <c r="R85" i="9"/>
  <c r="U85" i="9"/>
  <c r="T42" i="9"/>
  <c r="P86" i="9"/>
  <c r="T67" i="10"/>
  <c r="Q91" i="10"/>
  <c r="S13" i="11"/>
  <c r="S30" i="11"/>
  <c r="S56" i="11"/>
  <c r="S41" i="11"/>
  <c r="N88" i="9"/>
  <c r="T67" i="9"/>
  <c r="T23" i="6"/>
  <c r="T35" i="6"/>
  <c r="T68" i="10"/>
  <c r="S58" i="11"/>
  <c r="R56" i="7"/>
  <c r="R11" i="1"/>
  <c r="R18" i="1"/>
  <c r="T30" i="3"/>
  <c r="T35" i="3"/>
  <c r="O47" i="3"/>
  <c r="M47" i="3"/>
  <c r="T22" i="5"/>
  <c r="T44" i="6"/>
  <c r="T29" i="7"/>
  <c r="N80" i="9"/>
  <c r="G80" i="9"/>
  <c r="J80" i="9"/>
  <c r="T73" i="10"/>
  <c r="T29" i="2"/>
  <c r="T36" i="3"/>
  <c r="T23" i="7"/>
  <c r="T33" i="10"/>
  <c r="L65" i="11"/>
  <c r="R54" i="6"/>
  <c r="S53" i="5"/>
  <c r="R16" i="1"/>
  <c r="R23" i="1"/>
  <c r="R30" i="1"/>
  <c r="R34" i="1"/>
  <c r="T11" i="2"/>
  <c r="T15" i="2"/>
  <c r="T24" i="3"/>
  <c r="T21" i="6"/>
  <c r="T34" i="7"/>
  <c r="T17" i="9"/>
  <c r="I87" i="9"/>
  <c r="T53" i="10"/>
  <c r="P99" i="10"/>
  <c r="T46" i="10"/>
  <c r="T29" i="5"/>
  <c r="Y29" i="5"/>
  <c r="Y23" i="5"/>
  <c r="T23" i="5"/>
  <c r="U55" i="7"/>
  <c r="R14" i="1"/>
  <c r="R22" i="1"/>
  <c r="R26" i="1"/>
  <c r="T31" i="2"/>
  <c r="R46" i="2"/>
  <c r="U46" i="2"/>
  <c r="R48" i="2"/>
  <c r="U48" i="2"/>
  <c r="R49" i="2"/>
  <c r="U49" i="2"/>
  <c r="T11" i="3"/>
  <c r="T13" i="3"/>
  <c r="T33" i="5"/>
  <c r="J56" i="5"/>
  <c r="T12" i="6"/>
  <c r="T26" i="6"/>
  <c r="T31" i="6"/>
  <c r="T39" i="6"/>
  <c r="T48" i="6"/>
  <c r="Q56" i="6"/>
  <c r="T18" i="7"/>
  <c r="T30" i="7"/>
  <c r="H57" i="7"/>
  <c r="T41" i="9"/>
  <c r="J54" i="9"/>
  <c r="T31" i="9"/>
  <c r="J88" i="9"/>
  <c r="I88" i="9"/>
  <c r="T66" i="9"/>
  <c r="R34" i="9"/>
  <c r="U34" i="9"/>
  <c r="T34" i="9"/>
  <c r="T43" i="10"/>
  <c r="T69" i="10"/>
  <c r="T77" i="10"/>
  <c r="G98" i="10"/>
  <c r="N98" i="10"/>
  <c r="L99" i="10"/>
  <c r="S40" i="11"/>
  <c r="S36" i="11"/>
  <c r="S38" i="11"/>
  <c r="S52" i="11"/>
  <c r="T69" i="9"/>
  <c r="M88" i="9"/>
  <c r="R6" i="1"/>
  <c r="T14" i="2"/>
  <c r="T27" i="2"/>
  <c r="T18" i="3"/>
  <c r="R45" i="3"/>
  <c r="T37" i="3"/>
  <c r="T40" i="3"/>
  <c r="G47" i="3"/>
  <c r="T13" i="5"/>
  <c r="T34" i="5"/>
  <c r="T37" i="5"/>
  <c r="T41" i="5"/>
  <c r="T44" i="5"/>
  <c r="L87" i="9"/>
  <c r="Q88" i="9"/>
  <c r="H61" i="10"/>
  <c r="P61" i="10"/>
  <c r="E98" i="10"/>
  <c r="M61" i="10"/>
  <c r="J65" i="11"/>
  <c r="R63" i="11"/>
  <c r="S32" i="11"/>
  <c r="S46" i="11"/>
  <c r="R17" i="1"/>
  <c r="O37" i="1"/>
  <c r="P37" i="1"/>
  <c r="R37" i="1"/>
  <c r="T26" i="2"/>
  <c r="T28" i="2"/>
  <c r="T25" i="3"/>
  <c r="T36" i="5"/>
  <c r="R55" i="5"/>
  <c r="T43" i="5"/>
  <c r="E56" i="5"/>
  <c r="G56" i="5"/>
  <c r="T42" i="6"/>
  <c r="T12" i="7"/>
  <c r="T15" i="7"/>
  <c r="T19" i="7"/>
  <c r="G57" i="7"/>
  <c r="L57" i="7"/>
  <c r="S55" i="7"/>
  <c r="T40" i="7"/>
  <c r="T44" i="7"/>
  <c r="Q57" i="7"/>
  <c r="I57" i="7"/>
  <c r="T30" i="6"/>
  <c r="T40" i="9"/>
  <c r="T44" i="9"/>
  <c r="T48" i="9"/>
  <c r="P80" i="9"/>
  <c r="F57" i="9"/>
  <c r="T32" i="10"/>
  <c r="T21" i="10"/>
  <c r="T14" i="10"/>
  <c r="I98" i="10"/>
  <c r="H98" i="10"/>
  <c r="T48" i="10"/>
  <c r="P65" i="11"/>
  <c r="M87" i="9"/>
  <c r="M57" i="9"/>
  <c r="J97" i="10"/>
  <c r="J61" i="10"/>
  <c r="R44" i="3"/>
  <c r="S90" i="10"/>
  <c r="S58" i="10"/>
  <c r="S78" i="9"/>
  <c r="T23" i="3"/>
  <c r="U26" i="3"/>
  <c r="T26" i="3"/>
  <c r="T29" i="3"/>
  <c r="T34" i="3"/>
  <c r="S44" i="3"/>
  <c r="U18" i="6"/>
  <c r="T18" i="6"/>
  <c r="R53" i="6"/>
  <c r="R55" i="6"/>
  <c r="U38" i="6"/>
  <c r="T38" i="6"/>
  <c r="T47" i="7"/>
  <c r="T45" i="9"/>
  <c r="U11" i="10"/>
  <c r="T11" i="10"/>
  <c r="T29" i="10"/>
  <c r="I97" i="10"/>
  <c r="I61" i="10"/>
  <c r="T16" i="10"/>
  <c r="M99" i="10"/>
  <c r="O41" i="1"/>
  <c r="P41" i="1"/>
  <c r="R41" i="1"/>
  <c r="S46" i="2"/>
  <c r="U11" i="7"/>
  <c r="T11" i="7"/>
  <c r="R53" i="7"/>
  <c r="E57" i="7"/>
  <c r="M98" i="10"/>
  <c r="S43" i="3"/>
  <c r="S44" i="2"/>
  <c r="S52" i="6"/>
  <c r="S54" i="7"/>
  <c r="N57" i="7"/>
  <c r="E88" i="9"/>
  <c r="F88" i="9"/>
  <c r="F80" i="9"/>
  <c r="E80" i="9"/>
  <c r="O36" i="1"/>
  <c r="P36" i="1"/>
  <c r="R36" i="1"/>
  <c r="R21" i="1"/>
  <c r="R25" i="1"/>
  <c r="T33" i="2"/>
  <c r="S45" i="3"/>
  <c r="T20" i="6"/>
  <c r="U17" i="7"/>
  <c r="U54" i="7"/>
  <c r="R54" i="7"/>
  <c r="T21" i="9"/>
  <c r="T29" i="9"/>
  <c r="R78" i="9"/>
  <c r="T27" i="10"/>
  <c r="L97" i="10"/>
  <c r="L61" i="10"/>
  <c r="F98" i="10"/>
  <c r="F91" i="10"/>
  <c r="T21" i="5"/>
  <c r="Y21" i="5"/>
  <c r="R58" i="10"/>
  <c r="R53" i="5"/>
  <c r="K80" i="9"/>
  <c r="T18" i="2"/>
  <c r="T30" i="2"/>
  <c r="Y49" i="5"/>
  <c r="T49" i="5"/>
  <c r="J55" i="9"/>
  <c r="S24" i="9"/>
  <c r="R24" i="9"/>
  <c r="R56" i="9"/>
  <c r="E61" i="10"/>
  <c r="Q61" i="10"/>
  <c r="Q98" i="10"/>
  <c r="Y40" i="5"/>
  <c r="T40" i="5"/>
  <c r="U10" i="9"/>
  <c r="T10" i="9"/>
  <c r="O38" i="1"/>
  <c r="P38" i="1"/>
  <c r="R38" i="1"/>
  <c r="R43" i="2"/>
  <c r="U43" i="2"/>
  <c r="S43" i="2"/>
  <c r="S45" i="2"/>
  <c r="R45" i="2"/>
  <c r="U45" i="2"/>
  <c r="T32" i="3"/>
  <c r="T38" i="5"/>
  <c r="Y38" i="5"/>
  <c r="I56" i="5"/>
  <c r="U10" i="6"/>
  <c r="T10" i="6"/>
  <c r="R52" i="6"/>
  <c r="L56" i="6"/>
  <c r="T49" i="6"/>
  <c r="T13" i="7"/>
  <c r="M57" i="7"/>
  <c r="H87" i="9"/>
  <c r="O87" i="9"/>
  <c r="T28" i="10"/>
  <c r="G97" i="10"/>
  <c r="S57" i="10"/>
  <c r="R54" i="5"/>
  <c r="T25" i="5"/>
  <c r="F57" i="7"/>
  <c r="T9" i="2"/>
  <c r="T13" i="2"/>
  <c r="P47" i="3"/>
  <c r="U11" i="5"/>
  <c r="T11" i="5"/>
  <c r="R52" i="5"/>
  <c r="T28" i="5"/>
  <c r="Y28" i="5"/>
  <c r="S54" i="5"/>
  <c r="S55" i="5"/>
  <c r="K88" i="9"/>
  <c r="O57" i="9"/>
  <c r="T64" i="9"/>
  <c r="S89" i="10"/>
  <c r="K98" i="10"/>
  <c r="K91" i="10"/>
  <c r="T80" i="10"/>
  <c r="R24" i="1"/>
  <c r="T32" i="2"/>
  <c r="E47" i="3"/>
  <c r="S53" i="6"/>
  <c r="O56" i="6"/>
  <c r="T51" i="7"/>
  <c r="K65" i="11"/>
  <c r="R61" i="11"/>
  <c r="S20" i="11"/>
  <c r="S39" i="11"/>
  <c r="S47" i="11"/>
  <c r="T86" i="10"/>
  <c r="R62" i="11"/>
  <c r="S25" i="11"/>
  <c r="R3" i="1"/>
  <c r="R20" i="1"/>
  <c r="R29" i="1"/>
  <c r="T40" i="2"/>
  <c r="T27" i="3"/>
  <c r="T28" i="6"/>
  <c r="T37" i="9"/>
  <c r="T76" i="9"/>
  <c r="P87" i="9"/>
  <c r="T72" i="9"/>
  <c r="S48" i="11"/>
  <c r="R9" i="1"/>
  <c r="R32" i="1"/>
  <c r="O40" i="1"/>
  <c r="P40" i="1"/>
  <c r="R40" i="1"/>
  <c r="T31" i="3"/>
  <c r="T40" i="6"/>
  <c r="T32" i="7"/>
  <c r="T26" i="9"/>
  <c r="R89" i="10"/>
  <c r="E65" i="11"/>
  <c r="O65" i="11"/>
  <c r="T41" i="10"/>
  <c r="R60" i="11"/>
  <c r="I65" i="11"/>
  <c r="Q64" i="11"/>
  <c r="T64" i="11"/>
  <c r="T9" i="3"/>
  <c r="R7" i="1"/>
  <c r="R13" i="1"/>
  <c r="S49" i="2"/>
  <c r="H47" i="3"/>
  <c r="S53" i="7"/>
  <c r="O57" i="7"/>
  <c r="T46" i="9"/>
  <c r="Q87" i="9"/>
  <c r="T55" i="10"/>
  <c r="F65" i="11"/>
  <c r="T10" i="11"/>
  <c r="S10" i="11"/>
  <c r="S55" i="11"/>
  <c r="S78" i="12"/>
  <c r="S77" i="12"/>
  <c r="R81" i="12"/>
  <c r="T17" i="5"/>
  <c r="Y17" i="5"/>
  <c r="U53" i="5"/>
  <c r="T9" i="5"/>
  <c r="T45" i="7"/>
  <c r="U56" i="7"/>
  <c r="T45" i="5"/>
  <c r="Y45" i="5"/>
  <c r="T17" i="3"/>
  <c r="U44" i="3"/>
  <c r="T28" i="3"/>
  <c r="T31" i="5"/>
  <c r="Y31" i="5"/>
  <c r="U54" i="5"/>
  <c r="U43" i="3"/>
  <c r="T7" i="3"/>
  <c r="R44" i="2"/>
  <c r="U44" i="2"/>
  <c r="S55" i="6"/>
  <c r="S31" i="11"/>
  <c r="S45" i="11"/>
  <c r="S56" i="9"/>
  <c r="U55" i="5"/>
  <c r="P56" i="5"/>
  <c r="U54" i="6"/>
  <c r="T33" i="6"/>
  <c r="S54" i="6"/>
  <c r="T42" i="7"/>
  <c r="S28" i="11"/>
  <c r="S43" i="11"/>
  <c r="L88" i="9"/>
  <c r="E55" i="9"/>
  <c r="U35" i="9"/>
  <c r="T35" i="9"/>
  <c r="P56" i="6"/>
  <c r="N65" i="11"/>
  <c r="S15" i="11"/>
  <c r="S37" i="11"/>
  <c r="S19" i="11"/>
  <c r="P57" i="7"/>
  <c r="T51" i="10"/>
  <c r="N56" i="5"/>
  <c r="R64" i="11"/>
  <c r="S34" i="11"/>
  <c r="S49" i="11"/>
  <c r="H97" i="10"/>
  <c r="S76" i="12"/>
  <c r="S75" i="12"/>
  <c r="T38" i="9"/>
  <c r="N89" i="9"/>
  <c r="T44" i="2"/>
  <c r="I89" i="9"/>
  <c r="U53" i="7"/>
  <c r="U57" i="7"/>
  <c r="R99" i="10"/>
  <c r="U99" i="10"/>
  <c r="T17" i="7"/>
  <c r="O89" i="9"/>
  <c r="U59" i="10"/>
  <c r="T59" i="10"/>
  <c r="T44" i="3"/>
  <c r="S80" i="9"/>
  <c r="U53" i="9"/>
  <c r="T53" i="9"/>
  <c r="U55" i="6"/>
  <c r="T55" i="6"/>
  <c r="T48" i="2"/>
  <c r="Q89" i="9"/>
  <c r="G89" i="9"/>
  <c r="S99" i="10"/>
  <c r="T56" i="7"/>
  <c r="H89" i="9"/>
  <c r="R80" i="9"/>
  <c r="S60" i="11"/>
  <c r="S62" i="11"/>
  <c r="Q65" i="11"/>
  <c r="U52" i="5"/>
  <c r="T52" i="5"/>
  <c r="F89" i="9"/>
  <c r="S85" i="9"/>
  <c r="T85" i="9"/>
  <c r="T79" i="9"/>
  <c r="T54" i="7"/>
  <c r="U57" i="10"/>
  <c r="T57" i="10"/>
  <c r="T65" i="11"/>
  <c r="P89" i="9"/>
  <c r="T53" i="5"/>
  <c r="R54" i="9"/>
  <c r="K89" i="9"/>
  <c r="S88" i="9"/>
  <c r="K57" i="9"/>
  <c r="S56" i="5"/>
  <c r="T43" i="2"/>
  <c r="R47" i="3"/>
  <c r="T46" i="2"/>
  <c r="U52" i="6"/>
  <c r="T52" i="6"/>
  <c r="R57" i="7"/>
  <c r="U45" i="3"/>
  <c r="T45" i="3"/>
  <c r="T54" i="6"/>
  <c r="T54" i="5"/>
  <c r="S61" i="11"/>
  <c r="U78" i="9"/>
  <c r="T78" i="9"/>
  <c r="S47" i="3"/>
  <c r="U53" i="6"/>
  <c r="T53" i="6"/>
  <c r="S61" i="10"/>
  <c r="M89" i="9"/>
  <c r="S57" i="7"/>
  <c r="J86" i="9"/>
  <c r="S86" i="9"/>
  <c r="S54" i="9"/>
  <c r="T55" i="7"/>
  <c r="R91" i="10"/>
  <c r="U89" i="10"/>
  <c r="S97" i="10"/>
  <c r="T97" i="10"/>
  <c r="S98" i="10"/>
  <c r="S91" i="10"/>
  <c r="U24" i="9"/>
  <c r="T24" i="9"/>
  <c r="R55" i="9"/>
  <c r="R87" i="9"/>
  <c r="T55" i="5"/>
  <c r="R56" i="5"/>
  <c r="J87" i="9"/>
  <c r="J57" i="9"/>
  <c r="S55" i="9"/>
  <c r="T49" i="2"/>
  <c r="T90" i="10"/>
  <c r="R56" i="6"/>
  <c r="R65" i="11"/>
  <c r="S56" i="6"/>
  <c r="T45" i="2"/>
  <c r="U58" i="10"/>
  <c r="T58" i="10"/>
  <c r="R98" i="10"/>
  <c r="U98" i="10"/>
  <c r="R61" i="10"/>
  <c r="U61" i="10"/>
  <c r="S81" i="12"/>
  <c r="U56" i="9"/>
  <c r="T56" i="9"/>
  <c r="R88" i="9"/>
  <c r="E57" i="9"/>
  <c r="E87" i="9"/>
  <c r="T43" i="3"/>
  <c r="Y56" i="5"/>
  <c r="L89" i="9"/>
  <c r="U56" i="5"/>
  <c r="T53" i="7"/>
  <c r="T99" i="10"/>
  <c r="U56" i="6"/>
  <c r="T56" i="6"/>
  <c r="S65" i="11"/>
  <c r="T80" i="9"/>
  <c r="T56" i="5"/>
  <c r="R86" i="9"/>
  <c r="U86" i="9"/>
  <c r="T86" i="9"/>
  <c r="U54" i="9"/>
  <c r="T54" i="9"/>
  <c r="T61" i="10"/>
  <c r="U55" i="9"/>
  <c r="T55" i="9"/>
  <c r="S57" i="9"/>
  <c r="U47" i="3"/>
  <c r="T47" i="3"/>
  <c r="U80" i="9"/>
  <c r="T57" i="7"/>
  <c r="S87" i="9"/>
  <c r="S89" i="9"/>
  <c r="J89" i="9"/>
  <c r="T89" i="10"/>
  <c r="T91" i="10"/>
  <c r="U91" i="10"/>
  <c r="R57" i="9"/>
  <c r="U57" i="9"/>
  <c r="T98" i="10"/>
  <c r="U88" i="9"/>
  <c r="T88" i="9"/>
  <c r="E89" i="9"/>
  <c r="U87" i="9"/>
  <c r="T57" i="9"/>
  <c r="R89" i="9"/>
  <c r="U89" i="9"/>
  <c r="T89" i="9"/>
  <c r="T87" i="9"/>
  <c r="X74" i="15" l="1"/>
  <c r="F98" i="19"/>
  <c r="F96" i="17"/>
  <c r="T99" i="21"/>
  <c r="T100" i="21" s="1"/>
  <c r="T98" i="19"/>
  <c r="T99" i="19" s="1"/>
  <c r="T96" i="17"/>
  <c r="E98" i="19"/>
  <c r="E99" i="19" s="1"/>
  <c r="E99" i="21"/>
  <c r="E100" i="21" s="1"/>
  <c r="E96" i="17"/>
  <c r="S98" i="19"/>
  <c r="S99" i="19" s="1"/>
  <c r="S99" i="21"/>
  <c r="S100" i="21" s="1"/>
  <c r="S96" i="17"/>
  <c r="V97" i="16"/>
  <c r="U91" i="16"/>
  <c r="U94" i="16"/>
  <c r="U89" i="16"/>
  <c r="U92" i="16"/>
  <c r="U95" i="16"/>
  <c r="U93" i="16"/>
  <c r="U96" i="16"/>
  <c r="X9" i="15"/>
  <c r="V9" i="15" s="1"/>
  <c r="X11" i="15"/>
  <c r="V11" i="15" s="1"/>
  <c r="X16" i="15"/>
  <c r="V16" i="15" s="1"/>
  <c r="X17" i="15"/>
  <c r="V17" i="15" s="1"/>
  <c r="X18" i="15"/>
  <c r="V18" i="15" s="1"/>
  <c r="X19" i="15"/>
  <c r="V19" i="15" s="1"/>
  <c r="X25" i="15"/>
  <c r="V25" i="15" s="1"/>
  <c r="X26" i="15"/>
  <c r="V26" i="15" s="1"/>
  <c r="X27" i="15"/>
  <c r="V27" i="15" s="1"/>
  <c r="X28" i="15"/>
  <c r="V28" i="15" s="1"/>
  <c r="X31" i="15"/>
  <c r="V31" i="15" s="1"/>
  <c r="X33" i="15"/>
  <c r="V33" i="15" s="1"/>
  <c r="X35" i="15"/>
  <c r="V35" i="15" s="1"/>
  <c r="X37" i="15"/>
  <c r="V37" i="15" s="1"/>
  <c r="X38" i="15"/>
  <c r="V38" i="15" s="1"/>
  <c r="X39" i="15"/>
  <c r="V39" i="15" s="1"/>
  <c r="X40" i="15"/>
  <c r="V40" i="15" s="1"/>
  <c r="X43" i="15"/>
  <c r="V43" i="15" s="1"/>
  <c r="X45" i="15"/>
  <c r="V45" i="15" s="1"/>
  <c r="X46" i="15"/>
  <c r="V46" i="15" s="1"/>
  <c r="X52" i="15"/>
  <c r="V52" i="15" s="1"/>
  <c r="X65" i="15"/>
  <c r="V65" i="15" s="1"/>
  <c r="X66" i="15"/>
  <c r="V66" i="15" s="1"/>
  <c r="X49" i="15"/>
  <c r="V49" i="15" s="1"/>
  <c r="X53" i="15"/>
  <c r="V53" i="15" s="1"/>
  <c r="X54" i="15"/>
  <c r="V54" i="15" s="1"/>
  <c r="X55" i="15"/>
  <c r="V55" i="15" s="1"/>
  <c r="U68" i="15"/>
  <c r="R75" i="15"/>
  <c r="G75" i="15"/>
  <c r="V14" i="15"/>
  <c r="T72" i="15"/>
  <c r="X72" i="15" s="1"/>
  <c r="V22" i="15"/>
  <c r="I75" i="15"/>
  <c r="U74" i="15"/>
  <c r="V13" i="15"/>
  <c r="J75" i="15"/>
  <c r="O75" i="15"/>
  <c r="S75" i="15"/>
  <c r="L75" i="15"/>
  <c r="V48" i="15"/>
  <c r="V60" i="15"/>
  <c r="V64" i="15"/>
  <c r="M75" i="15"/>
  <c r="V56" i="15"/>
  <c r="V79" i="15"/>
  <c r="K75" i="15"/>
  <c r="U70" i="15"/>
  <c r="T73" i="15"/>
  <c r="X73" i="15" s="1"/>
  <c r="V36" i="15"/>
  <c r="V41" i="15"/>
  <c r="V44" i="15"/>
  <c r="Q75" i="15"/>
  <c r="H75" i="15"/>
  <c r="V57" i="15"/>
  <c r="V63" i="15"/>
  <c r="P75" i="15"/>
  <c r="N75" i="15"/>
  <c r="T68" i="15"/>
  <c r="X68" i="15" s="1"/>
  <c r="V68" i="15" s="1"/>
  <c r="V15" i="15"/>
  <c r="V20" i="15"/>
  <c r="V24" i="15"/>
  <c r="V29" i="15"/>
  <c r="V32" i="15"/>
  <c r="U72" i="15"/>
  <c r="V50" i="15"/>
  <c r="T74" i="15"/>
  <c r="U73" i="15"/>
  <c r="T71" i="15"/>
  <c r="X71" i="15" s="1"/>
  <c r="V62" i="15"/>
  <c r="V61" i="15"/>
  <c r="V59" i="15"/>
  <c r="U71" i="15"/>
  <c r="T70" i="15"/>
  <c r="X70" i="15" l="1"/>
  <c r="V70" i="15" s="1"/>
  <c r="V74" i="15"/>
  <c r="U97" i="16"/>
  <c r="U95" i="17" s="1"/>
  <c r="V95" i="17"/>
  <c r="F99" i="21"/>
  <c r="F100" i="21" s="1"/>
  <c r="F99" i="19"/>
  <c r="V72" i="15"/>
  <c r="U75" i="15"/>
  <c r="T75" i="15"/>
  <c r="X75" i="15" s="1"/>
  <c r="V73" i="15"/>
  <c r="V71" i="15"/>
  <c r="V99" i="21" l="1"/>
  <c r="V100" i="21" s="1"/>
  <c r="U100" i="21" s="1"/>
  <c r="V98" i="19"/>
  <c r="V99" i="19" s="1"/>
  <c r="U99" i="19" s="1"/>
  <c r="V96" i="17"/>
  <c r="U96" i="17" s="1"/>
  <c r="U92" i="17" s="1"/>
  <c r="U98" i="19"/>
  <c r="U99" i="21"/>
  <c r="V75" i="15"/>
</calcChain>
</file>

<file path=xl/sharedStrings.xml><?xml version="1.0" encoding="utf-8"?>
<sst xmlns="http://schemas.openxmlformats.org/spreadsheetml/2006/main" count="4564" uniqueCount="874">
  <si>
    <t>CASES MOVED PER MONTH</t>
  </si>
  <si>
    <t>AS OF 1/3/09</t>
  </si>
  <si>
    <t>Wine</t>
  </si>
  <si>
    <t>Year</t>
  </si>
  <si>
    <t>Jan</t>
  </si>
  <si>
    <t>Feb</t>
  </si>
  <si>
    <t>Mar</t>
  </si>
  <si>
    <t>Apr</t>
  </si>
  <si>
    <t>May</t>
  </si>
  <si>
    <t>Jun</t>
  </si>
  <si>
    <t>Jul</t>
  </si>
  <si>
    <t>Aug</t>
  </si>
  <si>
    <t>Sep</t>
  </si>
  <si>
    <t>Oct</t>
  </si>
  <si>
    <t>Nov</t>
  </si>
  <si>
    <t>Dec</t>
  </si>
  <si>
    <t>Totals</t>
  </si>
  <si>
    <t>Avg</t>
  </si>
  <si>
    <t>BOY Inventory</t>
  </si>
  <si>
    <t>Months Left</t>
  </si>
  <si>
    <t>Inven to date</t>
  </si>
  <si>
    <t>Ameritage Reserve</t>
  </si>
  <si>
    <t>Ameritage</t>
  </si>
  <si>
    <t>Cab Franc</t>
  </si>
  <si>
    <t>Cab Sauv</t>
  </si>
  <si>
    <t>Chardonnay</t>
  </si>
  <si>
    <t>Merlot</t>
  </si>
  <si>
    <t>Petite Verdot</t>
  </si>
  <si>
    <t>LH Viognier</t>
  </si>
  <si>
    <t>Malbec</t>
  </si>
  <si>
    <t>Sauv Blanc</t>
  </si>
  <si>
    <t>Viognier</t>
  </si>
  <si>
    <t>Redmund's</t>
  </si>
  <si>
    <t>Riesling</t>
  </si>
  <si>
    <t>Sweet Petite</t>
  </si>
  <si>
    <t xml:space="preserve"> </t>
  </si>
  <si>
    <t>Reds</t>
  </si>
  <si>
    <t>Whites</t>
  </si>
  <si>
    <t>2009 Monthly Avg.</t>
  </si>
  <si>
    <t>2010      BOY Inventory</t>
  </si>
  <si>
    <t>2010 Monthly Avg.</t>
  </si>
  <si>
    <t>Remaining Inventory</t>
  </si>
  <si>
    <t>Vin De Sol</t>
  </si>
  <si>
    <t>Sweet Petit</t>
  </si>
  <si>
    <t>Harrys Tap Room</t>
  </si>
  <si>
    <t>LH Petit Manseng</t>
  </si>
  <si>
    <t>Petit Manseng</t>
  </si>
  <si>
    <t>n/a</t>
  </si>
  <si>
    <t>Bulk wines</t>
  </si>
  <si>
    <t>2013 vintage</t>
  </si>
  <si>
    <t>Shiners</t>
  </si>
  <si>
    <t xml:space="preserve">56 ‘12 pv </t>
  </si>
  <si>
    <t>Red</t>
  </si>
  <si>
    <t>gal</t>
  </si>
  <si>
    <t>including 1200 gal of reds stored at VH</t>
  </si>
  <si>
    <t>at VHCW</t>
  </si>
  <si>
    <t>84 ‘11 cf</t>
  </si>
  <si>
    <t>white</t>
  </si>
  <si>
    <t>including  2300 gal of delaney made at PC</t>
  </si>
  <si>
    <t xml:space="preserve">68 ‘10 ameritage </t>
  </si>
  <si>
    <t>ABC #</t>
  </si>
  <si>
    <t>2011 Monthly Avg.</t>
  </si>
  <si>
    <t>2013      BOY Inventory</t>
  </si>
  <si>
    <t>2012 Monthly Avg.</t>
  </si>
  <si>
    <t>Tasting Room</t>
  </si>
  <si>
    <t>Hen's Night</t>
  </si>
  <si>
    <t>Ameritage Res</t>
  </si>
  <si>
    <t xml:space="preserve">Ameritage  </t>
  </si>
  <si>
    <t>shiners</t>
  </si>
  <si>
    <t xml:space="preserve">used </t>
  </si>
  <si>
    <t>Petit Verdot</t>
  </si>
  <si>
    <t>LH Tram</t>
  </si>
  <si>
    <t>Petite Manseng</t>
  </si>
  <si>
    <t>Vin de Sol</t>
  </si>
  <si>
    <t xml:space="preserve">Collaberation </t>
  </si>
  <si>
    <t>Farm Use Wines</t>
  </si>
  <si>
    <t>1991 Brut</t>
  </si>
  <si>
    <t>2000 Brut</t>
  </si>
  <si>
    <t>TOTAL</t>
  </si>
  <si>
    <t>IN-BOND TRANSFERS</t>
  </si>
  <si>
    <t xml:space="preserve">Starting Cases </t>
  </si>
  <si>
    <r>
      <t xml:space="preserve">In(+) or Out(-) </t>
    </r>
    <r>
      <rPr>
        <b/>
        <sz val="20"/>
        <rFont val="Arial"/>
        <family val="2"/>
      </rPr>
      <t>Cases</t>
    </r>
  </si>
  <si>
    <t>Remaining Cases</t>
  </si>
  <si>
    <t>Starting Gallons</t>
  </si>
  <si>
    <r>
      <t xml:space="preserve">In(+) or Out(-) </t>
    </r>
    <r>
      <rPr>
        <b/>
        <sz val="20"/>
        <rFont val="Arial"/>
        <family val="2"/>
      </rPr>
      <t>Bulk Gallons</t>
    </r>
  </si>
  <si>
    <t>Remaining Gallons</t>
  </si>
  <si>
    <t>2012      BOY Inventory</t>
  </si>
  <si>
    <t>19 remaining cases, 25 sold, the remainder recycled.</t>
  </si>
  <si>
    <t>All 128 cases recycled into other bulk wines.</t>
  </si>
  <si>
    <t>2013 Monthly Avg.</t>
  </si>
  <si>
    <t>2014     BOY Inventory</t>
  </si>
  <si>
    <t>2014 Monthly Avg.</t>
  </si>
  <si>
    <t xml:space="preserve">          </t>
  </si>
  <si>
    <t>Cab Franc Res</t>
  </si>
  <si>
    <t>Black Ops</t>
  </si>
  <si>
    <t>Syrah</t>
  </si>
  <si>
    <t>2015     BOY Inventory</t>
  </si>
  <si>
    <t>2015 Monthly Avg.</t>
  </si>
  <si>
    <t>Dry Rielsing</t>
  </si>
  <si>
    <t>Mabec</t>
  </si>
  <si>
    <t>Farm Use</t>
  </si>
  <si>
    <t>Bottles</t>
  </si>
  <si>
    <t>Cases</t>
  </si>
  <si>
    <t>Bulk Wine</t>
  </si>
  <si>
    <t>Gallons</t>
  </si>
  <si>
    <t>Chard</t>
  </si>
  <si>
    <t>PM</t>
  </si>
  <si>
    <t>Traminette</t>
  </si>
  <si>
    <t>Pinot Gris</t>
  </si>
  <si>
    <t>Vio</t>
  </si>
  <si>
    <t>Rose</t>
  </si>
  <si>
    <t>Delaney</t>
  </si>
  <si>
    <t>Mer</t>
  </si>
  <si>
    <t>Mal</t>
  </si>
  <si>
    <t>CF</t>
  </si>
  <si>
    <t>PV/Mal</t>
  </si>
  <si>
    <t>PV</t>
  </si>
  <si>
    <t>CS</t>
  </si>
  <si>
    <t>AMR</t>
  </si>
  <si>
    <t>CFR</t>
  </si>
  <si>
    <t>Norton</t>
  </si>
  <si>
    <t>AM</t>
  </si>
  <si>
    <t>B Ops</t>
  </si>
  <si>
    <t>Mal Res</t>
  </si>
  <si>
    <t>2016     BOY Inventory</t>
  </si>
  <si>
    <t>2016 Monthly Avg.</t>
  </si>
  <si>
    <t>Malbec Res</t>
  </si>
  <si>
    <t>Mabec Res</t>
  </si>
  <si>
    <t>Viognier Res</t>
  </si>
  <si>
    <t>EFFINGHAM</t>
  </si>
  <si>
    <t>Eff Meritage</t>
  </si>
  <si>
    <t>Tannat</t>
  </si>
  <si>
    <t>Eff King's Ransom</t>
  </si>
  <si>
    <t>N/V</t>
  </si>
  <si>
    <t>Sparkling</t>
  </si>
  <si>
    <t>Meritage</t>
  </si>
  <si>
    <t>Kings Ransom</t>
  </si>
  <si>
    <t>Overall</t>
  </si>
  <si>
    <t>Starting Cases</t>
  </si>
  <si>
    <t>In(+) or Out(-) Cases</t>
  </si>
  <si>
    <t>In(+) or Out(-) Bulk Gallons</t>
  </si>
  <si>
    <t>2017     BOY Inventory</t>
  </si>
  <si>
    <t>201+AB8:AE667</t>
  </si>
  <si>
    <t>Bottling Info</t>
  </si>
  <si>
    <t>Date</t>
  </si>
  <si>
    <t>Description and volume of addition</t>
  </si>
  <si>
    <t>Bottling Date</t>
  </si>
  <si>
    <t>Vintage</t>
  </si>
  <si>
    <t>Varietal Bottled (please list one per line)</t>
  </si>
  <si>
    <t># Cases Bottled</t>
  </si>
  <si>
    <t>Bull Run Riesling</t>
  </si>
  <si>
    <t>Bull Run Rose</t>
  </si>
  <si>
    <t>350 lbs of sugar</t>
  </si>
  <si>
    <t>Bull Run Delaney</t>
  </si>
  <si>
    <t>6 gallons top off wine moved from PC to VH (norton)</t>
  </si>
  <si>
    <t>White Blend (Delaney) for Hammerstone</t>
  </si>
  <si>
    <t>PC Vidal Blanc</t>
  </si>
  <si>
    <t>** Added to Inv Sheet BOY</t>
  </si>
  <si>
    <t>10 gallons top off wine moved from PC to VH</t>
  </si>
  <si>
    <t>Wine Club Rose</t>
  </si>
  <si>
    <t>800 lbs of sugar (used for Delaney)</t>
  </si>
  <si>
    <t>Effingham Rose (shiners)</t>
  </si>
  <si>
    <t>27 lbs of sugar added to 2016 Effingham Traminette</t>
  </si>
  <si>
    <t>Bull Run Pinot Gris</t>
  </si>
  <si>
    <t>62 lbs of sugar added to 2016 BR Long Tom</t>
  </si>
  <si>
    <t>4/28/2017 and 5/8/17</t>
  </si>
  <si>
    <t>Effingham Traminette</t>
  </si>
  <si>
    <t>Only partial bottling - Truck broke down</t>
  </si>
  <si>
    <t>**Added to inv Sheet BOY</t>
  </si>
  <si>
    <t>40 lbs of sugar added to 2016  LH Vio</t>
  </si>
  <si>
    <t>PC Petit Manseng</t>
  </si>
  <si>
    <t>478 Screw Cap and 43 Cork Finish *** added to Inv Sheet BOY</t>
  </si>
  <si>
    <t>20 lbs of sugar added to 2016 LH Vio</t>
  </si>
  <si>
    <t>Bull Run Petit Manseng</t>
  </si>
  <si>
    <t>236 Gallons Chardonnay Concentrate</t>
  </si>
  <si>
    <t>Bull Run SS Chard</t>
  </si>
  <si>
    <t>56 Gallons Gewurztraminer</t>
  </si>
  <si>
    <t>PC Wine Club Sauv Blanc</t>
  </si>
  <si>
    <t>Bottled as shiners</t>
  </si>
  <si>
    <t>**Added to Inv Sheet BOY</t>
  </si>
  <si>
    <t>48 Gallons Viognier</t>
  </si>
  <si>
    <t>PC Riesling</t>
  </si>
  <si>
    <t>Bottled on 5/19 and 5/22/17 - 105 cs bottled as shiners and need to be hand labled)</t>
  </si>
  <si>
    <t>96 Gallons Petit Verdot</t>
  </si>
  <si>
    <t>Bull Run Long Tom</t>
  </si>
  <si>
    <t>36 Gallons Merlot</t>
  </si>
  <si>
    <t>Hammerstone Vio</t>
  </si>
  <si>
    <t>96 Gallons Cab Sauv</t>
  </si>
  <si>
    <t>Hammerstone Chardonnay</t>
  </si>
  <si>
    <t>78 Gallons Cab Franc</t>
  </si>
  <si>
    <t>Bull Run Viognier</t>
  </si>
  <si>
    <t>12 gallons Mega Purple</t>
  </si>
  <si>
    <t>Bull Run Barrel Chardonnay</t>
  </si>
  <si>
    <t>110 Gallons Guwurtzimer Conentrate</t>
  </si>
  <si>
    <t>PC Viognier</t>
  </si>
  <si>
    <t>PC Chardonnay</t>
  </si>
  <si>
    <t>Ameritage  ***orig bottling was 671 but Dec 2017 111 cases were relabeled as 2016 Am.</t>
  </si>
  <si>
    <t xml:space="preserve"> Chardonnay</t>
  </si>
  <si>
    <t>Effingham Chardonnay</t>
  </si>
  <si>
    <t>Poplar Springs Chardonnay</t>
  </si>
  <si>
    <t>BR Vidal Blanc</t>
  </si>
  <si>
    <t>BR Sweet Victory</t>
  </si>
  <si>
    <t>PC Late Harvest Vio</t>
  </si>
  <si>
    <t>TWBR Norton</t>
  </si>
  <si>
    <t>Bottled at Bull Run</t>
  </si>
  <si>
    <t>Vidal Blanc</t>
  </si>
  <si>
    <t>TWBR - Merlot</t>
  </si>
  <si>
    <t>Wine Club Sauv Blanc</t>
  </si>
  <si>
    <t>TWBR Meritage</t>
  </si>
  <si>
    <t>Poplar Springs Petit Verdot</t>
  </si>
  <si>
    <t>10 of these bottled as shiners</t>
  </si>
  <si>
    <t>Poplar Springs Merlot</t>
  </si>
  <si>
    <t>Effingham Merlot</t>
  </si>
  <si>
    <t>Effingham Meritage</t>
  </si>
  <si>
    <t>PC Petit Verdot</t>
  </si>
  <si>
    <t>PC Cab Franc</t>
  </si>
  <si>
    <t>Hammerstone Cab Franc</t>
  </si>
  <si>
    <t>Petit Verdot Reserve</t>
  </si>
  <si>
    <t>Hammerstone Norton</t>
  </si>
  <si>
    <t>PC Cab Sauv</t>
  </si>
  <si>
    <t>PC Ameritage</t>
  </si>
  <si>
    <t>Ameritage ***Orig bottling was 904 cases but 111 cases of 2015 AM were relabeled as 2016</t>
  </si>
  <si>
    <t>EFF Tannat</t>
  </si>
  <si>
    <t>** Added to EFF Inv Sheet BOY</t>
  </si>
  <si>
    <t>Bull Run Reconcilation</t>
  </si>
  <si>
    <t>LH Tannat</t>
  </si>
  <si>
    <t>Bull Run Meritage Reserve</t>
  </si>
  <si>
    <t>PC Cab Franc Reserve</t>
  </si>
  <si>
    <t>PC Ameritage Reserve</t>
  </si>
  <si>
    <t>EFF Kings Ransom</t>
  </si>
  <si>
    <t>PC Black Ops bottled as shiners</t>
  </si>
  <si>
    <t>Late Harvest Tannat  **156 of these are shiners</t>
  </si>
  <si>
    <t>Black Ops - 4th mission</t>
  </si>
  <si>
    <t>King's Ransom</t>
  </si>
  <si>
    <t>Eff Rose</t>
  </si>
  <si>
    <t>Added 2 -55 gallon drums of Gewurtztraminer concentrate to 2017 BR Delaney</t>
  </si>
  <si>
    <t>Added 65 lbs of Sugar to 2017 BR Riesling</t>
  </si>
  <si>
    <t>**added to BOY inventory</t>
  </si>
  <si>
    <t>Added 140 lbs of Sugar to 2017 BR Vidal Blanc</t>
  </si>
  <si>
    <t>BULL RUN Delaney</t>
  </si>
  <si>
    <t>Added 33 lbs of sugar to Fleetwood Rose</t>
  </si>
  <si>
    <t>Black Ops - 4th Mission</t>
  </si>
  <si>
    <t>Added 45 lbs of sugar to Effingham Rose</t>
  </si>
  <si>
    <t>Added 200 lbs of sugar to BR Rose</t>
  </si>
  <si>
    <t>Vin de Sol (88 cs/pallet)</t>
  </si>
  <si>
    <t>TWBR Riesling</t>
  </si>
  <si>
    <t>invoiced</t>
  </si>
  <si>
    <t>TWBR Vidal Blanc</t>
  </si>
  <si>
    <t>Vint Hill Misty</t>
  </si>
  <si>
    <t>Bottled at PC as Shiners</t>
  </si>
  <si>
    <t>Fleetwood Petit Manseng</t>
  </si>
  <si>
    <t>TWBR Petit Manseng</t>
  </si>
  <si>
    <t>TWBR Pinot Gris</t>
  </si>
  <si>
    <t>TWBR Sweet Victory</t>
  </si>
  <si>
    <t>PC Rose</t>
  </si>
  <si>
    <t>Fleetwood Rose</t>
  </si>
  <si>
    <t>TWBR Rose</t>
  </si>
  <si>
    <t>TWBR Vio</t>
  </si>
  <si>
    <t>TWBR SS Chardonnay</t>
  </si>
  <si>
    <t>FLEETWOOD Chardonnay</t>
  </si>
  <si>
    <t>PC Farm Use White</t>
  </si>
  <si>
    <t>** added to BOY Inventory</t>
  </si>
  <si>
    <t>PC  SS Chard Shiners</t>
  </si>
  <si>
    <t>TWBR Barrel Chardonnay</t>
  </si>
  <si>
    <t>Petit Verdot Rsv</t>
  </si>
  <si>
    <t>4th Mission</t>
  </si>
  <si>
    <t>TWBR PV</t>
  </si>
  <si>
    <t xml:space="preserve">FW Meritage </t>
  </si>
  <si>
    <t>Bottled at Effingham but was PC wine</t>
  </si>
  <si>
    <t>Farm Use Red</t>
  </si>
  <si>
    <t>added to BOY Inventory</t>
  </si>
  <si>
    <t>Farm Use White</t>
  </si>
  <si>
    <t>Farm Use white</t>
  </si>
  <si>
    <t>n/v</t>
  </si>
  <si>
    <t>Va's Heritage</t>
  </si>
  <si>
    <t>TWBR Reconciliation</t>
  </si>
  <si>
    <t xml:space="preserve">invoiced  </t>
  </si>
  <si>
    <t>Black Ops 5th Mission</t>
  </si>
  <si>
    <t xml:space="preserve">Ameritage </t>
  </si>
  <si>
    <t xml:space="preserve">43 cases of Misty to VHCW </t>
  </si>
  <si>
    <t>invoiced at $96/case</t>
  </si>
  <si>
    <t>5th Mission</t>
  </si>
  <si>
    <t>300 gallons Cab Sauv to VHCW</t>
  </si>
  <si>
    <t>$20/gallon</t>
  </si>
  <si>
    <t>605 gallons Cab Franc to VHCW</t>
  </si>
  <si>
    <t>330 gallons Petit Verdot to Eff</t>
  </si>
  <si>
    <t>330 gallons Cab Sauv to Eff</t>
  </si>
  <si>
    <t>2019  BOTTLINGS</t>
  </si>
  <si>
    <t>Description</t>
  </si>
  <si>
    <t>Qty</t>
  </si>
  <si>
    <t xml:space="preserve"> I, Chris Pearmund, hereby attest that a physical inventory of all bulk and bottled wine was performed, and the pages attached reflect the results of that inventory.  This inventory is true to the best of my knowledge and ability.</t>
  </si>
  <si>
    <t>VH Petit Manseng</t>
  </si>
  <si>
    <t>VH Traminette</t>
  </si>
  <si>
    <t>2019     BOY Inventory</t>
  </si>
  <si>
    <t>2019 Monthly Avg.</t>
  </si>
  <si>
    <t>VH Misty</t>
  </si>
  <si>
    <t>EFF Traminette</t>
  </si>
  <si>
    <t>EFF Celebration</t>
  </si>
  <si>
    <t>VH Pinot Gris</t>
  </si>
  <si>
    <t>PC Piot Gris</t>
  </si>
  <si>
    <t>VH Rose</t>
  </si>
  <si>
    <t>EFF Rose</t>
  </si>
  <si>
    <t>VH Viognier</t>
  </si>
  <si>
    <t>EFF Viognier</t>
  </si>
  <si>
    <t>Fleetwood Viognier</t>
  </si>
  <si>
    <t>PC Cab Fanc</t>
  </si>
  <si>
    <t>6th Mission</t>
  </si>
  <si>
    <t>Cab Sauv Reserve</t>
  </si>
  <si>
    <t>TRANSFERS</t>
  </si>
  <si>
    <t>Petit Verdot FROM Pearmund to Effingham</t>
  </si>
  <si>
    <t>Cab Sauv Lot #1 from Pearmund to Effingham</t>
  </si>
  <si>
    <t>Tugs Cuvee</t>
  </si>
  <si>
    <t>Transfer Chambourcin from VH to PC bulk wine</t>
  </si>
  <si>
    <t xml:space="preserve"> Transfer Syrah - Sarah from VH recover as bulk</t>
  </si>
  <si>
    <t>Transfer Merlot - George from PC to EM bulk wine</t>
  </si>
  <si>
    <t>Transfer Tannat-Silvia from PC to EM bulk wine</t>
  </si>
  <si>
    <t>Transfer Tannat-George from PC to EM bulk wine</t>
  </si>
  <si>
    <t>Transfer Cab Franc-Trumb from PC to EM bulk wine</t>
  </si>
  <si>
    <t>Transfer Cab Sauv-L1 George from PC to EM bulk wine</t>
  </si>
  <si>
    <t>Transfer Merlot-SC from PC to EM bulk wine</t>
  </si>
  <si>
    <t>Transfer Merlot-Silvia from PC to EM bulk wine</t>
  </si>
  <si>
    <t>Transfer Cab Franc-TG from PC to EM bulk wine</t>
  </si>
  <si>
    <t>Transfer Syrah-George from PC to VH bulk wine</t>
  </si>
  <si>
    <t>Transfer Grenache-George from PC to VH bulk wine</t>
  </si>
  <si>
    <t>Transfer Merlot-Silvia from PC to VH bulk wine</t>
  </si>
  <si>
    <t>Sparlking Wine</t>
  </si>
  <si>
    <t>Transfer Petit Verdot from PC to VH bulk wiine</t>
  </si>
  <si>
    <t>Transfer Merlot from VH to PC bulk wine</t>
  </si>
  <si>
    <t>Cameo Rose</t>
  </si>
  <si>
    <t>Transfer Cab Franc from VH to PC bulk wine</t>
  </si>
  <si>
    <t>Palindrome</t>
  </si>
  <si>
    <t>Transfer Petit Verdot from VH to PC bulk wiine</t>
  </si>
  <si>
    <t>Transer Cab Franc-Trump from PC to VH bulk wine</t>
  </si>
  <si>
    <t>Transfer Cab Franc-Silver Creek from PC to VH bulk wine</t>
  </si>
  <si>
    <t>Transfer Cab Sauv-Silvia from PC to VH bulk wine</t>
  </si>
  <si>
    <t>Transfer Petit Verdot-Silver Creek from PC to VH bulk wine</t>
  </si>
  <si>
    <t>Transfer Cab Sauv-L1 from PC to EM bulk wine</t>
  </si>
  <si>
    <t>Transfer Petit Verdot-George from PC to EM bulk wine</t>
  </si>
  <si>
    <t>7th Mission</t>
  </si>
  <si>
    <t>Transfer Petit Verdot-Silver Creek from PC to EM bulk wine</t>
  </si>
  <si>
    <t>Transfer Cab Franc-Silver Creek from PC to EM bulk wine</t>
  </si>
  <si>
    <t>Transfer Cab Franc-Trump from PC to EM bulk wine</t>
  </si>
  <si>
    <t>Transfer Merlot (Black Ops component) from EM to PC</t>
  </si>
  <si>
    <t>Transfer Cab Sauv (Black Ops componet) from EM to PC</t>
  </si>
  <si>
    <t>Transfer Cab Franc-Silver Creek from EM to PC</t>
  </si>
  <si>
    <t>Transfer Cab Franc-L1 from PC to VH</t>
  </si>
  <si>
    <t>Transfer Mourvedre-George from PC to VH bulk wine</t>
  </si>
  <si>
    <t>Transfer Merlot-Lot 2/3 from EM to PC bulk wine</t>
  </si>
  <si>
    <t>Transfer Cab Sauv LC from PC to EM bulk wine</t>
  </si>
  <si>
    <t>Transfer Cab Sauv LC from PC to VH bulk wine</t>
  </si>
  <si>
    <t>Transfer Cab Sauv-L4 from PC to VH bulk wine</t>
  </si>
  <si>
    <t>Stainless Steel Chard Shiners</t>
  </si>
  <si>
    <t>Chard Shiners</t>
  </si>
  <si>
    <t>Vio Shhiners</t>
  </si>
  <si>
    <t>ADDITIONS - Sugar/concentrate/juice/bulk wine</t>
  </si>
  <si>
    <t>Syrah Rose</t>
  </si>
  <si>
    <t>891 gal</t>
  </si>
  <si>
    <t>339 gal</t>
  </si>
  <si>
    <t>Chardonnay 68 Brix (6 gallon pail)</t>
  </si>
  <si>
    <t>Viognier 68 Brix (6 gallon pail)</t>
  </si>
  <si>
    <t>Sauvignon Blanc 68 Brix (6 gallon pail)</t>
  </si>
  <si>
    <t>Pinot Grigio 68 Brix (6 gallon pail)</t>
  </si>
  <si>
    <t>Cab Franc 68 Brix (6 gallon pail)</t>
  </si>
  <si>
    <t>Cabernet Sauvignon 68 Brix (6 gallon pail)</t>
  </si>
  <si>
    <t>Merlot  68 Brix (6 gallon pail)</t>
  </si>
  <si>
    <t>PEARMUND CELLARS</t>
  </si>
  <si>
    <t>Petite Verdot 68 Brix (6 gallon pail)</t>
  </si>
  <si>
    <t>YEAR</t>
  </si>
  <si>
    <t>BULK WINE ONLY</t>
  </si>
  <si>
    <t>YE Gal</t>
  </si>
  <si>
    <t>(Purple) (6 gallon pail)</t>
  </si>
  <si>
    <t>Chambourcin</t>
  </si>
  <si>
    <t>Muscoto</t>
  </si>
  <si>
    <t>Pinto Gris</t>
  </si>
  <si>
    <t>PV/CF</t>
  </si>
  <si>
    <t>Merlot/Cab Fran</t>
  </si>
  <si>
    <t>2020  BOTTLINGS</t>
  </si>
  <si>
    <t>NV</t>
  </si>
  <si>
    <t>cases</t>
  </si>
  <si>
    <t>VH Rose (Rosie)</t>
  </si>
  <si>
    <t>2019 Monthly Avg</t>
  </si>
  <si>
    <t>2020     BOY Inventory</t>
  </si>
  <si>
    <t>2020 Monthly Avg</t>
  </si>
  <si>
    <t>VH Sauv Blanc</t>
  </si>
  <si>
    <t>EFF Petit Manseng</t>
  </si>
  <si>
    <t>PC Viogner</t>
  </si>
  <si>
    <t>Eff Viogner</t>
  </si>
  <si>
    <t>Eff Chardonnay</t>
  </si>
  <si>
    <t>Eff Chardonnay Shiners</t>
  </si>
  <si>
    <t>Chardonnay Vintner</t>
  </si>
  <si>
    <t>VH Chardonnay Vintner</t>
  </si>
  <si>
    <t>Chardonnay Shiners</t>
  </si>
  <si>
    <t>VH Chardonnay</t>
  </si>
  <si>
    <t>Cab Franc Reserve</t>
  </si>
  <si>
    <t>2020 TRANSFERS</t>
  </si>
  <si>
    <t>DATE</t>
  </si>
  <si>
    <t>VINTAGE</t>
  </si>
  <si>
    <t>DESCRIPTION</t>
  </si>
  <si>
    <t>QUANTITY</t>
  </si>
  <si>
    <t>UNIT</t>
  </si>
  <si>
    <t>2018</t>
  </si>
  <si>
    <t>Eff sold/transfered to Meritage</t>
  </si>
  <si>
    <t>2019</t>
  </si>
  <si>
    <t>PC sold/transfered to VH Cab Franc</t>
  </si>
  <si>
    <t>Wine Club Rose 3L Bag</t>
  </si>
  <si>
    <t>PC sold/transfered to VH Rose (Rosie)</t>
  </si>
  <si>
    <t>PC sold/transfered to VH Sauv Blanc</t>
  </si>
  <si>
    <t>PC sold/transfered to VH Petit Manseng</t>
  </si>
  <si>
    <t>PC sold/transfered to VH Misty</t>
  </si>
  <si>
    <t>PC sold/transfered to Eff Petit Manseng</t>
  </si>
  <si>
    <t>PC sold/transfered to Eff Celebration</t>
  </si>
  <si>
    <t>PC sold/transferred to EFF Viognier</t>
  </si>
  <si>
    <t>PC sold/transferred to EFF Chardonnay</t>
  </si>
  <si>
    <t>PC sold/transferred to VH Chardonnay Shiners</t>
  </si>
  <si>
    <t>PC sold/transferred to Eff Cameo Rose</t>
  </si>
  <si>
    <t>2020</t>
  </si>
  <si>
    <t>PC sold/transferred to VH Syrah</t>
  </si>
  <si>
    <t>Sparlking Wine - NO TAX</t>
  </si>
  <si>
    <t>PC sold/transferred to VH Chambourcin Port</t>
  </si>
  <si>
    <t>PC sold/transferred to VH Pinot Noir</t>
  </si>
  <si>
    <t>PC sold/transferred to VH Malbec</t>
  </si>
  <si>
    <t>PC sold/transferred to VH Primitivo</t>
  </si>
  <si>
    <t>PC sold/transferred to VH Touriga Port</t>
  </si>
  <si>
    <t>PC sold/transferred to VH Grenache</t>
  </si>
  <si>
    <t>PC sold/transferred to VH Mourvedre</t>
  </si>
  <si>
    <t>PC sold/transferred to VH Cab Franc</t>
  </si>
  <si>
    <t>PC sold/transferred to VH Cab Sauv</t>
  </si>
  <si>
    <t>Cab Franc Rederve</t>
  </si>
  <si>
    <t>PC sold/transferred to VH PV Port</t>
  </si>
  <si>
    <t>PC sold/transferred to Eff Red Blend</t>
  </si>
  <si>
    <t>PC sold/transferred to EFF Cab Franc</t>
  </si>
  <si>
    <t>PC sold/transferred to EFF Merlot</t>
  </si>
  <si>
    <t>Riesling - NO TAX TO PAY</t>
  </si>
  <si>
    <t>Sparkling Wine</t>
  </si>
  <si>
    <t>Sparlking</t>
  </si>
  <si>
    <t>PC sold/transferred to VH Tannat</t>
  </si>
  <si>
    <t>PC sold/transferred to VH Tannat Port</t>
  </si>
  <si>
    <t>PC sold/transferred to EFF Petit Verdot</t>
  </si>
  <si>
    <t>PC sold/transferred to EFF Tannat</t>
  </si>
  <si>
    <t>PC sold/transferred to VH Petit Verdot</t>
  </si>
  <si>
    <t>PC sold/transferred to EFF Cab Sauv</t>
  </si>
  <si>
    <t>Eff sold/transfered to PC Cab Franc</t>
  </si>
  <si>
    <t>Vio Shiners</t>
  </si>
  <si>
    <t>PC Chardonnay Shiners</t>
  </si>
  <si>
    <t>Vintner Chard</t>
  </si>
  <si>
    <t>2020 ADDITIONS - Sugar/concentrate/juice/bulk wine</t>
  </si>
  <si>
    <t>BoE Gal</t>
  </si>
  <si>
    <t>Viognier Conc 68 Brix (6 Gallon Pail)</t>
  </si>
  <si>
    <t>Muscat Conc 68 Brix (6 Gallon Pail)</t>
  </si>
  <si>
    <t>Cab Sauv Conc 68 Brix (6 Gallon Pail)</t>
  </si>
  <si>
    <t>Merlot Conc 68 Brix (6 Gallon Pail)</t>
  </si>
  <si>
    <t>Petite Sirah Conc 68 Brix (6 Gallon Pail)</t>
  </si>
  <si>
    <t>Viognier Conc 68 Brix (Gallon Drum)</t>
  </si>
  <si>
    <t>Celebration</t>
  </si>
  <si>
    <t>Muscat</t>
  </si>
  <si>
    <t>Vidal/Traminette</t>
  </si>
  <si>
    <t>Grenache (Rose)</t>
  </si>
  <si>
    <t>Tannat/Cab Sauv</t>
  </si>
  <si>
    <t>Chambourcin/Merlot</t>
  </si>
  <si>
    <t xml:space="preserve">PC 2019 Vintage </t>
  </si>
  <si>
    <t>Total</t>
  </si>
  <si>
    <t>BKS</t>
  </si>
  <si>
    <t>MER</t>
  </si>
  <si>
    <t>Day #1</t>
  </si>
  <si>
    <t>Day#2</t>
  </si>
  <si>
    <t>VHCW</t>
  </si>
  <si>
    <t>Merlot      -     Barrel Counts</t>
  </si>
  <si>
    <t>7th Mission Black Ops</t>
  </si>
  <si>
    <t>Sunshine</t>
  </si>
  <si>
    <t>2021 Monthly Avg</t>
  </si>
  <si>
    <t>1.5L Bags</t>
  </si>
  <si>
    <t>Cabernet Sauvignon Reserve</t>
  </si>
  <si>
    <t>Cabernet Franc Reserve</t>
  </si>
  <si>
    <t>Cabernet Franc</t>
  </si>
  <si>
    <t>Black Ops - 8th Mission</t>
  </si>
  <si>
    <t>PC sold/transferred to EFF Heritage</t>
  </si>
  <si>
    <t>PC sold/transferred to VH Petite Verdot</t>
  </si>
  <si>
    <t>PC Sold/Transferred to VH Rose</t>
  </si>
  <si>
    <t>PC Sold/Transferred to Sauv Blanc</t>
  </si>
  <si>
    <t>PC Sold/Transferred to VH Petit Manseng</t>
  </si>
  <si>
    <t>PC Sold/Transferred to EFF Heritage</t>
  </si>
  <si>
    <t>PC Sold/Transferred to EFF Celebration</t>
  </si>
  <si>
    <t>2021</t>
  </si>
  <si>
    <t>PC Sold/Transferred to VH Pinto Noir</t>
  </si>
  <si>
    <t>PC Sold/Transferred to VH Zinfandel</t>
  </si>
  <si>
    <t>1.5 years</t>
  </si>
  <si>
    <t>PC Sold/Transferred to EFF Cab Sauv</t>
  </si>
  <si>
    <t>PC Sold/Transferred to VH Cab Sauv</t>
  </si>
  <si>
    <t>3 years</t>
  </si>
  <si>
    <t>PC Sold/Transferred to VH Merlot</t>
  </si>
  <si>
    <t>PC Sold/Transferred to VH Syrah</t>
  </si>
  <si>
    <t>PC Sold/Transferred to EFF Merlot</t>
  </si>
  <si>
    <t>PC Sold/Transferred to VH Petit Verdot</t>
  </si>
  <si>
    <t xml:space="preserve">  </t>
  </si>
  <si>
    <t>PC Sold/Transferred to VH Mourvedre</t>
  </si>
  <si>
    <t>PC Sold/Transferred to VH Grenache</t>
  </si>
  <si>
    <t>PC Sold/Transferred to VH Tannat</t>
  </si>
  <si>
    <t>PC Sold/Transferred to EFF Tannat</t>
  </si>
  <si>
    <t>VH Sold/Transferred to PC Cab Franc</t>
  </si>
  <si>
    <t>month</t>
  </si>
  <si>
    <t>PC sold/transferred to Eff Cab Sauv</t>
  </si>
  <si>
    <t>PC sold/transferred to Eff Petit Verdot</t>
  </si>
  <si>
    <t>PC sold/transferred to Eff Merlot</t>
  </si>
  <si>
    <t>PC sold/transferred to Eff Cab Franc</t>
  </si>
  <si>
    <t>PC sold/transferred to Eff Touriga Nacional</t>
  </si>
  <si>
    <t>PVR</t>
  </si>
  <si>
    <t>VH Sold/Transferred to PC Petit Verdot Blend</t>
  </si>
  <si>
    <t>PC Sold/Transferred to VH Cab Franc</t>
  </si>
  <si>
    <t>8th Mission</t>
  </si>
  <si>
    <t>PC sold/transferred to VH Red Blend</t>
  </si>
  <si>
    <t>PC sold/transferred to VH Merlot</t>
  </si>
  <si>
    <t>PC Added 6 gallons concentrate to Rose</t>
  </si>
  <si>
    <t>PC Added 24 gallons concentrate to Celebration</t>
  </si>
  <si>
    <t>PC Added 750 gallons concentrate to 2021 wines</t>
  </si>
  <si>
    <t>PC Added 1195 pounds of sugar to 2021 wines</t>
  </si>
  <si>
    <t>PC Added 12 gallons of High Res conc to 2021 wines</t>
  </si>
  <si>
    <t>2021  PEARMUND BOTTLINGS</t>
  </si>
  <si>
    <t>Pearmund Cellars Petit Manseng</t>
  </si>
  <si>
    <t>Effingham Manor Petit Manseng</t>
  </si>
  <si>
    <t>2022     BOY Inventory</t>
  </si>
  <si>
    <t>2021 Vintage Bottling</t>
  </si>
  <si>
    <t>2022 Monthly Avg</t>
  </si>
  <si>
    <t>Tasting Room EOY</t>
  </si>
  <si>
    <t>Vint Hill Craft Winery Petit Manseng</t>
  </si>
  <si>
    <t>Vint Hill Craft Winery Sauvingnon Blanc</t>
  </si>
  <si>
    <t>Rayne Vineyars Vidal Blanc - Shiners</t>
  </si>
  <si>
    <t>Pearmund Cellars Sunshine</t>
  </si>
  <si>
    <t>Vint Hill Craft Winery Misty</t>
  </si>
  <si>
    <t>Effingham Celebration</t>
  </si>
  <si>
    <t>Pearmund Cellars Rose</t>
  </si>
  <si>
    <t>Effingham Rose</t>
  </si>
  <si>
    <t>Vint Hill Craft Winery Rosie</t>
  </si>
  <si>
    <t>PC Sold Effingham Petit Manseng to Effingham</t>
  </si>
  <si>
    <t>PC Sold Vint Hill Craft Winery Misty to VHCW</t>
  </si>
  <si>
    <t>PC Sold Effingham Celebration to Effingham</t>
  </si>
  <si>
    <t>PC Sold Vint Hill Craft Winery Rosie to VHCS</t>
  </si>
  <si>
    <t>PC Sold Effingham Rose to Effingham</t>
  </si>
  <si>
    <t>Added 11 lbs of Sugar to 2021 Vidal Blanc</t>
  </si>
  <si>
    <t>lbs</t>
  </si>
  <si>
    <t>Added 30 lbs of Sugar to 2021 EFF Rose</t>
  </si>
  <si>
    <t>Added 44 lbs of Sugar to 2021 PC Rose</t>
  </si>
  <si>
    <t>Added 52 lbs of Sugar to 2021 Celebration/Misty</t>
  </si>
  <si>
    <t>Sunshine - 1.5L Bags</t>
  </si>
  <si>
    <t>Sunshing - 1.5L bags</t>
  </si>
  <si>
    <t>Clearly White</t>
  </si>
  <si>
    <t>Clearly Rose</t>
  </si>
  <si>
    <t>Clearly Sangria</t>
  </si>
  <si>
    <t>Red Wine Shiners</t>
  </si>
  <si>
    <t>Red wine Shiners</t>
  </si>
  <si>
    <t>9th Black Ops</t>
  </si>
  <si>
    <t>9th Mission</t>
  </si>
  <si>
    <t>24/case</t>
  </si>
  <si>
    <t>Bulk wine in Barrel/tote/tank</t>
  </si>
  <si>
    <t>ADD</t>
  </si>
  <si>
    <t>German Riesling</t>
  </si>
  <si>
    <t>Cabernet Sauvignon</t>
  </si>
  <si>
    <t>Alento</t>
  </si>
  <si>
    <t xml:space="preserve">TOTAL </t>
  </si>
  <si>
    <t>INVENTORY</t>
  </si>
  <si>
    <t>Sangiovese</t>
  </si>
  <si>
    <t>Merlot Blend #2</t>
  </si>
  <si>
    <t>Merlot Blend #1</t>
  </si>
  <si>
    <t>Cabernet Sauvignon/Merlot</t>
  </si>
  <si>
    <t>Viognier/Muscat</t>
  </si>
  <si>
    <t>Sauvingnon Blanc</t>
  </si>
  <si>
    <t>2022 Month    Average</t>
  </si>
  <si>
    <t>BOY        Inventory</t>
  </si>
  <si>
    <t>2022 Vintage Bottling</t>
  </si>
  <si>
    <t>2023 Monthly Avg</t>
  </si>
  <si>
    <t>2023  PEARMUND BOTTLINGS</t>
  </si>
  <si>
    <t>Quantity</t>
  </si>
  <si>
    <t>Unit</t>
  </si>
  <si>
    <t>Vint Hill Sauvignon Blanc</t>
  </si>
  <si>
    <t>Effingham Petit Manseng</t>
  </si>
  <si>
    <t>Vint Hill Petit Manseng</t>
  </si>
  <si>
    <t>12 Pearls Chardonnay</t>
  </si>
  <si>
    <t>Chardonnay - SS - Shiners</t>
  </si>
  <si>
    <t>Pearmund Sunshine</t>
  </si>
  <si>
    <t>Pearmund Rose</t>
  </si>
  <si>
    <t>Pearmund Rose Shiners</t>
  </si>
  <si>
    <t>PC Viognier Shiners (12 Pearls)</t>
  </si>
  <si>
    <t>EFF Chardonnay</t>
  </si>
  <si>
    <t>Chardonnay - Shiners</t>
  </si>
  <si>
    <t>XX Anniversary Blend</t>
  </si>
  <si>
    <t>PC Cabernet Franc</t>
  </si>
  <si>
    <t>PC Cabernet Franc Reserve</t>
  </si>
  <si>
    <t>PC Cabernet Sauvingnon Reserve</t>
  </si>
  <si>
    <t>-</t>
  </si>
  <si>
    <t>PC Red Blend - Shiners</t>
  </si>
  <si>
    <t>Late Harvet Tannat</t>
  </si>
  <si>
    <t>Late Harvest Tannat</t>
  </si>
  <si>
    <t>2023 TRANSFERS</t>
  </si>
  <si>
    <t>PC Sold VH Sauvignon Blanc</t>
  </si>
  <si>
    <t>PC Sold VH Petit Manseng</t>
  </si>
  <si>
    <t>PC Sold Effingham Petit Manseng</t>
  </si>
  <si>
    <t>PC Sold Effingham Celebration</t>
  </si>
  <si>
    <t>PC Solc VH - Rose</t>
  </si>
  <si>
    <t>PC Sold VH  The Pearls - SS Chard</t>
  </si>
  <si>
    <t>PC Sold VH  - Clearly White</t>
  </si>
  <si>
    <t>PC Sold VH - Clearly Rose</t>
  </si>
  <si>
    <t>PC Sold VH - Clearly Sangria</t>
  </si>
  <si>
    <t>PC Sold VH Viognier</t>
  </si>
  <si>
    <t>PC Sold EFF Viognier</t>
  </si>
  <si>
    <t>PC Sold EFF Chardonnay</t>
  </si>
  <si>
    <t>VH Sold to PC Red Blend</t>
  </si>
  <si>
    <t>VH Sold to PC Cold War Red Blend</t>
  </si>
  <si>
    <t>VH Sold to PC Chardonnay</t>
  </si>
  <si>
    <t>Tannat Reserve</t>
  </si>
  <si>
    <t>PC Sold to VH Tannat</t>
  </si>
  <si>
    <t>gallons</t>
  </si>
  <si>
    <t>PC Sold to VH Syrah</t>
  </si>
  <si>
    <t>PC Sold to VH Mourvedre</t>
  </si>
  <si>
    <t>PC Sold to VH Chambourcin</t>
  </si>
  <si>
    <t>PC Sold to VH Grenache</t>
  </si>
  <si>
    <t>12 Pearls Viognier</t>
  </si>
  <si>
    <t>Viognier Shiners</t>
  </si>
  <si>
    <t>PC sold to EFF Tannat</t>
  </si>
  <si>
    <t>VH Sold to PC Petit Manseng</t>
  </si>
  <si>
    <t>PC Sold to EFF Merlot</t>
  </si>
  <si>
    <t>Chardonnay - SS</t>
  </si>
  <si>
    <t>PC Sold to EFF Petit Verdot</t>
  </si>
  <si>
    <t>PC Sold to EFF Cabernet Sauvignon</t>
  </si>
  <si>
    <t>PC Sold to VH Merlot</t>
  </si>
  <si>
    <t>PC Sold to VH Petit Verdot</t>
  </si>
  <si>
    <t>PC Sold to VH Cabernet Sauvignon</t>
  </si>
  <si>
    <t>PC Sold to VH Cabernet Franc</t>
  </si>
  <si>
    <t>2023 ADDITIONS - Sugar/concentrate/juice/bulk wine</t>
  </si>
  <si>
    <t>CSR</t>
  </si>
  <si>
    <t>PC Clearly Sangria - Added Fruit Concentrate</t>
  </si>
  <si>
    <t>PC Sunshine - Added Concentrate</t>
  </si>
  <si>
    <t>10th Black Ops</t>
  </si>
  <si>
    <t>10th Mission</t>
  </si>
  <si>
    <t>Effingham Celebration - Added Concentrate</t>
  </si>
  <si>
    <t>Rose Shiners</t>
  </si>
  <si>
    <t>Effingham Rose - Added Concentrate</t>
  </si>
  <si>
    <t>Add concentrate to Lot 4 Chambourcin</t>
  </si>
  <si>
    <t>Add concentrate to Lot 5 Cabernet Franc</t>
  </si>
  <si>
    <t>Add concentrate to Lot 13 Traminette</t>
  </si>
  <si>
    <t>Add concentrate to Lot 14 Chardonnay</t>
  </si>
  <si>
    <t>Add concentrate to Lot 20 Tannat</t>
  </si>
  <si>
    <t>Add concentrate to Lot 21 Chambourcin</t>
  </si>
  <si>
    <t>Add concentrate to Lot 24 Merlot</t>
  </si>
  <si>
    <t>Add concentrate to Lot 25 Cabernet Franc</t>
  </si>
  <si>
    <t>Add concentrate to Lot 26 Cabernet Franc</t>
  </si>
  <si>
    <t>Add concentrate to Lot 28 Cabernet Franc</t>
  </si>
  <si>
    <t>Add concentrate to Lot 30 Cabernet Franc</t>
  </si>
  <si>
    <t>Add concentrate to Lot 31 Merlot - Lake Block #3</t>
  </si>
  <si>
    <t>Add concentrate to Lot 31 Merlot - Harvey Lane</t>
  </si>
  <si>
    <t>Add concentrate to Lot 33 Tannat</t>
  </si>
  <si>
    <t>Add concentrate to Lot 34 Cabernet Franc</t>
  </si>
  <si>
    <t>Add concentrate to Lot 38 Cabernet Sauvignon</t>
  </si>
  <si>
    <t>Add concentrate to Lot 40 Cabernet Sauvignon</t>
  </si>
  <si>
    <t>Add Sugar to Lot 4 Chambourcin</t>
  </si>
  <si>
    <t>Add Sugar to Lot 14 Chardonnay</t>
  </si>
  <si>
    <t>Barrel/Tote/Tank</t>
  </si>
  <si>
    <t>Year End Gallons</t>
  </si>
  <si>
    <t>Add Sugar to Lot 21 Chambourcin</t>
  </si>
  <si>
    <t>Add Sugar to Lot 31 Merlot - Lake Block #3</t>
  </si>
  <si>
    <t>Add Sugar to Lot 33 Tannat</t>
  </si>
  <si>
    <t>Add Sugar to Lot 38 Cabernet Sauvignon</t>
  </si>
  <si>
    <t>Add Sugar to Lot 40 Cabernet Sauvignon</t>
  </si>
  <si>
    <t>Added191.5 High Proof To Lot 33 - Tannat</t>
  </si>
  <si>
    <t>Added191.5 High Proof To Lot 21 - Chambourcin</t>
  </si>
  <si>
    <t>Cabernet Franc/Merlot</t>
  </si>
  <si>
    <t>White</t>
  </si>
  <si>
    <t>Rose - Chambourcin</t>
  </si>
  <si>
    <t>Rose - Grenache</t>
  </si>
  <si>
    <t>Albarino</t>
  </si>
  <si>
    <t>2023 Month    Average</t>
  </si>
  <si>
    <t>2023 Vintage Bottling</t>
  </si>
  <si>
    <t>2024 Monthly Avg</t>
  </si>
  <si>
    <t>2024  PEARMUND BOTTLINGS</t>
  </si>
  <si>
    <t>12 Pearls - SS Chardonnay</t>
  </si>
  <si>
    <t>Effingham Albarino</t>
  </si>
  <si>
    <t>Vint Hill Rose</t>
  </si>
  <si>
    <t>10th Mission Black Ops</t>
  </si>
  <si>
    <t>PC AMR</t>
  </si>
  <si>
    <t>Effingham Reserve</t>
  </si>
  <si>
    <t>Late Harvest Touriga</t>
  </si>
  <si>
    <t>Kegs</t>
  </si>
  <si>
    <t>Effingham Viognier</t>
  </si>
  <si>
    <t>PC Merlot</t>
  </si>
  <si>
    <t>F</t>
  </si>
  <si>
    <t xml:space="preserve">PC Cabernet Franc  </t>
  </si>
  <si>
    <t>PC Petit Verdot Reserve</t>
  </si>
  <si>
    <t>PC Cabernet Sauvignon Reserve</t>
  </si>
  <si>
    <t>Effingham Cabernet Sauvignon</t>
  </si>
  <si>
    <t>Effingham Petit Verdot</t>
  </si>
  <si>
    <t>Black Ops - 11th Mission</t>
  </si>
  <si>
    <t>2024 TRANSFERS</t>
  </si>
  <si>
    <t>PC sold Vint Hill Sauvignon Blanc</t>
  </si>
  <si>
    <t>PC sold Effingham Albarino</t>
  </si>
  <si>
    <t>PC Sold Vint Hill Petit Manseng</t>
  </si>
  <si>
    <t>PC Sold VH 22 Viognier</t>
  </si>
  <si>
    <t>PC Sold VH Rose</t>
  </si>
  <si>
    <t>AMR Kegs</t>
  </si>
  <si>
    <t>PC sold VH Misty</t>
  </si>
  <si>
    <t>PC Sold Effingham Rose</t>
  </si>
  <si>
    <t>PC Sold VH Rose shiners</t>
  </si>
  <si>
    <t>PC Sold VH Chardonnay</t>
  </si>
  <si>
    <t>PC Sold Effingham Viognier</t>
  </si>
  <si>
    <t>PC Sold Effingham Chardonnay</t>
  </si>
  <si>
    <t>PC Sold VH 2023 Chardonnay shiners</t>
  </si>
  <si>
    <t>PC Sold VH Chambourcin Port</t>
  </si>
  <si>
    <t>PC Sold Effingham 2023 Cabernet Sauvignon</t>
  </si>
  <si>
    <t>Rose Kegs</t>
  </si>
  <si>
    <t>2024 ADDITIONS - Sugar/concentrate/juice/bulk wine</t>
  </si>
  <si>
    <t>10 lbs sugar to 2023 VH Petit Manseng</t>
  </si>
  <si>
    <t>24 gallons Muscat Concentrate to 2023 Celebration</t>
  </si>
  <si>
    <t>12 gallons Muscat Concentrate to 2023 Sunshine</t>
  </si>
  <si>
    <t>11 gallons Riesling Concentrate to 2023 PC Rose</t>
  </si>
  <si>
    <t>19 gallons Riesling Concentrate to 2023 EFF Rose</t>
  </si>
  <si>
    <t>11th Black Ops</t>
  </si>
  <si>
    <t>18 gallons conc to 2024 Chamb Rose - Lot 1</t>
  </si>
  <si>
    <t>42 gallons conc to Lot 8 - Lot 8 SC</t>
  </si>
  <si>
    <t>36 gallons conc to 2024 Viognier - Lot 11</t>
  </si>
  <si>
    <t>6 gallons conc to 2024 Tannat - Lot 12</t>
  </si>
  <si>
    <t>36 gallons conc to 2024 Chambourcin Port - Lot 15 SC</t>
  </si>
  <si>
    <t>48 gallons conc to 2024 Chambourcin Rose - Lot 15 SC</t>
  </si>
  <si>
    <t>30 gallons 191.4 Proof Brandy to 24 Chamb  Port - Lot 15</t>
  </si>
  <si>
    <t>18 gallons conc to 2024 Merlot - Lot 18 SC</t>
  </si>
  <si>
    <t>14 lbs of sugar to 2024 Merlot - Lot 18 SC</t>
  </si>
  <si>
    <t>96 gallons conc to 2024 Merlot - Lot 18 SC</t>
  </si>
  <si>
    <t>84 lbs of sugar to 2024 Merlot - Lot 18 SC</t>
  </si>
  <si>
    <t>Comparison</t>
  </si>
  <si>
    <t>Comparsion</t>
  </si>
  <si>
    <t>24 gallons conc to 2024 Merlot - Lot 20 SC</t>
  </si>
  <si>
    <t>Difference +/-</t>
  </si>
  <si>
    <t>100 lbs of sugar to 2024 Merlot - Lot 20 SC</t>
  </si>
  <si>
    <t>34 gallons 191.4 Proof Brandy to 24 Tannat Port - Lot 21</t>
  </si>
  <si>
    <t>30 gallons concentrate to 24 Tannat Port - Lot 21</t>
  </si>
  <si>
    <t>174 gallons conc to Chardonnary - Lot 21 - 5R</t>
  </si>
  <si>
    <t>42 gallons conc to Chardonnary - Lot 21 - 5R</t>
  </si>
  <si>
    <t>24 gallons conc to 2024 Caberent Sauv - Lot 24 SW</t>
  </si>
  <si>
    <t>75 lbs of sugar to 2024 Caberent Sauv - Lot 24 SW</t>
  </si>
  <si>
    <t>Pearmund Cellars</t>
  </si>
  <si>
    <t>24 gallons conc to 2024 Cabernet Franc - Lot 26</t>
  </si>
  <si>
    <t>75 lbs of sugar to 2024 Cabernet Franc - Lot 26</t>
  </si>
  <si>
    <t>32 gallons conc to 2024 Cabernet Franc - Lot 26</t>
  </si>
  <si>
    <t>100  lbs of sugar to 2024 Cabernet Franc - Lot 26</t>
  </si>
  <si>
    <t>8 gallons of concentrate to 2024 PV - Lot 27</t>
  </si>
  <si>
    <t>16 lbs of Sugar to 2024 PV - Lot 27</t>
  </si>
  <si>
    <t>Rose- Grenache</t>
  </si>
  <si>
    <t>24 gallons of Petit Sirah Concentrate to 2024 PV - Lot 28</t>
  </si>
  <si>
    <t>Sauvignon Blanc</t>
  </si>
  <si>
    <t>104/2024</t>
  </si>
  <si>
    <t>40 lbs of Sugar to 2024 PV - Lot 28</t>
  </si>
  <si>
    <t>314 lbs of Sugar to 2024 CS - Lot 29</t>
  </si>
  <si>
    <t>78 gallons of Petit Sirah Concentrate to 2024 CS - Lot 29</t>
  </si>
  <si>
    <t>38.5 gallons Cab Sauv Concentrate to 2024 CS - Lot 30</t>
  </si>
  <si>
    <t>18 gallons Petit Sirah Concentract to 2024 PV - Lot 31</t>
  </si>
  <si>
    <t>2024 Total</t>
  </si>
  <si>
    <t>Overal Total</t>
  </si>
  <si>
    <t>2024 Month    Average</t>
  </si>
  <si>
    <t>2025 Vintage Bottling</t>
  </si>
  <si>
    <t>2025 Monthly Avg</t>
  </si>
  <si>
    <t>2025  PEARMUND BOTTLINGS</t>
  </si>
  <si>
    <t>EFF Reserve</t>
  </si>
  <si>
    <t>White Blend - Shiners</t>
  </si>
  <si>
    <t>Chardonnay - SS Shiners</t>
  </si>
  <si>
    <t>VH Sauvignon Blanc</t>
  </si>
  <si>
    <t>Rose - Shiners</t>
  </si>
  <si>
    <t>PC Cabernet Sauvignon</t>
  </si>
  <si>
    <t>Black Ops - 12th Mission</t>
  </si>
  <si>
    <t>VH Enigma</t>
  </si>
  <si>
    <t>2025 TRANSFERS</t>
  </si>
  <si>
    <t>Vint Hill Petit Manseng to VH</t>
  </si>
  <si>
    <t>EFF Petit Manseng to EFF</t>
  </si>
  <si>
    <t>EFF Celebration to EFF</t>
  </si>
  <si>
    <t>VH Misty to VH</t>
  </si>
  <si>
    <t>VH Sauvignon Blanc to VH</t>
  </si>
  <si>
    <t>VH Rose to VH</t>
  </si>
  <si>
    <t>White Blend - Shiners to VH</t>
  </si>
  <si>
    <t>EFF Rose to EFF</t>
  </si>
  <si>
    <t>The Pearls Chardonnay to EFF</t>
  </si>
  <si>
    <t>Petit Manseng - Shiners</t>
  </si>
  <si>
    <t>Story Chardonnay</t>
  </si>
  <si>
    <t>Sunshine - Shiners</t>
  </si>
  <si>
    <t>Sunshine Shiners</t>
  </si>
  <si>
    <t>Tannat - Lot 30 - SW to Effingham</t>
  </si>
  <si>
    <t>Tannat - Lot 27 - SC to Effingham</t>
  </si>
  <si>
    <t>Petit Verdot - Lot 5R - to Effingham</t>
  </si>
  <si>
    <t>Cabernet Franc - Lot 32 - SC to VH</t>
  </si>
  <si>
    <t>Merlot - Lot 27 - SC to VH</t>
  </si>
  <si>
    <t>Tannat Port - to VH</t>
  </si>
  <si>
    <t>Chardonnay SS - Shiners</t>
  </si>
  <si>
    <t>Chambourcing Port to VH</t>
  </si>
  <si>
    <t>Tempranillo</t>
  </si>
  <si>
    <t>Cabernet Sauvignon - Lot 43 - SC</t>
  </si>
  <si>
    <t>Tannat - Lot 27 - SC</t>
  </si>
  <si>
    <t>Petit Verdot - Lot 22 - 5R</t>
  </si>
  <si>
    <t>Cabernet Franc - Lot 32/33 - CH/SC</t>
  </si>
  <si>
    <t>Merlot - Lot 40 - SC</t>
  </si>
  <si>
    <t>Cabernet Sauvignon - Lot 34 - 5R</t>
  </si>
  <si>
    <t>Cabernet Sauvignon - Lot 44 - Colvita</t>
  </si>
  <si>
    <t>12th Black Ops</t>
  </si>
  <si>
    <t>Sparkling Rose</t>
  </si>
  <si>
    <t>2025 ADDITIONS - Sugar/concentrate/juice/bulk wine</t>
  </si>
  <si>
    <t>10 lbs of Sugar to 2024 VH Petit Mansneg</t>
  </si>
  <si>
    <t>17 gals of concentrate to 2024 Sunshine</t>
  </si>
  <si>
    <t>18 gal of concentrate to 2024 Celebration</t>
  </si>
  <si>
    <t>12 gal of Riesling concentrate to 2024 Effinham Rose</t>
  </si>
  <si>
    <t>Added 80 lbs sugar to 2025 Chardonnay</t>
  </si>
  <si>
    <t>Added 10 lbs sugar to 2024 Albarino/Sauv Blanc</t>
  </si>
  <si>
    <t>Added 30 gallons concentrate to 2025 Chambourcin Rose</t>
  </si>
  <si>
    <t>Added 18 gallons concentrate to 2025 Chardonnay</t>
  </si>
  <si>
    <t>Added 12 gallons concentrate to 2025 Cabernet Franc</t>
  </si>
  <si>
    <t>Added 45 gallons concentrate to 2025 Petit Verdot</t>
  </si>
  <si>
    <t>Added 12 gallons concentrate to 2025 Tannat</t>
  </si>
  <si>
    <t>Added 15 gallons concentrate to 2025 Merlot</t>
  </si>
  <si>
    <t>Added 72 gallons concentrate to 2025 Chambourcin Port</t>
  </si>
  <si>
    <t>Added 18 gallons concentrate to 2025 Chambourcin Rose</t>
  </si>
  <si>
    <t>Added18 gallons concentrate to 2025 Tannat</t>
  </si>
  <si>
    <t>Added 36 gallons concentrate to 2025 Traminette</t>
  </si>
  <si>
    <t>Added 30 gallons concentrate to 2025 Cabernet Franc</t>
  </si>
  <si>
    <t>Moscato</t>
  </si>
  <si>
    <t>Added 12 gallons concentrate to 2025 Merlot</t>
  </si>
  <si>
    <t>Alicante Bouschet</t>
  </si>
  <si>
    <t>Added 18 gallons concentrate to 2025 Cabernet Franc</t>
  </si>
  <si>
    <t xml:space="preserve">Added 24 gallons concentrate to 2025 Cabernet Sauvignon  </t>
  </si>
  <si>
    <t>Added 13 gallons 191.5 High Proof to 2025 Tannat Port</t>
  </si>
  <si>
    <t>Added 50 gallons 191.5 High Proof to 2025 Chamb Port</t>
  </si>
  <si>
    <t>Added 24 gallons concentrate to 2025 Petit Verdot</t>
  </si>
  <si>
    <t>Red Blend</t>
  </si>
  <si>
    <t>Added 6 gallons concentrate to 2025 Petit Verdot</t>
  </si>
  <si>
    <t>2025 Total</t>
  </si>
  <si>
    <t>Added 6 gallons concentrate to 2025 Cabernet Sauvignon</t>
  </si>
  <si>
    <t>Added 75 gallons concentrate to 2025 Merlot</t>
  </si>
  <si>
    <t>Added 9 gallons of 191.5 High Proof to 2025 Tannat Port</t>
  </si>
  <si>
    <t>Added 14 gallons of 191.5 High Proof to 2025 Tannat Port</t>
  </si>
  <si>
    <t>Added 24 gallons concentrate to 2025 Muscat</t>
  </si>
  <si>
    <t>Added 24 gallons concentrate to 2025 Cabernet Sauvignon - Lot 43- SC</t>
  </si>
  <si>
    <t>2025 Month    Average</t>
  </si>
  <si>
    <t>2026 Monthly Avg</t>
  </si>
  <si>
    <t>2026  PEARMUND BOTTLINGS</t>
  </si>
  <si>
    <t>VH Sauvingnon Blanc</t>
  </si>
  <si>
    <t>Alento (case equiv)</t>
  </si>
  <si>
    <t>PC Petit Mansneg</t>
  </si>
  <si>
    <t>Sparkling - Rose - 88 cases to Effingham</t>
  </si>
  <si>
    <t>cs</t>
  </si>
  <si>
    <t>Sold 56 cases of Stainless Steel Chardonnay to Effingham</t>
  </si>
  <si>
    <t>Sunshine Kegs</t>
  </si>
  <si>
    <t>Sparkling - Chardonnay</t>
  </si>
  <si>
    <t>Sparkling - Rose</t>
  </si>
  <si>
    <t>13th Black Ops</t>
  </si>
  <si>
    <t>2026 ADDITIONS - Sugar/concentrate/juice/bulk wine</t>
  </si>
  <si>
    <t>\</t>
  </si>
  <si>
    <t>Updated Class</t>
  </si>
  <si>
    <t>Petite Verdot Reserve</t>
  </si>
  <si>
    <t>Varietal</t>
  </si>
  <si>
    <t>Vidal</t>
  </si>
  <si>
    <t>Case Target</t>
  </si>
  <si>
    <t>Est. Cases</t>
  </si>
  <si>
    <t>Tons</t>
  </si>
  <si>
    <t>Grenache</t>
  </si>
  <si>
    <t>Mourvedre</t>
  </si>
  <si>
    <t>Wine Name</t>
  </si>
  <si>
    <t>Class</t>
  </si>
  <si>
    <t>Lead Time</t>
  </si>
  <si>
    <t>Total Stock</t>
  </si>
  <si>
    <t>SX: Burn</t>
  </si>
  <si>
    <t>SX: Launch Inv</t>
  </si>
  <si>
    <t>SX: 12mo Demand</t>
  </si>
  <si>
    <t>SX: Stockout</t>
  </si>
  <si>
    <t>AVG: Burn</t>
  </si>
  <si>
    <t>AVG: Launch Inv</t>
  </si>
  <si>
    <t>AVG: 12mo Demand</t>
  </si>
  <si>
    <t>AVG: Stockout</t>
  </si>
  <si>
    <t>SX: GOAL</t>
  </si>
  <si>
    <t>AVG: GOAL</t>
  </si>
  <si>
    <t>Status</t>
  </si>
  <si>
    <t>URGENT</t>
  </si>
  <si>
    <t>STABLE</t>
  </si>
  <si>
    <t>Post-Horizon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</si>
</sst>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mmmm\ d\,\ yyyy"/>
    <numFmt numFmtId="165" formatCode="0.0"/>
  </numFmts>
  <fonts count="28" x14ac:knownFonts="1">
    <font>
      <sz val="10"/>
      <name val="Arial"/>
    </font>
    <font>
      <sz val="10"/>
      <name val="Arial"/>
      <family val="2"/>
    </font>
    <font>
      <b/>
      <sz val="16"/>
      <name val="Arial"/>
      <family val="2"/>
    </font>
    <font>
      <b/>
      <sz val="12"/>
      <name val="Arial"/>
      <family val="2"/>
    </font>
    <font>
      <b/>
      <sz val="10"/>
      <name val="Arial"/>
      <family val="2"/>
    </font>
    <font>
      <b/>
      <sz val="20"/>
      <name val="Arial"/>
      <family val="2"/>
    </font>
    <font>
      <sz val="10"/>
      <color indexed="8"/>
      <name val="Arial"/>
      <family val="2"/>
    </font>
    <font>
      <sz val="10"/>
      <color indexed="10"/>
      <name val="Arial"/>
      <family val="2"/>
    </font>
    <font>
      <sz val="8"/>
      <name val="Arial"/>
      <family val="2"/>
    </font>
    <font>
      <sz val="10"/>
      <color rgb="FFFF0000"/>
      <name val="Arial"/>
      <family val="2"/>
    </font>
    <font>
      <sz val="12"/>
      <name val="Times New Roman"/>
      <family val="1"/>
    </font>
    <font>
      <sz val="12"/>
      <name val="Calibri"/>
      <family val="2"/>
    </font>
    <font>
      <sz val="11"/>
      <name val="Times New Roman"/>
      <family val="1"/>
    </font>
    <font>
      <sz val="10"/>
      <name val="Arial"/>
      <family val="2"/>
    </font>
    <font>
      <sz val="10"/>
      <color theme="1"/>
      <name val="Arial"/>
      <family val="2"/>
    </font>
    <font>
      <sz val="12"/>
      <name val="Arial"/>
      <family val="2"/>
    </font>
    <font>
      <sz val="12"/>
      <color theme="1"/>
      <name val="Arial"/>
      <family val="2"/>
    </font>
    <font>
      <sz val="12"/>
      <name val="Arial"/>
      <family val="2"/>
    </font>
    <font>
      <sz val="12"/>
      <color rgb="FFFF0000"/>
      <name val="Arial"/>
      <family val="2"/>
    </font>
    <font>
      <sz val="12"/>
      <color rgb="FF000000"/>
      <name val="Arial"/>
      <family val="2"/>
    </font>
    <font>
      <sz val="14"/>
      <name val="Arial"/>
      <family val="2"/>
    </font>
    <font>
      <b/>
      <sz val="14"/>
      <name val="Arial"/>
      <family val="2"/>
    </font>
    <font>
      <b/>
      <sz val="12"/>
      <color rgb="FFFF0000"/>
      <name val="Arial"/>
      <family val="2"/>
    </font>
    <font>
      <b/>
      <sz val="14"/>
      <color rgb="FFFF0000"/>
      <name val="Arial"/>
      <family val="2"/>
    </font>
    <font>
      <b/>
      <sz val="11"/>
      <color theme="1"/>
      <name val="Calibri"/>
      <family val="2"/>
      <scheme val="minor"/>
    </font>
    <font>
      <sz val="12"/>
      <color rgb="FF000000"/>
      <name val="Aptos"/>
      <family val="2"/>
    </font>
    <font>
      <b/>
      <sz val="11"/>
      <name val="Arial"/>
      <family val="2"/>
    </font>
    <font>
      <sz val="11"/>
      <color rgb="FF002060"/>
      <name val="Calibri"/>
      <family val="2"/>
      <scheme val="minor"/>
    </font>
  </fonts>
  <fills count="28">
    <fill>
      <patternFill patternType="none"/>
    </fill>
    <fill>
      <patternFill patternType="gray125"/>
    </fill>
    <fill>
      <patternFill patternType="solid">
        <fgColor indexed="15"/>
        <bgColor indexed="64"/>
      </patternFill>
    </fill>
    <fill>
      <patternFill patternType="solid">
        <fgColor indexed="9"/>
        <bgColor indexed="64"/>
      </patternFill>
    </fill>
    <fill>
      <patternFill patternType="solid">
        <fgColor indexed="13"/>
        <bgColor indexed="64"/>
      </patternFill>
    </fill>
    <fill>
      <patternFill patternType="solid">
        <fgColor indexed="11"/>
        <bgColor indexed="64"/>
      </patternFill>
    </fill>
    <fill>
      <patternFill patternType="solid">
        <fgColor indexed="10"/>
        <bgColor indexed="64"/>
      </patternFill>
    </fill>
    <fill>
      <patternFill patternType="solid">
        <fgColor indexed="8"/>
        <bgColor indexed="64"/>
      </patternFill>
    </fill>
    <fill>
      <patternFill patternType="solid">
        <fgColor indexed="17"/>
        <bgColor indexed="64"/>
      </patternFill>
    </fill>
    <fill>
      <patternFill patternType="solid">
        <fgColor indexed="55"/>
        <bgColor indexed="64"/>
      </patternFill>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theme="1" tint="0.499984740745262"/>
        <bgColor indexed="64"/>
      </patternFill>
    </fill>
    <fill>
      <patternFill patternType="solid">
        <fgColor theme="1"/>
        <bgColor indexed="64"/>
      </patternFill>
    </fill>
    <fill>
      <patternFill patternType="solid">
        <fgColor rgb="FF92D05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00B0F0"/>
        <bgColor indexed="64"/>
      </patternFill>
    </fill>
    <fill>
      <patternFill patternType="solid">
        <fgColor rgb="FF009644"/>
        <bgColor indexed="64"/>
      </patternFill>
    </fill>
    <fill>
      <patternFill patternType="solid">
        <fgColor rgb="FF00B050"/>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tint="-0.249977111117893"/>
        <bgColor indexed="64"/>
      </patternFill>
    </fill>
  </fills>
  <borders count="57">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theme="4" tint="0.39997558519241921"/>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9" fontId="13" fillId="0" borderId="0" applyFont="0" applyFill="0" applyBorder="0" applyAlignment="0" applyProtection="0"/>
  </cellStyleXfs>
  <cellXfs count="587">
    <xf numFmtId="0" fontId="0" fillId="0" borderId="0" xfId="0"/>
    <xf numFmtId="0" fontId="3" fillId="0" borderId="0" xfId="0" applyFont="1" applyAlignment="1">
      <alignment horizontal="center"/>
    </xf>
    <xf numFmtId="0" fontId="0" fillId="0" borderId="1" xfId="0" applyBorder="1"/>
    <xf numFmtId="0" fontId="0" fillId="0" borderId="2" xfId="0" applyBorder="1"/>
    <xf numFmtId="0" fontId="3" fillId="0" borderId="3" xfId="0" applyFont="1"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0" fillId="0" borderId="6" xfId="0" applyBorder="1"/>
    <xf numFmtId="0" fontId="4" fillId="0" borderId="1" xfId="0" applyFont="1" applyBorder="1"/>
    <xf numFmtId="0" fontId="0" fillId="0" borderId="7" xfId="0" applyBorder="1"/>
    <xf numFmtId="0" fontId="0" fillId="2" borderId="7" xfId="0" applyFill="1" applyBorder="1"/>
    <xf numFmtId="1" fontId="0" fillId="4" borderId="7" xfId="0" applyNumberFormat="1" applyFill="1" applyBorder="1"/>
    <xf numFmtId="165" fontId="0" fillId="0" borderId="7" xfId="0" applyNumberFormat="1" applyBorder="1"/>
    <xf numFmtId="0" fontId="0" fillId="3" borderId="0" xfId="0" applyFill="1"/>
    <xf numFmtId="0" fontId="4" fillId="0" borderId="7" xfId="0" applyFont="1" applyBorder="1" applyAlignment="1">
      <alignment horizontal="center"/>
    </xf>
    <xf numFmtId="0" fontId="0" fillId="0" borderId="7" xfId="0" applyBorder="1" applyAlignment="1">
      <alignment horizontal="right"/>
    </xf>
    <xf numFmtId="0" fontId="0" fillId="6" borderId="7" xfId="0" applyFill="1" applyBorder="1"/>
    <xf numFmtId="0" fontId="0" fillId="0" borderId="5" xfId="0" applyBorder="1"/>
    <xf numFmtId="0" fontId="3" fillId="0" borderId="8" xfId="0" applyFont="1" applyBorder="1" applyAlignment="1">
      <alignment horizontal="center"/>
    </xf>
    <xf numFmtId="0" fontId="3" fillId="0" borderId="9" xfId="0" applyFont="1" applyBorder="1" applyAlignment="1">
      <alignment horizontal="center"/>
    </xf>
    <xf numFmtId="49" fontId="3" fillId="0" borderId="10" xfId="0" applyNumberFormat="1" applyFont="1" applyBorder="1" applyAlignment="1">
      <alignment horizontal="center" wrapText="1"/>
    </xf>
    <xf numFmtId="0" fontId="3" fillId="0" borderId="10" xfId="0" applyFont="1" applyBorder="1" applyAlignment="1">
      <alignment horizontal="center" wrapText="1"/>
    </xf>
    <xf numFmtId="0" fontId="3" fillId="0" borderId="10" xfId="0" applyFont="1" applyBorder="1" applyAlignment="1">
      <alignment horizontal="center"/>
    </xf>
    <xf numFmtId="0" fontId="3" fillId="0" borderId="11" xfId="0" applyFont="1" applyBorder="1" applyAlignment="1">
      <alignment horizontal="center"/>
    </xf>
    <xf numFmtId="0" fontId="0" fillId="0" borderId="12" xfId="0" applyBorder="1"/>
    <xf numFmtId="0" fontId="3" fillId="0" borderId="9" xfId="0" applyFont="1" applyBorder="1" applyAlignment="1">
      <alignment horizontal="center" wrapText="1"/>
    </xf>
    <xf numFmtId="0" fontId="3" fillId="0" borderId="11" xfId="0" applyFont="1" applyBorder="1" applyAlignment="1">
      <alignment horizontal="center" wrapText="1"/>
    </xf>
    <xf numFmtId="0" fontId="0" fillId="0" borderId="13" xfId="0" applyBorder="1"/>
    <xf numFmtId="1" fontId="0" fillId="0" borderId="14" xfId="0" applyNumberFormat="1" applyBorder="1" applyAlignment="1">
      <alignment horizontal="left"/>
    </xf>
    <xf numFmtId="0" fontId="6" fillId="7" borderId="15" xfId="0" applyFont="1" applyFill="1" applyBorder="1"/>
    <xf numFmtId="0" fontId="0" fillId="7" borderId="0" xfId="0" applyFill="1"/>
    <xf numFmtId="0" fontId="6" fillId="7" borderId="16" xfId="0" applyFont="1" applyFill="1" applyBorder="1" applyAlignment="1">
      <alignment horizontal="left"/>
    </xf>
    <xf numFmtId="0" fontId="0" fillId="0" borderId="15" xfId="0" applyBorder="1"/>
    <xf numFmtId="1" fontId="0" fillId="0" borderId="16" xfId="0" applyNumberFormat="1" applyBorder="1" applyAlignment="1">
      <alignment horizontal="left"/>
    </xf>
    <xf numFmtId="0" fontId="0" fillId="7" borderId="15" xfId="0" applyFill="1" applyBorder="1"/>
    <xf numFmtId="0" fontId="0" fillId="7" borderId="16" xfId="0" applyFill="1" applyBorder="1" applyAlignment="1">
      <alignment horizontal="left"/>
    </xf>
    <xf numFmtId="0" fontId="0" fillId="3" borderId="15" xfId="0" applyFill="1" applyBorder="1"/>
    <xf numFmtId="0" fontId="0" fillId="7" borderId="17" xfId="0" applyFill="1" applyBorder="1"/>
    <xf numFmtId="0" fontId="0" fillId="0" borderId="9" xfId="0" applyBorder="1"/>
    <xf numFmtId="0" fontId="0" fillId="0" borderId="18" xfId="0" applyBorder="1"/>
    <xf numFmtId="0" fontId="4" fillId="0" borderId="10" xfId="0" applyFont="1" applyBorder="1" applyAlignment="1">
      <alignment horizontal="center"/>
    </xf>
    <xf numFmtId="1" fontId="0" fillId="4" borderId="10" xfId="0" applyNumberFormat="1" applyFill="1" applyBorder="1"/>
    <xf numFmtId="1" fontId="0" fillId="0" borderId="10" xfId="0" applyNumberFormat="1" applyBorder="1"/>
    <xf numFmtId="0" fontId="0" fillId="2" borderId="10" xfId="0" applyFill="1" applyBorder="1"/>
    <xf numFmtId="165" fontId="0" fillId="0" borderId="10" xfId="0" applyNumberFormat="1" applyBorder="1"/>
    <xf numFmtId="1" fontId="0" fillId="0" borderId="11" xfId="0" applyNumberFormat="1" applyBorder="1" applyAlignment="1">
      <alignment horizontal="left"/>
    </xf>
    <xf numFmtId="0" fontId="0" fillId="7" borderId="19" xfId="0" applyFill="1" applyBorder="1"/>
    <xf numFmtId="0" fontId="0" fillId="7" borderId="7" xfId="0" applyFill="1" applyBorder="1"/>
    <xf numFmtId="1" fontId="0" fillId="7" borderId="6" xfId="0" applyNumberFormat="1" applyFill="1" applyBorder="1"/>
    <xf numFmtId="0" fontId="0" fillId="7" borderId="6" xfId="0" applyFill="1" applyBorder="1"/>
    <xf numFmtId="165" fontId="0" fillId="7" borderId="6" xfId="0" applyNumberFormat="1" applyFill="1" applyBorder="1"/>
    <xf numFmtId="0" fontId="0" fillId="7" borderId="20" xfId="0" applyFill="1" applyBorder="1" applyAlignment="1">
      <alignment horizontal="left"/>
    </xf>
    <xf numFmtId="164" fontId="2" fillId="10" borderId="21" xfId="0" applyNumberFormat="1" applyFont="1" applyFill="1" applyBorder="1"/>
    <xf numFmtId="164" fontId="2" fillId="10" borderId="22" xfId="0" applyNumberFormat="1" applyFont="1" applyFill="1" applyBorder="1"/>
    <xf numFmtId="164" fontId="2" fillId="10" borderId="23" xfId="0" applyNumberFormat="1" applyFont="1" applyFill="1" applyBorder="1"/>
    <xf numFmtId="0" fontId="3" fillId="0" borderId="24" xfId="0" applyFont="1" applyBorder="1" applyAlignment="1">
      <alignment horizontal="center"/>
    </xf>
    <xf numFmtId="49" fontId="3" fillId="0" borderId="25" xfId="0" applyNumberFormat="1" applyFont="1" applyBorder="1" applyAlignment="1">
      <alignment horizontal="center" wrapText="1"/>
    </xf>
    <xf numFmtId="0" fontId="3" fillId="0" borderId="25" xfId="0" applyFont="1" applyBorder="1" applyAlignment="1">
      <alignment horizontal="center" wrapText="1"/>
    </xf>
    <xf numFmtId="0" fontId="3" fillId="0" borderId="25" xfId="0" applyFont="1" applyBorder="1" applyAlignment="1">
      <alignment horizontal="center"/>
    </xf>
    <xf numFmtId="0" fontId="3" fillId="0" borderId="26" xfId="0" applyFont="1" applyBorder="1" applyAlignment="1">
      <alignment horizontal="center"/>
    </xf>
    <xf numFmtId="0" fontId="3" fillId="0" borderId="24" xfId="0" applyFont="1" applyBorder="1" applyAlignment="1">
      <alignment horizontal="center" wrapText="1"/>
    </xf>
    <xf numFmtId="0" fontId="3" fillId="0" borderId="26" xfId="0" applyFont="1" applyBorder="1" applyAlignment="1">
      <alignment horizontal="center" wrapText="1"/>
    </xf>
    <xf numFmtId="164" fontId="2" fillId="10" borderId="21" xfId="0" applyNumberFormat="1" applyFont="1" applyFill="1" applyBorder="1" applyAlignment="1">
      <alignment horizontal="left"/>
    </xf>
    <xf numFmtId="164" fontId="2" fillId="10" borderId="22" xfId="0" applyNumberFormat="1" applyFont="1" applyFill="1" applyBorder="1" applyAlignment="1">
      <alignment horizontal="left"/>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164" fontId="2" fillId="0" borderId="0" xfId="0" applyNumberFormat="1" applyFont="1" applyAlignment="1">
      <alignment horizontal="left"/>
    </xf>
    <xf numFmtId="0" fontId="1" fillId="0" borderId="7" xfId="0" applyFont="1" applyBorder="1"/>
    <xf numFmtId="0" fontId="3" fillId="0" borderId="7" xfId="0" applyFont="1" applyBorder="1" applyAlignment="1">
      <alignment horizontal="center" wrapText="1"/>
    </xf>
    <xf numFmtId="0" fontId="0" fillId="0" borderId="29" xfId="0" applyBorder="1"/>
    <xf numFmtId="0" fontId="1" fillId="7" borderId="0" xfId="0" applyFont="1" applyFill="1"/>
    <xf numFmtId="0" fontId="1" fillId="0" borderId="0" xfId="0" applyFont="1"/>
    <xf numFmtId="0" fontId="3" fillId="0" borderId="30" xfId="0" applyFont="1" applyBorder="1" applyAlignment="1">
      <alignment horizontal="center" vertical="center" wrapText="1"/>
    </xf>
    <xf numFmtId="0" fontId="1" fillId="0" borderId="7" xfId="0" applyFont="1" applyBorder="1" applyAlignment="1">
      <alignment horizontal="center" wrapText="1"/>
    </xf>
    <xf numFmtId="0" fontId="0" fillId="0" borderId="31" xfId="0" applyBorder="1"/>
    <xf numFmtId="0" fontId="0" fillId="7" borderId="31" xfId="0" applyFill="1" applyBorder="1"/>
    <xf numFmtId="1" fontId="0" fillId="7" borderId="16" xfId="0" applyNumberFormat="1" applyFill="1" applyBorder="1" applyAlignment="1">
      <alignment horizontal="left"/>
    </xf>
    <xf numFmtId="0" fontId="0" fillId="7" borderId="32" xfId="0" applyFill="1" applyBorder="1"/>
    <xf numFmtId="0" fontId="0" fillId="7" borderId="33" xfId="0" applyFill="1" applyBorder="1"/>
    <xf numFmtId="1" fontId="0" fillId="7" borderId="33" xfId="0" applyNumberFormat="1" applyFill="1" applyBorder="1"/>
    <xf numFmtId="165" fontId="1" fillId="7" borderId="33" xfId="0" applyNumberFormat="1" applyFont="1" applyFill="1" applyBorder="1"/>
    <xf numFmtId="0" fontId="0" fillId="7" borderId="34" xfId="0" applyFill="1" applyBorder="1"/>
    <xf numFmtId="0" fontId="0" fillId="13" borderId="0" xfId="0" applyFill="1"/>
    <xf numFmtId="0" fontId="3" fillId="0" borderId="37" xfId="0" applyFont="1" applyBorder="1" applyAlignment="1">
      <alignment horizontal="center"/>
    </xf>
    <xf numFmtId="0" fontId="0" fillId="3" borderId="31" xfId="0" applyFill="1" applyBorder="1"/>
    <xf numFmtId="0" fontId="0" fillId="0" borderId="31" xfId="0" applyBorder="1" applyAlignment="1">
      <alignment horizontal="center"/>
    </xf>
    <xf numFmtId="0" fontId="11" fillId="0" borderId="0" xfId="0" applyFont="1" applyAlignment="1">
      <alignment vertical="center"/>
    </xf>
    <xf numFmtId="0" fontId="3" fillId="0" borderId="0" xfId="0" applyFont="1" applyAlignment="1">
      <alignment horizontal="center" wrapText="1"/>
    </xf>
    <xf numFmtId="0" fontId="4" fillId="0" borderId="0" xfId="0" applyFont="1"/>
    <xf numFmtId="1" fontId="0" fillId="0" borderId="0" xfId="0" applyNumberFormat="1"/>
    <xf numFmtId="0" fontId="0" fillId="0" borderId="0" xfId="0" applyAlignment="1">
      <alignment horizontal="center"/>
    </xf>
    <xf numFmtId="0" fontId="11" fillId="0" borderId="0" xfId="0" applyFont="1" applyAlignment="1">
      <alignment horizontal="center" vertical="center"/>
    </xf>
    <xf numFmtId="0" fontId="0" fillId="7" borderId="33" xfId="0" applyFill="1" applyBorder="1" applyAlignment="1">
      <alignment horizontal="center"/>
    </xf>
    <xf numFmtId="0" fontId="0" fillId="0" borderId="7" xfId="0" applyBorder="1" applyAlignment="1">
      <alignment horizontal="center"/>
    </xf>
    <xf numFmtId="0" fontId="0" fillId="0" borderId="29" xfId="0" applyBorder="1" applyAlignment="1">
      <alignment horizontal="center"/>
    </xf>
    <xf numFmtId="0" fontId="0" fillId="7" borderId="0" xfId="0" applyFill="1" applyAlignment="1">
      <alignment horizontal="center"/>
    </xf>
    <xf numFmtId="1" fontId="1" fillId="0" borderId="16" xfId="0" applyNumberFormat="1" applyFont="1" applyBorder="1" applyAlignment="1">
      <alignment horizontal="left"/>
    </xf>
    <xf numFmtId="0" fontId="0" fillId="7" borderId="38" xfId="0" applyFill="1" applyBorder="1"/>
    <xf numFmtId="0" fontId="1" fillId="0" borderId="6" xfId="0" applyFont="1" applyBorder="1" applyAlignment="1">
      <alignment horizontal="center"/>
    </xf>
    <xf numFmtId="0" fontId="1" fillId="0" borderId="0" xfId="0" applyFont="1" applyAlignment="1">
      <alignment horizontal="center"/>
    </xf>
    <xf numFmtId="2" fontId="0" fillId="0" borderId="0" xfId="0" applyNumberForma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0" fontId="3" fillId="11" borderId="25" xfId="0" applyFont="1" applyFill="1" applyBorder="1" applyAlignment="1">
      <alignment horizontal="center"/>
    </xf>
    <xf numFmtId="0" fontId="15" fillId="0" borderId="0" xfId="0" applyFont="1"/>
    <xf numFmtId="0" fontId="15" fillId="0" borderId="0" xfId="0" applyFont="1" applyAlignment="1">
      <alignment horizontal="center"/>
    </xf>
    <xf numFmtId="0" fontId="15" fillId="13" borderId="0" xfId="0" applyFont="1" applyFill="1"/>
    <xf numFmtId="164" fontId="3" fillId="10" borderId="21" xfId="0" applyNumberFormat="1" applyFont="1" applyFill="1" applyBorder="1"/>
    <xf numFmtId="164" fontId="3" fillId="10" borderId="22" xfId="0" applyNumberFormat="1" applyFont="1" applyFill="1" applyBorder="1"/>
    <xf numFmtId="164" fontId="3" fillId="10" borderId="23" xfId="0" applyNumberFormat="1" applyFont="1" applyFill="1" applyBorder="1"/>
    <xf numFmtId="0" fontId="15" fillId="7" borderId="31" xfId="0" applyFont="1" applyFill="1" applyBorder="1"/>
    <xf numFmtId="1" fontId="15" fillId="7" borderId="16" xfId="0" applyNumberFormat="1" applyFont="1" applyFill="1" applyBorder="1" applyAlignment="1">
      <alignment horizontal="left"/>
    </xf>
    <xf numFmtId="0" fontId="15" fillId="0" borderId="31" xfId="0" applyFont="1" applyBorder="1"/>
    <xf numFmtId="1" fontId="15" fillId="0" borderId="16" xfId="0" applyNumberFormat="1" applyFont="1" applyBorder="1" applyAlignment="1">
      <alignment horizontal="left"/>
    </xf>
    <xf numFmtId="0" fontId="15" fillId="7" borderId="16" xfId="0" applyFont="1" applyFill="1" applyBorder="1" applyAlignment="1">
      <alignment horizontal="left"/>
    </xf>
    <xf numFmtId="0" fontId="15" fillId="12" borderId="6" xfId="0" applyFont="1" applyFill="1" applyBorder="1" applyAlignment="1">
      <alignment horizontal="center"/>
    </xf>
    <xf numFmtId="0" fontId="15" fillId="0" borderId="31" xfId="0" applyFont="1" applyBorder="1" applyAlignment="1">
      <alignment horizontal="center"/>
    </xf>
    <xf numFmtId="0" fontId="15" fillId="7" borderId="33" xfId="0" applyFont="1" applyFill="1" applyBorder="1"/>
    <xf numFmtId="1" fontId="15" fillId="7" borderId="33" xfId="0" applyNumberFormat="1" applyFont="1" applyFill="1" applyBorder="1"/>
    <xf numFmtId="0" fontId="15" fillId="7" borderId="0" xfId="0" applyFont="1" applyFill="1" applyAlignment="1">
      <alignment horizontal="center"/>
    </xf>
    <xf numFmtId="0" fontId="15" fillId="7" borderId="33" xfId="0" applyFont="1" applyFill="1" applyBorder="1" applyAlignment="1">
      <alignment horizontal="center"/>
    </xf>
    <xf numFmtId="165" fontId="15" fillId="7" borderId="33" xfId="0" applyNumberFormat="1" applyFont="1" applyFill="1" applyBorder="1"/>
    <xf numFmtId="0" fontId="15" fillId="7" borderId="38" xfId="0" applyFont="1" applyFill="1" applyBorder="1"/>
    <xf numFmtId="1" fontId="15" fillId="0" borderId="0" xfId="0" applyNumberFormat="1" applyFont="1"/>
    <xf numFmtId="1" fontId="15" fillId="0" borderId="0" xfId="0" applyNumberFormat="1" applyFont="1" applyAlignment="1">
      <alignment horizontal="center"/>
    </xf>
    <xf numFmtId="165" fontId="15" fillId="0" borderId="0" xfId="0" applyNumberFormat="1" applyFont="1"/>
    <xf numFmtId="0" fontId="3" fillId="0" borderId="0" xfId="0" applyFont="1"/>
    <xf numFmtId="0" fontId="15" fillId="14" borderId="0" xfId="0" applyFont="1" applyFill="1"/>
    <xf numFmtId="0" fontId="15" fillId="7" borderId="0" xfId="0" applyFont="1" applyFill="1"/>
    <xf numFmtId="1" fontId="15" fillId="7" borderId="0" xfId="0" applyNumberFormat="1" applyFont="1" applyFill="1"/>
    <xf numFmtId="165" fontId="15" fillId="7" borderId="0" xfId="0" applyNumberFormat="1" applyFont="1" applyFill="1"/>
    <xf numFmtId="1" fontId="15" fillId="0" borderId="0" xfId="0" applyNumberFormat="1" applyFont="1" applyAlignment="1">
      <alignment horizontal="left"/>
    </xf>
    <xf numFmtId="164" fontId="3" fillId="10" borderId="21" xfId="0" applyNumberFormat="1" applyFont="1" applyFill="1" applyBorder="1" applyAlignment="1">
      <alignment horizontal="left"/>
    </xf>
    <xf numFmtId="164" fontId="3" fillId="10" borderId="22" xfId="0" applyNumberFormat="1" applyFont="1" applyFill="1" applyBorder="1" applyAlignment="1">
      <alignment horizontal="left"/>
    </xf>
    <xf numFmtId="164" fontId="3" fillId="0" borderId="0" xfId="0" applyNumberFormat="1" applyFont="1" applyAlignment="1">
      <alignment horizontal="left"/>
    </xf>
    <xf numFmtId="0" fontId="15" fillId="0" borderId="7" xfId="0" applyFont="1" applyBorder="1"/>
    <xf numFmtId="0" fontId="15" fillId="0" borderId="7" xfId="0" applyFont="1" applyBorder="1" applyAlignment="1">
      <alignment horizontal="center" wrapText="1"/>
    </xf>
    <xf numFmtId="0" fontId="15" fillId="0" borderId="7" xfId="0" applyFont="1" applyBorder="1" applyAlignment="1">
      <alignment horizontal="center"/>
    </xf>
    <xf numFmtId="0" fontId="15" fillId="0" borderId="29" xfId="0" applyFont="1" applyBorder="1" applyAlignment="1">
      <alignment horizontal="center"/>
    </xf>
    <xf numFmtId="0" fontId="15" fillId="12" borderId="0" xfId="0" applyFont="1" applyFill="1" applyAlignment="1">
      <alignment horizontal="center"/>
    </xf>
    <xf numFmtId="0" fontId="17" fillId="0" borderId="0" xfId="0" applyFont="1"/>
    <xf numFmtId="0" fontId="17" fillId="0" borderId="0" xfId="0" applyFont="1" applyAlignment="1">
      <alignment horizontal="center"/>
    </xf>
    <xf numFmtId="0" fontId="15" fillId="18" borderId="0" xfId="0" applyFont="1" applyFill="1"/>
    <xf numFmtId="14" fontId="17" fillId="0" borderId="0" xfId="0" applyNumberFormat="1" applyFont="1"/>
    <xf numFmtId="14" fontId="15" fillId="17" borderId="0" xfId="0" applyNumberFormat="1" applyFont="1" applyFill="1"/>
    <xf numFmtId="0" fontId="15" fillId="17" borderId="0" xfId="0" applyFont="1" applyFill="1"/>
    <xf numFmtId="0" fontId="17" fillId="14" borderId="0" xfId="0" applyFont="1" applyFill="1"/>
    <xf numFmtId="0" fontId="3" fillId="18" borderId="0" xfId="0" applyFont="1" applyFill="1"/>
    <xf numFmtId="0" fontId="3" fillId="17" borderId="0" xfId="0" applyFont="1" applyFill="1"/>
    <xf numFmtId="0" fontId="15" fillId="17" borderId="0" xfId="0" applyFont="1" applyFill="1" applyAlignment="1">
      <alignment horizontal="center"/>
    </xf>
    <xf numFmtId="14" fontId="15" fillId="0" borderId="0" xfId="0" applyNumberFormat="1" applyFont="1"/>
    <xf numFmtId="164" fontId="3" fillId="10" borderId="23" xfId="0" applyNumberFormat="1" applyFont="1" applyFill="1" applyBorder="1" applyAlignment="1">
      <alignment horizontal="center"/>
    </xf>
    <xf numFmtId="14" fontId="3" fillId="17" borderId="0" xfId="0" applyNumberFormat="1" applyFont="1" applyFill="1"/>
    <xf numFmtId="1" fontId="15" fillId="7" borderId="16" xfId="0" applyNumberFormat="1" applyFont="1" applyFill="1" applyBorder="1" applyAlignment="1">
      <alignment horizontal="center"/>
    </xf>
    <xf numFmtId="1" fontId="15" fillId="0" borderId="16" xfId="0" applyNumberFormat="1" applyFont="1" applyBorder="1" applyAlignment="1">
      <alignment horizontal="center"/>
    </xf>
    <xf numFmtId="14" fontId="15" fillId="0" borderId="0" xfId="0" applyNumberFormat="1" applyFont="1" applyAlignment="1">
      <alignment horizontal="center"/>
    </xf>
    <xf numFmtId="0" fontId="15" fillId="7" borderId="16" xfId="0" applyFont="1" applyFill="1" applyBorder="1" applyAlignment="1">
      <alignment horizontal="center"/>
    </xf>
    <xf numFmtId="16" fontId="15" fillId="18" borderId="0" xfId="0" applyNumberFormat="1" applyFont="1" applyFill="1"/>
    <xf numFmtId="14" fontId="15" fillId="18" borderId="0" xfId="0" applyNumberFormat="1" applyFont="1" applyFill="1"/>
    <xf numFmtId="16" fontId="15" fillId="0" borderId="0" xfId="0" applyNumberFormat="1" applyFont="1" applyAlignment="1">
      <alignment horizontal="center"/>
    </xf>
    <xf numFmtId="0" fontId="15" fillId="7" borderId="38" xfId="0" applyFont="1" applyFill="1" applyBorder="1" applyAlignment="1">
      <alignment horizontal="center"/>
    </xf>
    <xf numFmtId="0" fontId="15" fillId="0" borderId="33" xfId="0" applyFont="1" applyBorder="1"/>
    <xf numFmtId="0" fontId="15" fillId="0" borderId="33" xfId="0" applyFont="1" applyBorder="1" applyAlignment="1">
      <alignment horizontal="center"/>
    </xf>
    <xf numFmtId="164" fontId="3" fillId="0" borderId="0" xfId="0" applyNumberFormat="1" applyFont="1" applyAlignment="1">
      <alignment horizontal="center"/>
    </xf>
    <xf numFmtId="0" fontId="3" fillId="17" borderId="0" xfId="0" applyFont="1" applyFill="1" applyAlignment="1">
      <alignment horizontal="center"/>
    </xf>
    <xf numFmtId="0" fontId="15" fillId="14" borderId="31" xfId="0" applyFont="1" applyFill="1" applyBorder="1"/>
    <xf numFmtId="1" fontId="15" fillId="7" borderId="33" xfId="0" applyNumberFormat="1" applyFont="1" applyFill="1" applyBorder="1" applyAlignment="1">
      <alignment horizontal="center"/>
    </xf>
    <xf numFmtId="165" fontId="15" fillId="7" borderId="33" xfId="0" applyNumberFormat="1" applyFont="1" applyFill="1" applyBorder="1" applyAlignment="1">
      <alignment horizontal="center"/>
    </xf>
    <xf numFmtId="165" fontId="15" fillId="0" borderId="0" xfId="0" applyNumberFormat="1" applyFont="1" applyAlignment="1">
      <alignment horizontal="center"/>
    </xf>
    <xf numFmtId="164" fontId="2" fillId="10" borderId="22" xfId="0" applyNumberFormat="1" applyFont="1" applyFill="1" applyBorder="1" applyAlignment="1">
      <alignment horizontal="center"/>
    </xf>
    <xf numFmtId="164" fontId="3" fillId="10" borderId="22" xfId="0" applyNumberFormat="1" applyFont="1" applyFill="1" applyBorder="1" applyAlignment="1">
      <alignment horizontal="center"/>
    </xf>
    <xf numFmtId="14" fontId="15" fillId="19" borderId="0" xfId="0" applyNumberFormat="1" applyFont="1" applyFill="1"/>
    <xf numFmtId="0" fontId="15" fillId="19" borderId="0" xfId="0" applyFont="1" applyFill="1" applyAlignment="1">
      <alignment horizontal="center"/>
    </xf>
    <xf numFmtId="0" fontId="15" fillId="19" borderId="0" xfId="0" applyFont="1" applyFill="1"/>
    <xf numFmtId="14" fontId="15" fillId="20" borderId="0" xfId="0" applyNumberFormat="1" applyFont="1" applyFill="1"/>
    <xf numFmtId="0" fontId="15" fillId="20" borderId="0" xfId="0" applyFont="1" applyFill="1" applyAlignment="1">
      <alignment horizontal="center"/>
    </xf>
    <xf numFmtId="0" fontId="15" fillId="20" borderId="0" xfId="0" applyFont="1" applyFill="1"/>
    <xf numFmtId="14" fontId="15" fillId="21" borderId="0" xfId="0" applyNumberFormat="1" applyFont="1" applyFill="1"/>
    <xf numFmtId="0" fontId="15" fillId="21" borderId="0" xfId="0" applyFont="1" applyFill="1" applyAlignment="1">
      <alignment horizontal="center"/>
    </xf>
    <xf numFmtId="0" fontId="15" fillId="21" borderId="0" xfId="0" applyFont="1" applyFill="1"/>
    <xf numFmtId="1" fontId="15" fillId="20" borderId="0" xfId="0" applyNumberFormat="1" applyFont="1" applyFill="1" applyAlignment="1">
      <alignment horizontal="center"/>
    </xf>
    <xf numFmtId="0" fontId="20" fillId="20" borderId="0" xfId="0" applyFont="1" applyFill="1"/>
    <xf numFmtId="14" fontId="15" fillId="20" borderId="0" xfId="0" applyNumberFormat="1" applyFont="1" applyFill="1" applyAlignment="1">
      <alignment horizontal="right"/>
    </xf>
    <xf numFmtId="0" fontId="15" fillId="20" borderId="0" xfId="0" applyFont="1" applyFill="1" applyAlignment="1">
      <alignment horizontal="right"/>
    </xf>
    <xf numFmtId="1" fontId="3" fillId="20" borderId="0" xfId="0" applyNumberFormat="1" applyFont="1" applyFill="1" applyAlignment="1">
      <alignment horizontal="center"/>
    </xf>
    <xf numFmtId="0" fontId="15" fillId="20" borderId="0" xfId="0" applyFont="1" applyFill="1" applyAlignment="1">
      <alignment horizontal="left"/>
    </xf>
    <xf numFmtId="0" fontId="15" fillId="19" borderId="0" xfId="0" applyFont="1" applyFill="1" applyAlignment="1">
      <alignment horizontal="right"/>
    </xf>
    <xf numFmtId="0" fontId="15" fillId="11" borderId="0" xfId="0" applyFont="1" applyFill="1" applyAlignment="1">
      <alignment horizontal="center"/>
    </xf>
    <xf numFmtId="0" fontId="3" fillId="11" borderId="6" xfId="0" applyFont="1" applyFill="1" applyBorder="1" applyAlignment="1">
      <alignment horizontal="center"/>
    </xf>
    <xf numFmtId="0" fontId="3" fillId="0" borderId="6" xfId="0" applyFont="1" applyBorder="1" applyAlignment="1">
      <alignment horizontal="center"/>
    </xf>
    <xf numFmtId="1" fontId="15" fillId="16" borderId="33" xfId="0" applyNumberFormat="1" applyFont="1" applyFill="1" applyBorder="1" applyAlignment="1">
      <alignment horizontal="center"/>
    </xf>
    <xf numFmtId="1" fontId="15" fillId="16" borderId="0" xfId="0" applyNumberFormat="1" applyFont="1" applyFill="1" applyAlignment="1">
      <alignment horizontal="center"/>
    </xf>
    <xf numFmtId="1" fontId="15" fillId="14" borderId="0" xfId="0" applyNumberFormat="1" applyFont="1" applyFill="1" applyAlignment="1">
      <alignment horizontal="center"/>
    </xf>
    <xf numFmtId="1" fontId="15" fillId="0" borderId="33" xfId="0" applyNumberFormat="1" applyFont="1" applyBorder="1" applyAlignment="1">
      <alignment horizontal="center"/>
    </xf>
    <xf numFmtId="14" fontId="15" fillId="21" borderId="0" xfId="0" applyNumberFormat="1" applyFont="1" applyFill="1" applyAlignment="1">
      <alignment horizontal="right"/>
    </xf>
    <xf numFmtId="14" fontId="15" fillId="0" borderId="0" xfId="0" applyNumberFormat="1" applyFont="1" applyAlignment="1">
      <alignment horizontal="right"/>
    </xf>
    <xf numFmtId="0" fontId="15" fillId="0" borderId="0" xfId="0" applyFont="1" applyAlignment="1">
      <alignment horizontal="left"/>
    </xf>
    <xf numFmtId="0" fontId="15" fillId="0" borderId="0" xfId="0" applyFont="1" applyAlignment="1">
      <alignment horizontal="right"/>
    </xf>
    <xf numFmtId="0" fontId="20" fillId="0" borderId="0" xfId="0" applyFont="1"/>
    <xf numFmtId="0" fontId="21" fillId="0" borderId="0" xfId="0" applyFont="1"/>
    <xf numFmtId="0" fontId="21" fillId="0" borderId="0" xfId="0" applyFont="1" applyAlignment="1">
      <alignment horizontal="center"/>
    </xf>
    <xf numFmtId="0" fontId="21" fillId="16" borderId="0" xfId="0" applyFont="1" applyFill="1" applyAlignment="1">
      <alignment horizontal="center"/>
    </xf>
    <xf numFmtId="0" fontId="21" fillId="0" borderId="31" xfId="0" applyFont="1" applyBorder="1" applyAlignment="1">
      <alignment horizontal="center"/>
    </xf>
    <xf numFmtId="1" fontId="21" fillId="16" borderId="33" xfId="0" applyNumberFormat="1" applyFont="1" applyFill="1" applyBorder="1"/>
    <xf numFmtId="0" fontId="15" fillId="16" borderId="33" xfId="0" applyFont="1" applyFill="1" applyBorder="1"/>
    <xf numFmtId="14" fontId="0" fillId="0" borderId="0" xfId="0" applyNumberFormat="1"/>
    <xf numFmtId="14" fontId="1" fillId="0" borderId="0" xfId="0" applyNumberFormat="1" applyFont="1" applyAlignment="1">
      <alignment horizontal="center"/>
    </xf>
    <xf numFmtId="14" fontId="1" fillId="0" borderId="0" xfId="0" applyNumberFormat="1" applyFont="1"/>
    <xf numFmtId="0" fontId="3" fillId="0" borderId="39" xfId="0" applyFont="1" applyBorder="1" applyAlignment="1">
      <alignment horizontal="center" wrapText="1"/>
    </xf>
    <xf numFmtId="0" fontId="0" fillId="0" borderId="0" xfId="0" applyAlignment="1">
      <alignment horizontal="left" indent="2"/>
    </xf>
    <xf numFmtId="0" fontId="15" fillId="11" borderId="0" xfId="0" applyFont="1" applyFill="1"/>
    <xf numFmtId="0" fontId="3" fillId="0" borderId="37" xfId="0" applyFont="1" applyBorder="1" applyAlignment="1">
      <alignment horizontal="center" vertical="center"/>
    </xf>
    <xf numFmtId="0" fontId="17" fillId="0" borderId="0" xfId="0" applyFont="1" applyAlignment="1">
      <alignment horizontal="center" vertical="center"/>
    </xf>
    <xf numFmtId="0" fontId="15" fillId="0" borderId="0" xfId="0" applyFont="1" applyAlignment="1">
      <alignment horizontal="center" vertical="center"/>
    </xf>
    <xf numFmtId="164" fontId="3" fillId="10" borderId="21" xfId="0" applyNumberFormat="1" applyFont="1" applyFill="1" applyBorder="1" applyAlignment="1">
      <alignment horizontal="center" vertical="center"/>
    </xf>
    <xf numFmtId="0" fontId="15" fillId="7" borderId="33" xfId="0" applyFont="1" applyFill="1" applyBorder="1" applyAlignment="1">
      <alignment horizontal="center" vertical="center"/>
    </xf>
    <xf numFmtId="1" fontId="15" fillId="0" borderId="0" xfId="0" applyNumberFormat="1" applyFont="1" applyAlignment="1">
      <alignment horizontal="center" vertical="center"/>
    </xf>
    <xf numFmtId="164" fontId="3" fillId="10" borderId="21" xfId="0" applyNumberFormat="1" applyFont="1" applyFill="1" applyBorder="1" applyAlignment="1">
      <alignment horizontal="center"/>
    </xf>
    <xf numFmtId="0" fontId="22" fillId="0" borderId="0" xfId="0" applyFont="1"/>
    <xf numFmtId="0" fontId="22" fillId="0" borderId="40" xfId="0" applyFont="1" applyBorder="1"/>
    <xf numFmtId="0" fontId="24" fillId="0" borderId="41" xfId="0" applyFont="1" applyBorder="1" applyAlignment="1">
      <alignment horizontal="left"/>
    </xf>
    <xf numFmtId="0" fontId="24" fillId="0" borderId="41" xfId="0" applyFont="1" applyBorder="1"/>
    <xf numFmtId="0" fontId="24" fillId="0" borderId="0" xfId="0" applyFont="1" applyAlignment="1">
      <alignment horizontal="left" indent="1"/>
    </xf>
    <xf numFmtId="0" fontId="24" fillId="0" borderId="0" xfId="0" applyFont="1"/>
    <xf numFmtId="43" fontId="15" fillId="0" borderId="0" xfId="1" applyFont="1"/>
    <xf numFmtId="1" fontId="15" fillId="7" borderId="0" xfId="0" applyNumberFormat="1" applyFont="1" applyFill="1" applyAlignment="1">
      <alignment horizontal="center"/>
    </xf>
    <xf numFmtId="165" fontId="15" fillId="7" borderId="0" xfId="0" applyNumberFormat="1" applyFont="1" applyFill="1" applyAlignment="1">
      <alignment horizontal="center"/>
    </xf>
    <xf numFmtId="0" fontId="15" fillId="7" borderId="42" xfId="0" applyFont="1" applyFill="1" applyBorder="1" applyAlignment="1">
      <alignment horizontal="center"/>
    </xf>
    <xf numFmtId="0" fontId="15" fillId="7" borderId="0" xfId="0" applyFont="1" applyFill="1" applyAlignment="1">
      <alignment horizontal="center" vertical="center"/>
    </xf>
    <xf numFmtId="0" fontId="15" fillId="0" borderId="38" xfId="0" applyFont="1" applyBorder="1" applyAlignment="1">
      <alignment horizontal="center"/>
    </xf>
    <xf numFmtId="1" fontId="15" fillId="16" borderId="29" xfId="0" applyNumberFormat="1" applyFont="1" applyFill="1" applyBorder="1" applyAlignment="1">
      <alignment horizontal="center"/>
    </xf>
    <xf numFmtId="0" fontId="15" fillId="2" borderId="7" xfId="0" applyFont="1" applyFill="1" applyBorder="1" applyAlignment="1">
      <alignment horizontal="center"/>
    </xf>
    <xf numFmtId="1" fontId="15" fillId="4" borderId="6" xfId="0" applyNumberFormat="1" applyFont="1" applyFill="1" applyBorder="1" applyAlignment="1">
      <alignment horizontal="center"/>
    </xf>
    <xf numFmtId="165" fontId="15" fillId="0" borderId="6" xfId="0" applyNumberFormat="1" applyFont="1" applyBorder="1" applyAlignment="1">
      <alignment horizontal="center"/>
    </xf>
    <xf numFmtId="1" fontId="15" fillId="0" borderId="20" xfId="0" applyNumberFormat="1" applyFont="1" applyBorder="1" applyAlignment="1">
      <alignment horizontal="center"/>
    </xf>
    <xf numFmtId="14" fontId="15" fillId="21" borderId="7" xfId="0" applyNumberFormat="1" applyFont="1" applyFill="1" applyBorder="1" applyAlignment="1">
      <alignment horizontal="center"/>
    </xf>
    <xf numFmtId="0" fontId="15" fillId="21" borderId="7" xfId="0" applyFont="1" applyFill="1" applyBorder="1" applyAlignment="1">
      <alignment horizontal="right"/>
    </xf>
    <xf numFmtId="0" fontId="15" fillId="21" borderId="7" xfId="0" applyFont="1" applyFill="1" applyBorder="1"/>
    <xf numFmtId="0" fontId="25" fillId="26" borderId="0" xfId="0" applyFont="1" applyFill="1" applyAlignment="1">
      <alignment wrapText="1"/>
    </xf>
    <xf numFmtId="14" fontId="15" fillId="21" borderId="43" xfId="0" applyNumberFormat="1" applyFont="1" applyFill="1" applyBorder="1" applyAlignment="1">
      <alignment horizontal="center"/>
    </xf>
    <xf numFmtId="0" fontId="21" fillId="21" borderId="43" xfId="0" applyFont="1" applyFill="1" applyBorder="1"/>
    <xf numFmtId="0" fontId="0" fillId="0" borderId="43" xfId="0" applyBorder="1"/>
    <xf numFmtId="0" fontId="3" fillId="0" borderId="43" xfId="0" applyFont="1" applyBorder="1" applyAlignment="1">
      <alignment horizontal="center"/>
    </xf>
    <xf numFmtId="0" fontId="21" fillId="0" borderId="43" xfId="0" applyFont="1" applyBorder="1" applyAlignment="1">
      <alignment horizontal="center"/>
    </xf>
    <xf numFmtId="14" fontId="15" fillId="19" borderId="43" xfId="0" applyNumberFormat="1" applyFont="1" applyFill="1" applyBorder="1"/>
    <xf numFmtId="0" fontId="15" fillId="19" borderId="43" xfId="0" applyFont="1" applyFill="1" applyBorder="1" applyAlignment="1">
      <alignment horizontal="center"/>
    </xf>
    <xf numFmtId="0" fontId="15" fillId="19" borderId="43" xfId="0" applyFont="1" applyFill="1" applyBorder="1"/>
    <xf numFmtId="0" fontId="15" fillId="19" borderId="43" xfId="0" applyFont="1" applyFill="1" applyBorder="1" applyAlignment="1">
      <alignment horizontal="right"/>
    </xf>
    <xf numFmtId="0" fontId="3" fillId="0" borderId="43" xfId="0" applyFont="1" applyBorder="1"/>
    <xf numFmtId="0" fontId="15" fillId="14" borderId="43" xfId="0" applyFont="1" applyFill="1" applyBorder="1"/>
    <xf numFmtId="1" fontId="15" fillId="7" borderId="43" xfId="0" applyNumberFormat="1" applyFont="1" applyFill="1" applyBorder="1" applyAlignment="1">
      <alignment horizontal="center"/>
    </xf>
    <xf numFmtId="0" fontId="15" fillId="14" borderId="43" xfId="0" applyFont="1" applyFill="1" applyBorder="1" applyAlignment="1">
      <alignment horizontal="center"/>
    </xf>
    <xf numFmtId="0" fontId="15" fillId="0" borderId="43" xfId="0" applyFont="1" applyBorder="1"/>
    <xf numFmtId="0" fontId="15" fillId="11" borderId="43" xfId="0" applyFont="1" applyFill="1" applyBorder="1"/>
    <xf numFmtId="0" fontId="15" fillId="4" borderId="43" xfId="0" applyFont="1" applyFill="1" applyBorder="1" applyAlignment="1">
      <alignment horizontal="center"/>
    </xf>
    <xf numFmtId="0" fontId="15" fillId="0" borderId="43" xfId="0" applyFont="1" applyBorder="1" applyAlignment="1">
      <alignment horizontal="center"/>
    </xf>
    <xf numFmtId="0" fontId="15" fillId="2" borderId="43" xfId="0" applyFont="1" applyFill="1" applyBorder="1" applyAlignment="1">
      <alignment horizontal="center"/>
    </xf>
    <xf numFmtId="0" fontId="15" fillId="16" borderId="43" xfId="0" applyFont="1" applyFill="1" applyBorder="1" applyAlignment="1">
      <alignment horizontal="center"/>
    </xf>
    <xf numFmtId="0" fontId="19" fillId="0" borderId="43" xfId="0" applyFont="1" applyBorder="1" applyAlignment="1">
      <alignment horizontal="center"/>
    </xf>
    <xf numFmtId="0" fontId="19" fillId="12" borderId="43" xfId="0" applyFont="1" applyFill="1" applyBorder="1" applyAlignment="1">
      <alignment horizontal="center"/>
    </xf>
    <xf numFmtId="0" fontId="15" fillId="12" borderId="43" xfId="0" applyFont="1" applyFill="1" applyBorder="1" applyAlignment="1">
      <alignment horizontal="center"/>
    </xf>
    <xf numFmtId="1" fontId="15" fillId="16" borderId="43" xfId="0" applyNumberFormat="1" applyFont="1" applyFill="1" applyBorder="1" applyAlignment="1">
      <alignment horizontal="center" vertical="center"/>
    </xf>
    <xf numFmtId="0" fontId="15" fillId="16" borderId="43" xfId="0" applyFont="1" applyFill="1" applyBorder="1" applyAlignment="1">
      <alignment horizontal="center" vertical="center"/>
    </xf>
    <xf numFmtId="0" fontId="20" fillId="20" borderId="43" xfId="0" applyFont="1" applyFill="1" applyBorder="1" applyAlignment="1">
      <alignment horizontal="center"/>
    </xf>
    <xf numFmtId="0" fontId="15" fillId="14" borderId="43" xfId="0" applyFont="1" applyFill="1" applyBorder="1" applyAlignment="1">
      <alignment horizontal="center" vertical="center"/>
    </xf>
    <xf numFmtId="14" fontId="15" fillId="20" borderId="43" xfId="0" applyNumberFormat="1" applyFont="1" applyFill="1" applyBorder="1"/>
    <xf numFmtId="0" fontId="15" fillId="20" borderId="43" xfId="0" applyFont="1" applyFill="1" applyBorder="1" applyAlignment="1">
      <alignment horizontal="center"/>
    </xf>
    <xf numFmtId="0" fontId="15" fillId="20" borderId="43" xfId="0" applyFont="1" applyFill="1" applyBorder="1"/>
    <xf numFmtId="14" fontId="15" fillId="20" borderId="43" xfId="0" quotePrefix="1" applyNumberFormat="1" applyFont="1" applyFill="1" applyBorder="1" applyAlignment="1">
      <alignment horizontal="center"/>
    </xf>
    <xf numFmtId="1" fontId="15" fillId="20" borderId="43" xfId="0" applyNumberFormat="1" applyFont="1" applyFill="1" applyBorder="1"/>
    <xf numFmtId="1" fontId="15" fillId="16" borderId="43" xfId="0" applyNumberFormat="1" applyFont="1" applyFill="1" applyBorder="1" applyAlignment="1">
      <alignment horizontal="center"/>
    </xf>
    <xf numFmtId="1" fontId="15" fillId="14" borderId="43" xfId="0" applyNumberFormat="1" applyFont="1" applyFill="1" applyBorder="1" applyAlignment="1">
      <alignment horizontal="center"/>
    </xf>
    <xf numFmtId="0" fontId="15" fillId="4" borderId="43" xfId="0" applyFont="1" applyFill="1" applyBorder="1"/>
    <xf numFmtId="0" fontId="15" fillId="16" borderId="43" xfId="0" applyFont="1" applyFill="1" applyBorder="1"/>
    <xf numFmtId="14" fontId="15" fillId="20" borderId="43" xfId="0" applyNumberFormat="1" applyFont="1" applyFill="1" applyBorder="1" applyAlignment="1">
      <alignment horizontal="right"/>
    </xf>
    <xf numFmtId="1" fontId="15" fillId="20" borderId="43" xfId="0" applyNumberFormat="1" applyFont="1" applyFill="1" applyBorder="1" applyAlignment="1">
      <alignment horizontal="center"/>
    </xf>
    <xf numFmtId="0" fontId="15" fillId="20" borderId="43" xfId="0" applyFont="1" applyFill="1" applyBorder="1" applyAlignment="1">
      <alignment horizontal="left"/>
    </xf>
    <xf numFmtId="0" fontId="20" fillId="20" borderId="43" xfId="0" applyFont="1" applyFill="1" applyBorder="1"/>
    <xf numFmtId="0" fontId="21" fillId="0" borderId="43" xfId="0" applyFont="1" applyBorder="1"/>
    <xf numFmtId="0" fontId="15" fillId="21" borderId="43" xfId="0" applyFont="1" applyFill="1" applyBorder="1" applyAlignment="1">
      <alignment horizontal="center"/>
    </xf>
    <xf numFmtId="0" fontId="15" fillId="21" borderId="43" xfId="0" applyFont="1" applyFill="1" applyBorder="1"/>
    <xf numFmtId="0" fontId="0" fillId="12" borderId="43" xfId="0" applyFill="1" applyBorder="1"/>
    <xf numFmtId="0" fontId="0" fillId="23" borderId="43" xfId="0" applyFill="1" applyBorder="1"/>
    <xf numFmtId="0" fontId="0" fillId="11" borderId="43" xfId="0" applyFill="1" applyBorder="1"/>
    <xf numFmtId="0" fontId="0" fillId="23" borderId="43" xfId="0" applyFill="1" applyBorder="1" applyAlignment="1">
      <alignment horizontal="right"/>
    </xf>
    <xf numFmtId="1" fontId="15" fillId="2" borderId="43" xfId="0" applyNumberFormat="1" applyFont="1" applyFill="1" applyBorder="1" applyAlignment="1">
      <alignment horizontal="center"/>
    </xf>
    <xf numFmtId="0" fontId="3" fillId="2" borderId="43" xfId="0" applyFont="1" applyFill="1" applyBorder="1" applyAlignment="1">
      <alignment horizontal="center"/>
    </xf>
    <xf numFmtId="0" fontId="15" fillId="11" borderId="43" xfId="0" applyFont="1" applyFill="1" applyBorder="1" applyAlignment="1">
      <alignment horizontal="center"/>
    </xf>
    <xf numFmtId="0" fontId="15" fillId="11" borderId="43" xfId="0" applyFont="1" applyFill="1" applyBorder="1" applyAlignment="1">
      <alignment horizontal="center" vertical="center"/>
    </xf>
    <xf numFmtId="0" fontId="1" fillId="12" borderId="43" xfId="0" applyFont="1" applyFill="1" applyBorder="1"/>
    <xf numFmtId="0" fontId="0" fillId="24" borderId="43" xfId="0" applyFill="1" applyBorder="1"/>
    <xf numFmtId="0" fontId="15" fillId="21" borderId="43" xfId="0" applyFont="1" applyFill="1" applyBorder="1" applyAlignment="1">
      <alignment horizontal="right"/>
    </xf>
    <xf numFmtId="1" fontId="3" fillId="2" borderId="43" xfId="0" applyNumberFormat="1" applyFont="1" applyFill="1" applyBorder="1" applyAlignment="1">
      <alignment horizontal="center"/>
    </xf>
    <xf numFmtId="0" fontId="0" fillId="15" borderId="43" xfId="0" applyFill="1" applyBorder="1"/>
    <xf numFmtId="0" fontId="0" fillId="14" borderId="43" xfId="0" applyFill="1" applyBorder="1"/>
    <xf numFmtId="1" fontId="15" fillId="0" borderId="43" xfId="0" applyNumberFormat="1" applyFont="1" applyBorder="1" applyAlignment="1">
      <alignment horizontal="center"/>
    </xf>
    <xf numFmtId="1" fontId="3" fillId="0" borderId="43" xfId="0" applyNumberFormat="1" applyFont="1" applyBorder="1" applyAlignment="1">
      <alignment horizontal="center"/>
    </xf>
    <xf numFmtId="1" fontId="0" fillId="0" borderId="43" xfId="0" applyNumberFormat="1" applyBorder="1" applyAlignment="1">
      <alignment horizontal="center"/>
    </xf>
    <xf numFmtId="1" fontId="0" fillId="25" borderId="43" xfId="0" applyNumberFormat="1" applyFill="1" applyBorder="1" applyAlignment="1">
      <alignment horizontal="center"/>
    </xf>
    <xf numFmtId="1" fontId="15" fillId="0" borderId="43" xfId="0" applyNumberFormat="1" applyFont="1" applyBorder="1" applyAlignment="1">
      <alignment horizontal="center" vertical="center"/>
    </xf>
    <xf numFmtId="0" fontId="3" fillId="0" borderId="43" xfId="0" applyFont="1" applyBorder="1" applyAlignment="1">
      <alignment horizontal="left"/>
    </xf>
    <xf numFmtId="0" fontId="3" fillId="11" borderId="43" xfId="0" applyFont="1" applyFill="1" applyBorder="1" applyAlignment="1">
      <alignment horizontal="center"/>
    </xf>
    <xf numFmtId="0" fontId="15" fillId="27" borderId="43" xfId="0" applyFont="1" applyFill="1" applyBorder="1" applyAlignment="1">
      <alignment horizontal="center"/>
    </xf>
    <xf numFmtId="0" fontId="15" fillId="27" borderId="43" xfId="0" applyFont="1" applyFill="1" applyBorder="1" applyAlignment="1">
      <alignment horizontal="left"/>
    </xf>
    <xf numFmtId="0" fontId="0" fillId="0" borderId="43" xfId="0" applyBorder="1" applyAlignment="1">
      <alignment horizontal="left" indent="2"/>
    </xf>
    <xf numFmtId="0" fontId="15" fillId="0" borderId="43" xfId="0" applyFont="1" applyBorder="1" applyAlignment="1">
      <alignment horizontal="left"/>
    </xf>
    <xf numFmtId="0" fontId="15" fillId="21" borderId="43" xfId="0" applyFont="1" applyFill="1" applyBorder="1" applyAlignment="1">
      <alignment horizontal="left"/>
    </xf>
    <xf numFmtId="0" fontId="15" fillId="21" borderId="7" xfId="0" applyFont="1" applyFill="1" applyBorder="1" applyAlignment="1">
      <alignment horizontal="left"/>
    </xf>
    <xf numFmtId="1" fontId="15" fillId="4" borderId="43" xfId="0" applyNumberFormat="1" applyFont="1" applyFill="1" applyBorder="1"/>
    <xf numFmtId="1" fontId="15" fillId="16" borderId="33" xfId="0" applyNumberFormat="1" applyFont="1" applyFill="1" applyBorder="1"/>
    <xf numFmtId="0" fontId="0" fillId="16" borderId="43" xfId="0" applyFill="1" applyBorder="1"/>
    <xf numFmtId="0" fontId="9" fillId="12" borderId="43" xfId="0" applyFont="1" applyFill="1" applyBorder="1"/>
    <xf numFmtId="0" fontId="15" fillId="0" borderId="31" xfId="0" applyFont="1" applyBorder="1" applyAlignment="1">
      <alignment horizontal="right"/>
    </xf>
    <xf numFmtId="0" fontId="23" fillId="0" borderId="31" xfId="0" applyFont="1" applyBorder="1" applyAlignment="1">
      <alignment horizontal="center"/>
    </xf>
    <xf numFmtId="0" fontId="15" fillId="0" borderId="31" xfId="0" applyFont="1" applyBorder="1" applyAlignment="1">
      <alignment horizontal="center" vertical="center"/>
    </xf>
    <xf numFmtId="0" fontId="15" fillId="14" borderId="31" xfId="0" applyFont="1" applyFill="1" applyBorder="1" applyAlignment="1">
      <alignment horizontal="center"/>
    </xf>
    <xf numFmtId="0" fontId="15" fillId="14" borderId="31" xfId="0" applyFont="1" applyFill="1" applyBorder="1" applyAlignment="1">
      <alignment horizontal="center" vertical="center"/>
    </xf>
    <xf numFmtId="0" fontId="21" fillId="0" borderId="31" xfId="0" applyFont="1" applyBorder="1" applyAlignment="1">
      <alignment horizontal="center" vertical="center"/>
    </xf>
    <xf numFmtId="0" fontId="0" fillId="0" borderId="43" xfId="0" applyBorder="1" applyAlignment="1">
      <alignment horizontal="right"/>
    </xf>
    <xf numFmtId="0" fontId="0" fillId="6" borderId="43" xfId="0" applyFill="1" applyBorder="1"/>
    <xf numFmtId="0" fontId="0" fillId="2" borderId="43" xfId="0" applyFill="1" applyBorder="1"/>
    <xf numFmtId="1" fontId="0" fillId="4" borderId="43" xfId="0" applyNumberFormat="1" applyFill="1" applyBorder="1"/>
    <xf numFmtId="0" fontId="1" fillId="3" borderId="43" xfId="0" applyFont="1" applyFill="1" applyBorder="1"/>
    <xf numFmtId="165" fontId="0" fillId="6" borderId="43" xfId="0" applyNumberFormat="1" applyFill="1" applyBorder="1"/>
    <xf numFmtId="0" fontId="0" fillId="6" borderId="43" xfId="0" applyFill="1" applyBorder="1" applyAlignment="1">
      <alignment horizontal="left"/>
    </xf>
    <xf numFmtId="165" fontId="0" fillId="0" borderId="43" xfId="0" applyNumberFormat="1" applyBorder="1"/>
    <xf numFmtId="0" fontId="0" fillId="0" borderId="43" xfId="0" applyBorder="1" applyAlignment="1">
      <alignment horizontal="left"/>
    </xf>
    <xf numFmtId="0" fontId="0" fillId="5" borderId="43" xfId="0" applyFill="1" applyBorder="1"/>
    <xf numFmtId="0" fontId="1" fillId="6" borderId="43" xfId="0" applyFont="1" applyFill="1" applyBorder="1"/>
    <xf numFmtId="0" fontId="0" fillId="3" borderId="43" xfId="0" applyFill="1" applyBorder="1"/>
    <xf numFmtId="0" fontId="0" fillId="6" borderId="43" xfId="0" applyFill="1" applyBorder="1" applyAlignment="1">
      <alignment horizontal="right"/>
    </xf>
    <xf numFmtId="0" fontId="0" fillId="0" borderId="44" xfId="0" applyBorder="1"/>
    <xf numFmtId="0" fontId="0" fillId="0" borderId="45" xfId="0" applyBorder="1"/>
    <xf numFmtId="1" fontId="0" fillId="3" borderId="45" xfId="0" applyNumberFormat="1" applyFill="1" applyBorder="1"/>
    <xf numFmtId="165" fontId="1" fillId="0" borderId="45" xfId="0" applyNumberFormat="1" applyFont="1" applyBorder="1"/>
    <xf numFmtId="0" fontId="0" fillId="0" borderId="45" xfId="0" applyBorder="1" applyAlignment="1">
      <alignment horizontal="left"/>
    </xf>
    <xf numFmtId="0" fontId="6" fillId="7" borderId="43" xfId="0" applyFont="1" applyFill="1" applyBorder="1"/>
    <xf numFmtId="1" fontId="6" fillId="7" borderId="43" xfId="0" applyNumberFormat="1" applyFont="1" applyFill="1" applyBorder="1"/>
    <xf numFmtId="165" fontId="6" fillId="7" borderId="43" xfId="0" applyNumberFormat="1" applyFont="1" applyFill="1" applyBorder="1"/>
    <xf numFmtId="0" fontId="0" fillId="0" borderId="46" xfId="0" applyBorder="1"/>
    <xf numFmtId="1" fontId="0" fillId="0" borderId="47" xfId="0" applyNumberFormat="1" applyBorder="1" applyAlignment="1">
      <alignment horizontal="left"/>
    </xf>
    <xf numFmtId="1" fontId="0" fillId="0" borderId="43" xfId="0" applyNumberFormat="1" applyBorder="1" applyAlignment="1">
      <alignment horizontal="left"/>
    </xf>
    <xf numFmtId="0" fontId="1" fillId="0" borderId="43" xfId="0" applyFont="1" applyBorder="1"/>
    <xf numFmtId="0" fontId="0" fillId="4" borderId="43" xfId="0" applyFill="1" applyBorder="1"/>
    <xf numFmtId="0" fontId="0" fillId="8" borderId="43" xfId="0" applyFill="1" applyBorder="1"/>
    <xf numFmtId="0" fontId="0" fillId="7" borderId="43" xfId="0" applyFill="1" applyBorder="1"/>
    <xf numFmtId="1" fontId="0" fillId="7" borderId="43" xfId="0" applyNumberFormat="1" applyFill="1" applyBorder="1"/>
    <xf numFmtId="165" fontId="1" fillId="7" borderId="43" xfId="0" applyNumberFormat="1" applyFont="1" applyFill="1" applyBorder="1"/>
    <xf numFmtId="1" fontId="0" fillId="9" borderId="43" xfId="0" applyNumberFormat="1" applyFill="1" applyBorder="1"/>
    <xf numFmtId="0" fontId="4" fillId="0" borderId="43" xfId="0" applyFont="1" applyBorder="1" applyAlignment="1">
      <alignment horizontal="center"/>
    </xf>
    <xf numFmtId="1" fontId="0" fillId="4" borderId="45" xfId="0" applyNumberFormat="1" applyFill="1" applyBorder="1"/>
    <xf numFmtId="1" fontId="0" fillId="9" borderId="45" xfId="0" applyNumberFormat="1" applyFill="1" applyBorder="1"/>
    <xf numFmtId="0" fontId="0" fillId="7" borderId="45" xfId="0" applyFill="1" applyBorder="1"/>
    <xf numFmtId="1" fontId="0" fillId="7" borderId="45" xfId="0" applyNumberFormat="1" applyFill="1" applyBorder="1"/>
    <xf numFmtId="165" fontId="1" fillId="7" borderId="45" xfId="0" applyNumberFormat="1" applyFont="1" applyFill="1" applyBorder="1"/>
    <xf numFmtId="0" fontId="0" fillId="7" borderId="48" xfId="0" applyFill="1" applyBorder="1"/>
    <xf numFmtId="0" fontId="15" fillId="14" borderId="49" xfId="0" applyFont="1" applyFill="1" applyBorder="1" applyAlignment="1">
      <alignment horizontal="center"/>
    </xf>
    <xf numFmtId="1" fontId="15" fillId="14" borderId="49" xfId="0" applyNumberFormat="1" applyFont="1" applyFill="1" applyBorder="1" applyAlignment="1">
      <alignment horizontal="center"/>
    </xf>
    <xf numFmtId="165" fontId="15" fillId="14" borderId="49" xfId="0" applyNumberFormat="1" applyFont="1" applyFill="1" applyBorder="1" applyAlignment="1">
      <alignment horizontal="center"/>
    </xf>
    <xf numFmtId="1" fontId="15" fillId="4" borderId="49" xfId="0" applyNumberFormat="1" applyFont="1" applyFill="1" applyBorder="1" applyAlignment="1">
      <alignment horizontal="center"/>
    </xf>
    <xf numFmtId="165" fontId="15" fillId="0" borderId="49" xfId="0" applyNumberFormat="1" applyFont="1" applyBorder="1" applyAlignment="1">
      <alignment horizontal="center"/>
    </xf>
    <xf numFmtId="0" fontId="15" fillId="0" borderId="49" xfId="0" applyFont="1" applyBorder="1"/>
    <xf numFmtId="1" fontId="21" fillId="4" borderId="49" xfId="0" applyNumberFormat="1" applyFont="1" applyFill="1" applyBorder="1" applyAlignment="1">
      <alignment horizontal="center"/>
    </xf>
    <xf numFmtId="165" fontId="21" fillId="0" borderId="49" xfId="0" applyNumberFormat="1" applyFont="1" applyBorder="1" applyAlignment="1">
      <alignment horizontal="center"/>
    </xf>
    <xf numFmtId="0" fontId="0" fillId="0" borderId="49" xfId="0" applyBorder="1"/>
    <xf numFmtId="1" fontId="15" fillId="11" borderId="49" xfId="0" applyNumberFormat="1" applyFont="1" applyFill="1" applyBorder="1" applyAlignment="1">
      <alignment horizontal="center"/>
    </xf>
    <xf numFmtId="1" fontId="15" fillId="22" borderId="49" xfId="0" applyNumberFormat="1" applyFont="1" applyFill="1" applyBorder="1" applyAlignment="1">
      <alignment horizontal="center"/>
    </xf>
    <xf numFmtId="1" fontId="15" fillId="0" borderId="49" xfId="0" applyNumberFormat="1" applyFont="1" applyBorder="1" applyAlignment="1">
      <alignment horizontal="center"/>
    </xf>
    <xf numFmtId="1" fontId="15" fillId="16" borderId="49" xfId="0" applyNumberFormat="1" applyFont="1" applyFill="1" applyBorder="1" applyAlignment="1">
      <alignment horizontal="center"/>
    </xf>
    <xf numFmtId="0" fontId="15" fillId="14" borderId="49" xfId="0" applyFont="1" applyFill="1" applyBorder="1"/>
    <xf numFmtId="0" fontId="0" fillId="6" borderId="49" xfId="0" applyFill="1" applyBorder="1"/>
    <xf numFmtId="0" fontId="0" fillId="2" borderId="49" xfId="0" applyFill="1" applyBorder="1"/>
    <xf numFmtId="1" fontId="0" fillId="4" borderId="49" xfId="0" applyNumberFormat="1" applyFill="1" applyBorder="1"/>
    <xf numFmtId="0" fontId="0" fillId="3" borderId="49" xfId="0" applyFill="1" applyBorder="1"/>
    <xf numFmtId="165" fontId="0" fillId="6" borderId="49" xfId="0" applyNumberFormat="1" applyFill="1" applyBorder="1"/>
    <xf numFmtId="0" fontId="0" fillId="6" borderId="49" xfId="0" applyFill="1" applyBorder="1" applyAlignment="1">
      <alignment horizontal="left"/>
    </xf>
    <xf numFmtId="0" fontId="0" fillId="5" borderId="49" xfId="0" applyFill="1" applyBorder="1"/>
    <xf numFmtId="165" fontId="0" fillId="0" borderId="49" xfId="0" applyNumberFormat="1" applyBorder="1"/>
    <xf numFmtId="0" fontId="0" fillId="0" borderId="49" xfId="0" applyBorder="1" applyAlignment="1">
      <alignment horizontal="left"/>
    </xf>
    <xf numFmtId="0" fontId="1" fillId="5" borderId="49" xfId="0" applyFont="1" applyFill="1" applyBorder="1"/>
    <xf numFmtId="43" fontId="0" fillId="0" borderId="49" xfId="1" applyFont="1" applyBorder="1"/>
    <xf numFmtId="0" fontId="0" fillId="0" borderId="49" xfId="0" applyBorder="1" applyAlignment="1">
      <alignment horizontal="right"/>
    </xf>
    <xf numFmtId="0" fontId="0" fillId="5" borderId="49" xfId="0" applyFill="1" applyBorder="1" applyAlignment="1">
      <alignment horizontal="right"/>
    </xf>
    <xf numFmtId="0" fontId="1" fillId="3" borderId="49" xfId="0" applyFont="1" applyFill="1" applyBorder="1"/>
    <xf numFmtId="0" fontId="1" fillId="0" borderId="49" xfId="0" applyFont="1" applyBorder="1"/>
    <xf numFmtId="0" fontId="0" fillId="8" borderId="49" xfId="0" applyFill="1" applyBorder="1"/>
    <xf numFmtId="0" fontId="1" fillId="8" borderId="49" xfId="0" applyFont="1" applyFill="1" applyBorder="1"/>
    <xf numFmtId="0" fontId="0" fillId="3" borderId="49" xfId="0" applyFill="1" applyBorder="1" applyAlignment="1">
      <alignment horizontal="right"/>
    </xf>
    <xf numFmtId="0" fontId="0" fillId="6" borderId="49" xfId="0" applyFill="1" applyBorder="1" applyAlignment="1">
      <alignment horizontal="right"/>
    </xf>
    <xf numFmtId="0" fontId="1" fillId="6" borderId="49" xfId="0" applyFont="1" applyFill="1" applyBorder="1" applyAlignment="1">
      <alignment horizontal="right"/>
    </xf>
    <xf numFmtId="0" fontId="1" fillId="3" borderId="49" xfId="0" applyFont="1" applyFill="1" applyBorder="1" applyAlignment="1">
      <alignment horizontal="right"/>
    </xf>
    <xf numFmtId="0" fontId="1" fillId="0" borderId="49" xfId="0" applyFont="1" applyBorder="1" applyAlignment="1">
      <alignment horizontal="right"/>
    </xf>
    <xf numFmtId="0" fontId="7" fillId="6" borderId="49" xfId="0" applyFont="1" applyFill="1" applyBorder="1"/>
    <xf numFmtId="1" fontId="1" fillId="9" borderId="49" xfId="0" applyNumberFormat="1" applyFont="1" applyFill="1" applyBorder="1"/>
    <xf numFmtId="1" fontId="0" fillId="4" borderId="49" xfId="0" applyNumberFormat="1" applyFill="1" applyBorder="1" applyAlignment="1">
      <alignment horizontal="center"/>
    </xf>
    <xf numFmtId="0" fontId="9" fillId="12" borderId="43" xfId="0" applyFont="1" applyFill="1" applyBorder="1" applyAlignment="1">
      <alignment horizontal="right"/>
    </xf>
    <xf numFmtId="0" fontId="1" fillId="11" borderId="43" xfId="0" applyFont="1" applyFill="1" applyBorder="1"/>
    <xf numFmtId="0" fontId="9" fillId="6" borderId="43" xfId="0" applyFont="1" applyFill="1" applyBorder="1"/>
    <xf numFmtId="0" fontId="1" fillId="8" borderId="43" xfId="0" applyFont="1" applyFill="1" applyBorder="1"/>
    <xf numFmtId="0" fontId="1" fillId="8" borderId="43" xfId="0" applyFont="1" applyFill="1" applyBorder="1" applyAlignment="1">
      <alignment horizontal="right"/>
    </xf>
    <xf numFmtId="0" fontId="1" fillId="0" borderId="43" xfId="0" applyFont="1" applyBorder="1" applyAlignment="1">
      <alignment horizontal="right"/>
    </xf>
    <xf numFmtId="0" fontId="1" fillId="7" borderId="43" xfId="0" applyFont="1" applyFill="1" applyBorder="1" applyAlignment="1">
      <alignment horizontal="right"/>
    </xf>
    <xf numFmtId="0" fontId="1" fillId="7" borderId="43" xfId="0" applyFont="1" applyFill="1" applyBorder="1"/>
    <xf numFmtId="165" fontId="0" fillId="7" borderId="43" xfId="0" applyNumberFormat="1" applyFill="1" applyBorder="1"/>
    <xf numFmtId="0" fontId="1" fillId="6" borderId="43" xfId="0" applyFont="1" applyFill="1" applyBorder="1" applyAlignment="1">
      <alignment horizontal="right"/>
    </xf>
    <xf numFmtId="0" fontId="1" fillId="11" borderId="43" xfId="0" applyFont="1" applyFill="1" applyBorder="1" applyAlignment="1">
      <alignment horizontal="right"/>
    </xf>
    <xf numFmtId="0" fontId="10" fillId="0" borderId="43" xfId="0" applyFont="1" applyBorder="1"/>
    <xf numFmtId="0" fontId="1" fillId="12" borderId="43" xfId="0" applyFont="1" applyFill="1" applyBorder="1" applyAlignment="1">
      <alignment horizontal="right"/>
    </xf>
    <xf numFmtId="1" fontId="0" fillId="0" borderId="43" xfId="0" applyNumberFormat="1" applyBorder="1"/>
    <xf numFmtId="1" fontId="0" fillId="0" borderId="49" xfId="0" applyNumberFormat="1" applyBorder="1"/>
    <xf numFmtId="0" fontId="0" fillId="7" borderId="44" xfId="0" applyFill="1" applyBorder="1"/>
    <xf numFmtId="0" fontId="1" fillId="0" borderId="43" xfId="0" applyFont="1" applyBorder="1" applyAlignment="1">
      <alignment horizontal="center"/>
    </xf>
    <xf numFmtId="0" fontId="0" fillId="0" borderId="43" xfId="0" applyBorder="1" applyAlignment="1">
      <alignment horizontal="center"/>
    </xf>
    <xf numFmtId="0" fontId="0" fillId="7" borderId="43" xfId="0" applyFill="1" applyBorder="1" applyAlignment="1">
      <alignment horizontal="center"/>
    </xf>
    <xf numFmtId="0" fontId="1" fillId="11" borderId="43" xfId="0" applyFont="1" applyFill="1" applyBorder="1" applyAlignment="1">
      <alignment horizontal="center"/>
    </xf>
    <xf numFmtId="0" fontId="1" fillId="12" borderId="43" xfId="0" applyFont="1" applyFill="1" applyBorder="1" applyAlignment="1">
      <alignment horizontal="center"/>
    </xf>
    <xf numFmtId="0" fontId="1" fillId="7" borderId="43" xfId="0" applyFont="1" applyFill="1" applyBorder="1" applyAlignment="1">
      <alignment horizontal="center"/>
    </xf>
    <xf numFmtId="0" fontId="1" fillId="15" borderId="43" xfId="0" applyFont="1" applyFill="1" applyBorder="1" applyAlignment="1">
      <alignment horizontal="center"/>
    </xf>
    <xf numFmtId="0" fontId="9" fillId="12" borderId="43" xfId="0" applyFont="1" applyFill="1" applyBorder="1" applyAlignment="1">
      <alignment horizontal="center"/>
    </xf>
    <xf numFmtId="0" fontId="12" fillId="0" borderId="43" xfId="0" applyFont="1" applyBorder="1"/>
    <xf numFmtId="1" fontId="0" fillId="4" borderId="49" xfId="0" applyNumberFormat="1" applyFill="1" applyBorder="1" applyAlignment="1">
      <alignment horizontal="right"/>
    </xf>
    <xf numFmtId="165" fontId="0" fillId="0" borderId="49" xfId="0" applyNumberFormat="1" applyBorder="1" applyAlignment="1">
      <alignment horizontal="right"/>
    </xf>
    <xf numFmtId="1" fontId="0" fillId="4" borderId="43" xfId="0" applyNumberFormat="1" applyFill="1" applyBorder="1" applyAlignment="1">
      <alignment horizontal="center"/>
    </xf>
    <xf numFmtId="0" fontId="0" fillId="0" borderId="44" xfId="0" applyBorder="1" applyAlignment="1">
      <alignment horizontal="center"/>
    </xf>
    <xf numFmtId="0" fontId="0" fillId="7" borderId="44" xfId="0" applyFill="1" applyBorder="1" applyAlignment="1">
      <alignment horizontal="center"/>
    </xf>
    <xf numFmtId="1" fontId="1" fillId="11" borderId="43" xfId="2" applyNumberFormat="1" applyFont="1" applyFill="1" applyBorder="1" applyAlignment="1">
      <alignment horizontal="center"/>
    </xf>
    <xf numFmtId="0" fontId="0" fillId="14" borderId="43" xfId="0" applyFill="1" applyBorder="1" applyAlignment="1">
      <alignment horizontal="center"/>
    </xf>
    <xf numFmtId="0" fontId="14" fillId="11" borderId="43" xfId="0" applyFont="1" applyFill="1" applyBorder="1" applyAlignment="1">
      <alignment horizontal="center"/>
    </xf>
    <xf numFmtId="0" fontId="1" fillId="4" borderId="43" xfId="0" applyFont="1" applyFill="1" applyBorder="1"/>
    <xf numFmtId="0" fontId="0" fillId="4" borderId="49" xfId="0" applyFill="1" applyBorder="1"/>
    <xf numFmtId="0" fontId="0" fillId="0" borderId="49" xfId="0" applyBorder="1" applyAlignment="1">
      <alignment horizontal="center"/>
    </xf>
    <xf numFmtId="0" fontId="1" fillId="15" borderId="49" xfId="0" applyFont="1" applyFill="1" applyBorder="1" applyAlignment="1">
      <alignment horizontal="center"/>
    </xf>
    <xf numFmtId="0" fontId="0" fillId="15" borderId="43" xfId="0" applyFill="1" applyBorder="1" applyAlignment="1">
      <alignment horizontal="center"/>
    </xf>
    <xf numFmtId="0" fontId="0" fillId="11" borderId="43" xfId="0" applyFill="1" applyBorder="1" applyAlignment="1">
      <alignment horizontal="center"/>
    </xf>
    <xf numFmtId="1" fontId="0" fillId="4" borderId="43" xfId="0" applyNumberFormat="1" applyFill="1" applyBorder="1" applyAlignment="1">
      <alignment horizontal="right"/>
    </xf>
    <xf numFmtId="0" fontId="15" fillId="7" borderId="43" xfId="0" applyFont="1" applyFill="1" applyBorder="1"/>
    <xf numFmtId="0" fontId="15" fillId="7" borderId="43" xfId="0" applyFont="1" applyFill="1" applyBorder="1" applyAlignment="1">
      <alignment horizontal="center"/>
    </xf>
    <xf numFmtId="1" fontId="15" fillId="7" borderId="43" xfId="0" applyNumberFormat="1" applyFont="1" applyFill="1" applyBorder="1"/>
    <xf numFmtId="165" fontId="15" fillId="7" borderId="43" xfId="0" applyNumberFormat="1" applyFont="1" applyFill="1" applyBorder="1"/>
    <xf numFmtId="0" fontId="15" fillId="2" borderId="43" xfId="0" applyFont="1" applyFill="1" applyBorder="1"/>
    <xf numFmtId="1" fontId="15" fillId="4" borderId="49" xfId="0" applyNumberFormat="1" applyFont="1" applyFill="1" applyBorder="1"/>
    <xf numFmtId="165" fontId="15" fillId="0" borderId="49" xfId="0" applyNumberFormat="1" applyFont="1" applyBorder="1"/>
    <xf numFmtId="0" fontId="16" fillId="12" borderId="43" xfId="0" applyFont="1" applyFill="1" applyBorder="1" applyAlignment="1">
      <alignment horizontal="center"/>
    </xf>
    <xf numFmtId="0" fontId="15" fillId="15" borderId="43" xfId="0" applyFont="1" applyFill="1" applyBorder="1" applyAlignment="1">
      <alignment horizontal="center"/>
    </xf>
    <xf numFmtId="0" fontId="15" fillId="4" borderId="49" xfId="0" applyFont="1" applyFill="1" applyBorder="1"/>
    <xf numFmtId="0" fontId="15" fillId="0" borderId="49" xfId="0" applyFont="1" applyBorder="1" applyAlignment="1">
      <alignment horizontal="center"/>
    </xf>
    <xf numFmtId="0" fontId="15" fillId="15" borderId="49" xfId="0" applyFont="1" applyFill="1" applyBorder="1" applyAlignment="1">
      <alignment horizontal="center"/>
    </xf>
    <xf numFmtId="1" fontId="15" fillId="0" borderId="47" xfId="0" applyNumberFormat="1" applyFont="1" applyBorder="1" applyAlignment="1">
      <alignment horizontal="left"/>
    </xf>
    <xf numFmtId="1" fontId="15" fillId="14" borderId="49" xfId="0" applyNumberFormat="1" applyFont="1" applyFill="1" applyBorder="1"/>
    <xf numFmtId="165" fontId="15" fillId="14" borderId="49" xfId="0" applyNumberFormat="1" applyFont="1" applyFill="1" applyBorder="1"/>
    <xf numFmtId="1" fontId="15" fillId="14" borderId="47" xfId="0" applyNumberFormat="1" applyFont="1" applyFill="1" applyBorder="1" applyAlignment="1">
      <alignment horizontal="left"/>
    </xf>
    <xf numFmtId="1" fontId="15" fillId="0" borderId="47" xfId="0" applyNumberFormat="1" applyFont="1" applyBorder="1" applyAlignment="1">
      <alignment horizontal="right"/>
    </xf>
    <xf numFmtId="1" fontId="15" fillId="0" borderId="43" xfId="0" applyNumberFormat="1" applyFont="1" applyBorder="1"/>
    <xf numFmtId="1" fontId="15" fillId="4" borderId="49" xfId="0" applyNumberFormat="1" applyFont="1" applyFill="1" applyBorder="1" applyAlignment="1">
      <alignment horizontal="right"/>
    </xf>
    <xf numFmtId="165" fontId="15" fillId="0" borderId="49" xfId="0" applyNumberFormat="1" applyFont="1" applyBorder="1" applyAlignment="1">
      <alignment horizontal="right"/>
    </xf>
    <xf numFmtId="1" fontId="15" fillId="4" borderId="43" xfId="0" applyNumberFormat="1" applyFont="1" applyFill="1" applyBorder="1" applyAlignment="1">
      <alignment horizontal="center"/>
    </xf>
    <xf numFmtId="1" fontId="15" fillId="0" borderId="43" xfId="0" applyNumberFormat="1" applyFont="1" applyBorder="1" applyAlignment="1">
      <alignment horizontal="right"/>
    </xf>
    <xf numFmtId="0" fontId="15" fillId="0" borderId="44" xfId="0" applyFont="1" applyBorder="1" applyAlignment="1">
      <alignment horizontal="center"/>
    </xf>
    <xf numFmtId="0" fontId="15" fillId="7" borderId="44" xfId="0" applyFont="1" applyFill="1" applyBorder="1" applyAlignment="1">
      <alignment horizontal="center"/>
    </xf>
    <xf numFmtId="0" fontId="18" fillId="12" borderId="43" xfId="0" applyFont="1" applyFill="1" applyBorder="1" applyAlignment="1">
      <alignment horizontal="center"/>
    </xf>
    <xf numFmtId="0" fontId="15" fillId="12" borderId="49" xfId="0" applyFont="1" applyFill="1" applyBorder="1" applyAlignment="1">
      <alignment horizontal="center"/>
    </xf>
    <xf numFmtId="1" fontId="15" fillId="0" borderId="47" xfId="0" applyNumberFormat="1" applyFont="1" applyBorder="1" applyAlignment="1">
      <alignment horizontal="center"/>
    </xf>
    <xf numFmtId="1" fontId="15" fillId="14" borderId="47" xfId="0" applyNumberFormat="1" applyFont="1" applyFill="1" applyBorder="1" applyAlignment="1">
      <alignment horizontal="center"/>
    </xf>
    <xf numFmtId="1" fontId="15" fillId="15" borderId="49" xfId="0" applyNumberFormat="1" applyFont="1" applyFill="1" applyBorder="1" applyAlignment="1">
      <alignment horizontal="center"/>
    </xf>
    <xf numFmtId="1" fontId="15" fillId="12" borderId="49" xfId="0" applyNumberFormat="1" applyFont="1" applyFill="1" applyBorder="1" applyAlignment="1">
      <alignment horizontal="center"/>
    </xf>
    <xf numFmtId="165" fontId="15" fillId="7" borderId="43" xfId="0" applyNumberFormat="1" applyFont="1" applyFill="1" applyBorder="1" applyAlignment="1">
      <alignment horizontal="center"/>
    </xf>
    <xf numFmtId="0" fontId="15" fillId="2" borderId="49" xfId="0" applyFont="1" applyFill="1" applyBorder="1" applyAlignment="1">
      <alignment horizontal="center"/>
    </xf>
    <xf numFmtId="1" fontId="18" fillId="12" borderId="49" xfId="0" applyNumberFormat="1" applyFont="1" applyFill="1" applyBorder="1" applyAlignment="1">
      <alignment horizontal="center"/>
    </xf>
    <xf numFmtId="0" fontId="18" fillId="15" borderId="43" xfId="0" applyFont="1" applyFill="1" applyBorder="1" applyAlignment="1">
      <alignment horizontal="center"/>
    </xf>
    <xf numFmtId="0" fontId="19" fillId="15" borderId="43" xfId="0" applyFont="1" applyFill="1" applyBorder="1" applyAlignment="1">
      <alignment horizontal="center"/>
    </xf>
    <xf numFmtId="0" fontId="15" fillId="11" borderId="49" xfId="0" applyFont="1" applyFill="1" applyBorder="1" applyAlignment="1">
      <alignment horizontal="center"/>
    </xf>
    <xf numFmtId="49" fontId="15" fillId="20" borderId="43" xfId="0" quotePrefix="1" applyNumberFormat="1" applyFont="1" applyFill="1" applyBorder="1" applyAlignment="1">
      <alignment horizontal="center"/>
    </xf>
    <xf numFmtId="0" fontId="21" fillId="2" borderId="43" xfId="0" applyFont="1" applyFill="1" applyBorder="1" applyAlignment="1">
      <alignment horizontal="center"/>
    </xf>
    <xf numFmtId="1" fontId="21" fillId="0" borderId="47" xfId="0" applyNumberFormat="1" applyFont="1" applyBorder="1" applyAlignment="1">
      <alignment horizontal="center"/>
    </xf>
    <xf numFmtId="1" fontId="15" fillId="20" borderId="43" xfId="0" quotePrefix="1" applyNumberFormat="1" applyFont="1" applyFill="1" applyBorder="1" applyAlignment="1">
      <alignment horizontal="center"/>
    </xf>
    <xf numFmtId="1" fontId="22" fillId="16" borderId="47" xfId="0" applyNumberFormat="1" applyFont="1" applyFill="1" applyBorder="1" applyAlignment="1">
      <alignment horizontal="center"/>
    </xf>
    <xf numFmtId="1" fontId="15" fillId="14" borderId="44" xfId="0" applyNumberFormat="1" applyFont="1" applyFill="1" applyBorder="1" applyAlignment="1">
      <alignment horizontal="center"/>
    </xf>
    <xf numFmtId="1" fontId="15" fillId="16" borderId="44" xfId="0" applyNumberFormat="1" applyFont="1" applyFill="1" applyBorder="1" applyAlignment="1">
      <alignment horizontal="center"/>
    </xf>
    <xf numFmtId="1" fontId="15" fillId="16" borderId="44" xfId="0" applyNumberFormat="1" applyFont="1" applyFill="1" applyBorder="1" applyAlignment="1">
      <alignment horizontal="center" vertical="center"/>
    </xf>
    <xf numFmtId="1" fontId="15" fillId="14" borderId="44" xfId="0" applyNumberFormat="1" applyFont="1" applyFill="1" applyBorder="1" applyAlignment="1">
      <alignment horizontal="center" vertical="center"/>
    </xf>
    <xf numFmtId="1" fontId="15" fillId="4" borderId="44" xfId="0" applyNumberFormat="1" applyFont="1" applyFill="1" applyBorder="1" applyAlignment="1">
      <alignment horizontal="center"/>
    </xf>
    <xf numFmtId="0" fontId="15" fillId="16" borderId="44" xfId="0" applyFont="1" applyFill="1" applyBorder="1" applyAlignment="1">
      <alignment horizontal="center"/>
    </xf>
    <xf numFmtId="0" fontId="15" fillId="4" borderId="44" xfId="0" applyFont="1" applyFill="1" applyBorder="1" applyAlignment="1">
      <alignment horizontal="center"/>
    </xf>
    <xf numFmtId="1" fontId="18" fillId="0" borderId="47" xfId="0" applyNumberFormat="1" applyFont="1" applyBorder="1" applyAlignment="1">
      <alignment horizontal="center"/>
    </xf>
    <xf numFmtId="0" fontId="15" fillId="14" borderId="44" xfId="0" applyFont="1" applyFill="1" applyBorder="1" applyAlignment="1">
      <alignment horizontal="center"/>
    </xf>
    <xf numFmtId="1" fontId="15" fillId="0" borderId="47" xfId="0" applyNumberFormat="1" applyFont="1" applyBorder="1" applyAlignment="1">
      <alignment horizontal="center" vertical="center"/>
    </xf>
    <xf numFmtId="1" fontId="15" fillId="16" borderId="47" xfId="0" applyNumberFormat="1" applyFont="1" applyFill="1" applyBorder="1" applyAlignment="1">
      <alignment horizontal="center"/>
    </xf>
    <xf numFmtId="0" fontId="15" fillId="0" borderId="44" xfId="0" applyFont="1" applyBorder="1"/>
    <xf numFmtId="1" fontId="0" fillId="4" borderId="51" xfId="0" applyNumberFormat="1" applyFill="1" applyBorder="1"/>
    <xf numFmtId="0" fontId="0" fillId="0" borderId="50" xfId="0" applyBorder="1"/>
    <xf numFmtId="0" fontId="0" fillId="11" borderId="50" xfId="0" applyFill="1" applyBorder="1"/>
    <xf numFmtId="1" fontId="0" fillId="4" borderId="50" xfId="0" applyNumberFormat="1" applyFill="1" applyBorder="1"/>
    <xf numFmtId="0" fontId="15" fillId="11" borderId="50" xfId="0" applyFont="1" applyFill="1" applyBorder="1"/>
    <xf numFmtId="0" fontId="15" fillId="11" borderId="50" xfId="0" applyFont="1" applyFill="1" applyBorder="1" applyAlignment="1">
      <alignment horizontal="center"/>
    </xf>
    <xf numFmtId="0" fontId="0" fillId="0" borderId="52" xfId="0" applyBorder="1"/>
    <xf numFmtId="0" fontId="15" fillId="20" borderId="43" xfId="0" applyFont="1" applyFill="1" applyBorder="1" applyAlignment="1">
      <alignment horizontal="right"/>
    </xf>
    <xf numFmtId="0" fontId="15" fillId="27" borderId="43" xfId="0" applyFont="1" applyFill="1" applyBorder="1" applyAlignment="1">
      <alignment horizontal="right"/>
    </xf>
    <xf numFmtId="0" fontId="15" fillId="0" borderId="43" xfId="0" applyFont="1" applyBorder="1" applyAlignment="1">
      <alignment horizontal="right"/>
    </xf>
    <xf numFmtId="0" fontId="3" fillId="21" borderId="33" xfId="0" applyFont="1" applyFill="1" applyBorder="1" applyAlignment="1">
      <alignment horizontal="center"/>
    </xf>
    <xf numFmtId="0" fontId="3" fillId="21" borderId="38" xfId="0" applyFont="1" applyFill="1" applyBorder="1" applyAlignment="1">
      <alignment horizontal="center"/>
    </xf>
    <xf numFmtId="164" fontId="3" fillId="10" borderId="22" xfId="0" applyNumberFormat="1" applyFont="1" applyFill="1" applyBorder="1" applyAlignment="1">
      <alignment horizontal="right"/>
    </xf>
    <xf numFmtId="0" fontId="3" fillId="0" borderId="25" xfId="0" applyFont="1" applyBorder="1" applyAlignment="1">
      <alignment horizontal="right" wrapText="1"/>
    </xf>
    <xf numFmtId="0" fontId="15" fillId="14" borderId="43" xfId="0" applyFont="1" applyFill="1" applyBorder="1" applyAlignment="1">
      <alignment horizontal="right"/>
    </xf>
    <xf numFmtId="0" fontId="15" fillId="7" borderId="0" xfId="0" applyFont="1" applyFill="1" applyAlignment="1">
      <alignment horizontal="right"/>
    </xf>
    <xf numFmtId="1" fontId="0" fillId="0" borderId="43" xfId="0" applyNumberFormat="1" applyBorder="1" applyAlignment="1">
      <alignment horizontal="right"/>
    </xf>
    <xf numFmtId="0" fontId="17" fillId="0" borderId="0" xfId="0" applyFont="1" applyAlignment="1">
      <alignment horizontal="right"/>
    </xf>
    <xf numFmtId="1" fontId="0" fillId="11" borderId="43" xfId="0" applyNumberFormat="1" applyFill="1" applyBorder="1" applyAlignment="1">
      <alignment horizontal="center"/>
    </xf>
    <xf numFmtId="0" fontId="1" fillId="15" borderId="43" xfId="0" applyFont="1" applyFill="1" applyBorder="1"/>
    <xf numFmtId="0" fontId="0" fillId="0" borderId="53" xfId="0" applyBorder="1"/>
    <xf numFmtId="0" fontId="15" fillId="14" borderId="54" xfId="0" applyFont="1" applyFill="1" applyBorder="1" applyAlignment="1">
      <alignment horizontal="center"/>
    </xf>
    <xf numFmtId="1" fontId="15" fillId="14" borderId="54" xfId="0" applyNumberFormat="1" applyFont="1" applyFill="1" applyBorder="1" applyAlignment="1">
      <alignment horizontal="center"/>
    </xf>
    <xf numFmtId="165" fontId="15" fillId="14" borderId="54" xfId="0" applyNumberFormat="1" applyFont="1" applyFill="1" applyBorder="1" applyAlignment="1">
      <alignment horizontal="center"/>
    </xf>
    <xf numFmtId="1" fontId="15" fillId="4" borderId="54" xfId="0" applyNumberFormat="1" applyFont="1" applyFill="1" applyBorder="1" applyAlignment="1">
      <alignment horizontal="center"/>
    </xf>
    <xf numFmtId="165" fontId="15" fillId="0" borderId="54" xfId="0" applyNumberFormat="1" applyFont="1" applyBorder="1" applyAlignment="1">
      <alignment horizontal="center"/>
    </xf>
    <xf numFmtId="0" fontId="15" fillId="0" borderId="54" xfId="0" applyFont="1" applyBorder="1" applyAlignment="1">
      <alignment horizontal="center"/>
    </xf>
    <xf numFmtId="0" fontId="15" fillId="11" borderId="54" xfId="0" applyFont="1" applyFill="1" applyBorder="1" applyAlignment="1">
      <alignment horizontal="center"/>
    </xf>
    <xf numFmtId="0" fontId="15" fillId="12" borderId="54" xfId="0" applyFont="1" applyFill="1" applyBorder="1" applyAlignment="1">
      <alignment horizontal="center"/>
    </xf>
    <xf numFmtId="0" fontId="15" fillId="15" borderId="54" xfId="0" applyFont="1" applyFill="1" applyBorder="1" applyAlignment="1">
      <alignment horizontal="center"/>
    </xf>
    <xf numFmtId="0" fontId="16" fillId="12" borderId="54" xfId="0" applyFont="1" applyFill="1" applyBorder="1" applyAlignment="1">
      <alignment horizontal="center"/>
    </xf>
    <xf numFmtId="1" fontId="15" fillId="0" borderId="54" xfId="0" applyNumberFormat="1" applyFont="1" applyBorder="1" applyAlignment="1">
      <alignment horizontal="center"/>
    </xf>
    <xf numFmtId="0" fontId="16" fillId="11" borderId="54" xfId="0" applyFont="1" applyFill="1" applyBorder="1" applyAlignment="1">
      <alignment horizontal="center"/>
    </xf>
    <xf numFmtId="0" fontId="16" fillId="0" borderId="54" xfId="0" applyFont="1" applyBorder="1" applyAlignment="1">
      <alignment horizontal="center"/>
    </xf>
    <xf numFmtId="0" fontId="15" fillId="0" borderId="54" xfId="0" applyFont="1" applyBorder="1"/>
    <xf numFmtId="0" fontId="22" fillId="0" borderId="54" xfId="0" applyFont="1" applyBorder="1" applyAlignment="1">
      <alignment horizontal="center"/>
    </xf>
    <xf numFmtId="1" fontId="21" fillId="4" borderId="54" xfId="0" applyNumberFormat="1" applyFont="1" applyFill="1" applyBorder="1" applyAlignment="1">
      <alignment horizontal="center"/>
    </xf>
    <xf numFmtId="165" fontId="21" fillId="0" borderId="54" xfId="0" applyNumberFormat="1" applyFont="1" applyBorder="1" applyAlignment="1">
      <alignment horizontal="center"/>
    </xf>
    <xf numFmtId="165" fontId="15" fillId="14" borderId="55" xfId="0" applyNumberFormat="1" applyFont="1" applyFill="1" applyBorder="1" applyAlignment="1">
      <alignment horizontal="center"/>
    </xf>
    <xf numFmtId="165" fontId="15" fillId="0" borderId="55" xfId="0" applyNumberFormat="1" applyFont="1" applyBorder="1" applyAlignment="1">
      <alignment horizontal="center"/>
    </xf>
    <xf numFmtId="0" fontId="0" fillId="0" borderId="54" xfId="0" applyBorder="1"/>
    <xf numFmtId="0" fontId="0" fillId="11" borderId="54" xfId="0" applyFill="1" applyBorder="1"/>
    <xf numFmtId="0" fontId="0" fillId="14" borderId="54" xfId="0" applyFill="1" applyBorder="1"/>
    <xf numFmtId="1" fontId="15" fillId="11" borderId="54" xfId="0" applyNumberFormat="1" applyFont="1" applyFill="1" applyBorder="1" applyAlignment="1">
      <alignment horizontal="center"/>
    </xf>
    <xf numFmtId="1" fontId="15" fillId="22" borderId="54" xfId="0" applyNumberFormat="1" applyFont="1" applyFill="1" applyBorder="1" applyAlignment="1">
      <alignment horizontal="center"/>
    </xf>
    <xf numFmtId="1" fontId="15" fillId="11" borderId="54" xfId="0" applyNumberFormat="1" applyFont="1" applyFill="1" applyBorder="1" applyAlignment="1">
      <alignment horizontal="center" vertical="center"/>
    </xf>
    <xf numFmtId="1" fontId="21" fillId="11" borderId="54" xfId="0" applyNumberFormat="1" applyFont="1" applyFill="1" applyBorder="1" applyAlignment="1">
      <alignment horizontal="center"/>
    </xf>
    <xf numFmtId="0" fontId="15" fillId="0" borderId="55" xfId="0" applyFont="1" applyBorder="1"/>
    <xf numFmtId="1" fontId="15" fillId="16" borderId="54" xfId="0" applyNumberFormat="1" applyFont="1" applyFill="1" applyBorder="1" applyAlignment="1">
      <alignment horizontal="center"/>
    </xf>
    <xf numFmtId="1" fontId="15" fillId="11" borderId="56" xfId="0" applyNumberFormat="1" applyFont="1" applyFill="1" applyBorder="1" applyAlignment="1">
      <alignment horizontal="center" vertical="center"/>
    </xf>
    <xf numFmtId="0" fontId="15" fillId="14" borderId="54" xfId="0" applyFont="1" applyFill="1" applyBorder="1"/>
    <xf numFmtId="14" fontId="15" fillId="21" borderId="54" xfId="0" applyNumberFormat="1" applyFont="1" applyFill="1" applyBorder="1" applyAlignment="1">
      <alignment horizontal="center"/>
    </xf>
    <xf numFmtId="0" fontId="15" fillId="21" borderId="54" xfId="0" applyFont="1" applyFill="1" applyBorder="1" applyAlignment="1">
      <alignment horizontal="right"/>
    </xf>
    <xf numFmtId="0" fontId="15" fillId="21" borderId="54" xfId="0" applyFont="1" applyFill="1" applyBorder="1"/>
    <xf numFmtId="0" fontId="0" fillId="15" borderId="54" xfId="0" applyFill="1" applyBorder="1"/>
    <xf numFmtId="0" fontId="0" fillId="0" borderId="54" xfId="0" applyBorder="1" applyAlignment="1">
      <alignment horizontal="right"/>
    </xf>
    <xf numFmtId="0" fontId="15" fillId="14" borderId="54" xfId="0" applyFont="1" applyFill="1" applyBorder="1" applyAlignment="1">
      <alignment horizontal="right"/>
    </xf>
    <xf numFmtId="0" fontId="0" fillId="14" borderId="54" xfId="0" applyFill="1" applyBorder="1" applyAlignment="1">
      <alignment horizontal="right"/>
    </xf>
    <xf numFmtId="0" fontId="1" fillId="11" borderId="54" xfId="0" applyFont="1" applyFill="1" applyBorder="1"/>
    <xf numFmtId="1" fontId="15" fillId="11" borderId="54" xfId="0" applyNumberFormat="1" applyFont="1" applyFill="1" applyBorder="1" applyAlignment="1">
      <alignment horizontal="right"/>
    </xf>
    <xf numFmtId="1" fontId="21" fillId="11" borderId="54" xfId="0" applyNumberFormat="1" applyFont="1" applyFill="1" applyBorder="1" applyAlignment="1">
      <alignment horizontal="right"/>
    </xf>
    <xf numFmtId="0" fontId="3" fillId="0" borderId="18" xfId="0" applyFont="1" applyBorder="1" applyAlignment="1">
      <alignment horizontal="center"/>
    </xf>
    <xf numFmtId="0" fontId="26" fillId="0" borderId="33" xfId="0" applyFont="1" applyBorder="1"/>
    <xf numFmtId="0" fontId="26" fillId="0" borderId="33" xfId="0" applyFont="1" applyBorder="1" applyAlignment="1">
      <alignment horizontal="center"/>
    </xf>
    <xf numFmtId="0" fontId="26" fillId="0" borderId="33" xfId="0" applyFont="1" applyBorder="1" applyAlignment="1">
      <alignment horizontal="center" wrapText="1"/>
    </xf>
    <xf numFmtId="9" fontId="0" fillId="0" borderId="0" xfId="2" applyFont="1"/>
    <xf numFmtId="165" fontId="0" fillId="0" borderId="0" xfId="0" applyNumberFormat="1"/>
    <xf numFmtId="9" fontId="0" fillId="0" borderId="0" xfId="0" applyNumberFormat="1"/>
    <xf numFmtId="0" fontId="0" fillId="0" borderId="0" xfId="2" applyNumberFormat="1" applyFont="1"/>
    <xf numFmtId="1" fontId="0" fillId="0" borderId="0" xfId="2" applyNumberFormat="1" applyFont="1"/>
    <xf numFmtId="9" fontId="0" fillId="0" borderId="33" xfId="2" applyFont="1" applyBorder="1"/>
    <xf numFmtId="165" fontId="27" fillId="0" borderId="0" xfId="0" applyNumberFormat="1" applyFont="1" applyAlignment="1">
      <alignment horizontal="left"/>
    </xf>
    <xf numFmtId="164" fontId="2" fillId="0" borderId="21" xfId="0" applyNumberFormat="1" applyFont="1" applyBorder="1" applyAlignment="1">
      <alignment horizontal="center"/>
    </xf>
    <xf numFmtId="164" fontId="2" fillId="0" borderId="22" xfId="0" applyNumberFormat="1" applyFont="1" applyBorder="1" applyAlignment="1">
      <alignment horizontal="center"/>
    </xf>
    <xf numFmtId="164" fontId="2" fillId="0" borderId="23" xfId="0" applyNumberFormat="1" applyFont="1" applyBorder="1" applyAlignment="1">
      <alignment horizontal="center"/>
    </xf>
    <xf numFmtId="164" fontId="2" fillId="10" borderId="12" xfId="0" applyNumberFormat="1" applyFont="1" applyFill="1" applyBorder="1" applyAlignment="1">
      <alignment horizontal="center"/>
    </xf>
    <xf numFmtId="164" fontId="2" fillId="10" borderId="1" xfId="0" applyNumberFormat="1" applyFont="1" applyFill="1" applyBorder="1" applyAlignment="1">
      <alignment horizontal="center"/>
    </xf>
    <xf numFmtId="164" fontId="2" fillId="10" borderId="2" xfId="0" applyNumberFormat="1" applyFont="1" applyFill="1" applyBorder="1" applyAlignment="1">
      <alignment horizontal="center"/>
    </xf>
    <xf numFmtId="164" fontId="2" fillId="10" borderId="35" xfId="0" applyNumberFormat="1" applyFont="1" applyFill="1" applyBorder="1" applyAlignment="1">
      <alignment horizontal="center"/>
    </xf>
    <xf numFmtId="164" fontId="2" fillId="10" borderId="22" xfId="0" applyNumberFormat="1" applyFont="1" applyFill="1" applyBorder="1" applyAlignment="1">
      <alignment horizontal="center"/>
    </xf>
    <xf numFmtId="0" fontId="2" fillId="10" borderId="21" xfId="0" applyFont="1" applyFill="1" applyBorder="1"/>
    <xf numFmtId="0" fontId="2" fillId="10" borderId="22" xfId="0" applyFont="1" applyFill="1" applyBorder="1"/>
    <xf numFmtId="0" fontId="2" fillId="10" borderId="23" xfId="0" applyFont="1" applyFill="1" applyBorder="1"/>
    <xf numFmtId="164" fontId="2" fillId="10" borderId="36" xfId="0" applyNumberFormat="1" applyFont="1" applyFill="1" applyBorder="1" applyAlignment="1">
      <alignment horizontal="center"/>
    </xf>
    <xf numFmtId="164" fontId="3" fillId="10" borderId="35" xfId="0" applyNumberFormat="1" applyFont="1" applyFill="1" applyBorder="1" applyAlignment="1">
      <alignment horizontal="center"/>
    </xf>
    <xf numFmtId="164" fontId="3" fillId="10" borderId="22" xfId="0" applyNumberFormat="1" applyFont="1" applyFill="1" applyBorder="1" applyAlignment="1">
      <alignment horizontal="center"/>
    </xf>
    <xf numFmtId="0" fontId="3" fillId="10" borderId="21" xfId="0" applyFont="1" applyFill="1" applyBorder="1"/>
    <xf numFmtId="0" fontId="3" fillId="10" borderId="22" xfId="0" applyFont="1" applyFill="1" applyBorder="1"/>
    <xf numFmtId="0" fontId="3" fillId="10" borderId="23" xfId="0" applyFont="1" applyFill="1" applyBorder="1"/>
    <xf numFmtId="164" fontId="3" fillId="10" borderId="36" xfId="0" applyNumberFormat="1" applyFont="1" applyFill="1" applyBorder="1" applyAlignment="1">
      <alignment horizontal="center"/>
    </xf>
    <xf numFmtId="0" fontId="3" fillId="11" borderId="0" xfId="0" applyFont="1" applyFill="1" applyAlignment="1">
      <alignment horizontal="center"/>
    </xf>
    <xf numFmtId="14" fontId="15" fillId="19" borderId="43" xfId="0" applyNumberFormat="1" applyFont="1" applyFill="1" applyBorder="1" applyAlignment="1">
      <alignment horizontal="center"/>
    </xf>
    <xf numFmtId="0" fontId="20" fillId="20" borderId="43" xfId="0" applyFont="1" applyFill="1" applyBorder="1" applyAlignment="1">
      <alignment horizontal="center"/>
    </xf>
    <xf numFmtId="0" fontId="15" fillId="21" borderId="43" xfId="0" applyFont="1" applyFill="1" applyBorder="1" applyAlignment="1">
      <alignment horizontal="center"/>
    </xf>
    <xf numFmtId="0" fontId="15" fillId="21" borderId="33" xfId="0" applyFont="1" applyFill="1" applyBorder="1" applyAlignment="1">
      <alignment horizontal="center"/>
    </xf>
    <xf numFmtId="0" fontId="15" fillId="21" borderId="38" xfId="0" applyFont="1" applyFill="1" applyBorder="1" applyAlignment="1">
      <alignment horizontal="center"/>
    </xf>
    <xf numFmtId="0" fontId="3" fillId="21" borderId="33" xfId="0" applyFont="1" applyFill="1" applyBorder="1" applyAlignment="1">
      <alignment horizontal="center"/>
    </xf>
    <xf numFmtId="0" fontId="3" fillId="21" borderId="38" xfId="0" applyFont="1" applyFill="1" applyBorder="1" applyAlignment="1">
      <alignment horizontal="center"/>
    </xf>
    <xf numFmtId="17" fontId="0" fillId="0" borderId="0" xfId="0" applyNumberFormat="1"/>
  </cellXfs>
  <cellStyles count="3">
    <cellStyle name="Comma" xfId="1" builtinId="3"/>
    <cellStyle name="Normal" xfId="0" builtinId="0"/>
    <cellStyle name="Percent" xfId="2" builtinId="5"/>
  </cellStyles>
  <dxfs count="0"/>
  <tableStyles count="0" defaultTableStyle="TableStyleMedium9" defaultPivotStyle="PivotStyleLight16"/>
  <colors>
    <mruColors>
      <color rgb="FF0096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1038225</xdr:colOff>
      <xdr:row>5</xdr:row>
      <xdr:rowOff>20731</xdr:rowOff>
    </xdr:to>
    <xdr:pic>
      <xdr:nvPicPr>
        <xdr:cNvPr id="2049" name="Picture 1" descr="Pearmund Logo.jpg">
          <a:extLst>
            <a:ext uri="{FF2B5EF4-FFF2-40B4-BE49-F238E27FC236}">
              <a16:creationId xmlns:a16="http://schemas.microsoft.com/office/drawing/2014/main" id="{00000000-0008-0000-0400-000001080000}"/>
            </a:ext>
          </a:extLst>
        </xdr:cNvPr>
        <xdr:cNvPicPr>
          <a:picLocks noChangeAspect="1"/>
        </xdr:cNvPicPr>
      </xdr:nvPicPr>
      <xdr:blipFill>
        <a:blip xmlns:r="http://schemas.openxmlformats.org/officeDocument/2006/relationships" r:embed="rId1" cstate="print"/>
        <a:srcRect/>
        <a:stretch>
          <a:fillRect/>
        </a:stretch>
      </xdr:blipFill>
      <xdr:spPr bwMode="auto">
        <a:xfrm>
          <a:off x="609600" y="0"/>
          <a:ext cx="1038225" cy="12192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1038225</xdr:colOff>
      <xdr:row>3</xdr:row>
      <xdr:rowOff>76200</xdr:rowOff>
    </xdr:to>
    <xdr:pic>
      <xdr:nvPicPr>
        <xdr:cNvPr id="1025" name="Picture 1" descr="Pearmund Logo.jpg">
          <a:extLst>
            <a:ext uri="{FF2B5EF4-FFF2-40B4-BE49-F238E27FC236}">
              <a16:creationId xmlns:a16="http://schemas.microsoft.com/office/drawing/2014/main" id="{00000000-0008-0000-0200-000001040000}"/>
            </a:ext>
          </a:extLst>
        </xdr:cNvPr>
        <xdr:cNvPicPr>
          <a:picLocks noChangeAspect="1"/>
        </xdr:cNvPicPr>
      </xdr:nvPicPr>
      <xdr:blipFill>
        <a:blip xmlns:r="http://schemas.openxmlformats.org/officeDocument/2006/relationships" r:embed="rId1" cstate="print"/>
        <a:srcRect/>
        <a:stretch>
          <a:fillRect/>
        </a:stretch>
      </xdr:blipFill>
      <xdr:spPr bwMode="auto">
        <a:xfrm>
          <a:off x="523875" y="161925"/>
          <a:ext cx="1038225" cy="12192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609600</xdr:colOff>
      <xdr:row>5</xdr:row>
      <xdr:rowOff>20731</xdr:rowOff>
    </xdr:to>
    <xdr:pic>
      <xdr:nvPicPr>
        <xdr:cNvPr id="2" name="Picture 1" descr="Pearmund Logo.jpg">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1219200" y="0"/>
          <a:ext cx="1038225" cy="1230406"/>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609600</xdr:colOff>
      <xdr:row>5</xdr:row>
      <xdr:rowOff>20731</xdr:rowOff>
    </xdr:to>
    <xdr:pic>
      <xdr:nvPicPr>
        <xdr:cNvPr id="3" name="Picture 2" descr="Pearmund Logo.jpg">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1219200" y="0"/>
          <a:ext cx="609600" cy="944656"/>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609600</xdr:colOff>
      <xdr:row>4</xdr:row>
      <xdr:rowOff>143995</xdr:rowOff>
    </xdr:to>
    <xdr:pic>
      <xdr:nvPicPr>
        <xdr:cNvPr id="2" name="Picture 1" descr="Pearmund Logo.jpg">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1219200" y="0"/>
          <a:ext cx="609600" cy="944656"/>
        </a:xfrm>
        <a:prstGeom prst="rect">
          <a:avLst/>
        </a:prstGeom>
        <a:noFill/>
        <a:ln w="9525">
          <a:noFill/>
          <a:miter lim="800000"/>
          <a:headEnd/>
          <a:tailEnd/>
        </a:ln>
      </xdr:spPr>
    </xdr:pic>
    <xdr:clientData/>
  </xdr:twoCellAnchor>
  <xdr:oneCellAnchor>
    <xdr:from>
      <xdr:col>22</xdr:col>
      <xdr:colOff>0</xdr:colOff>
      <xdr:row>0</xdr:row>
      <xdr:rowOff>0</xdr:rowOff>
    </xdr:from>
    <xdr:ext cx="609600" cy="939613"/>
    <xdr:pic>
      <xdr:nvPicPr>
        <xdr:cNvPr id="3" name="Picture 2" descr="Pearmund Logo.jpg">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cstate="print"/>
        <a:srcRect/>
        <a:stretch>
          <a:fillRect/>
        </a:stretch>
      </xdr:blipFill>
      <xdr:spPr bwMode="auto">
        <a:xfrm>
          <a:off x="1210235" y="0"/>
          <a:ext cx="609600" cy="939613"/>
        </a:xfrm>
        <a:prstGeom prst="rect">
          <a:avLst/>
        </a:prstGeom>
        <a:noFill/>
        <a:ln w="9525">
          <a:noFill/>
          <a:miter lim="800000"/>
          <a:headEnd/>
          <a:tailEnd/>
        </a:ln>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609600</xdr:colOff>
      <xdr:row>4</xdr:row>
      <xdr:rowOff>172570</xdr:rowOff>
    </xdr:to>
    <xdr:pic>
      <xdr:nvPicPr>
        <xdr:cNvPr id="2" name="Picture 1" descr="Pearmund Logo.jpg">
          <a:extLst>
            <a:ext uri="{FF2B5EF4-FFF2-40B4-BE49-F238E27FC236}">
              <a16:creationId xmlns:a16="http://schemas.microsoft.com/office/drawing/2014/main" id="{FCE71403-7E03-4828-9504-B5C575FE68B1}"/>
            </a:ext>
          </a:extLst>
        </xdr:cNvPr>
        <xdr:cNvPicPr>
          <a:picLocks noChangeAspect="1"/>
        </xdr:cNvPicPr>
      </xdr:nvPicPr>
      <xdr:blipFill>
        <a:blip xmlns:r="http://schemas.openxmlformats.org/officeDocument/2006/relationships" r:embed="rId1" cstate="print"/>
        <a:srcRect/>
        <a:stretch>
          <a:fillRect/>
        </a:stretch>
      </xdr:blipFill>
      <xdr:spPr bwMode="auto">
        <a:xfrm>
          <a:off x="1219200" y="0"/>
          <a:ext cx="609600" cy="934570"/>
        </a:xfrm>
        <a:prstGeom prst="rect">
          <a:avLst/>
        </a:prstGeom>
        <a:noFill/>
        <a:ln w="9525">
          <a:noFill/>
          <a:miter lim="800000"/>
          <a:headEnd/>
          <a:tailEnd/>
        </a:ln>
      </xdr:spPr>
    </xdr:pic>
    <xdr:clientData/>
  </xdr:twoCellAnchor>
  <xdr:oneCellAnchor>
    <xdr:from>
      <xdr:col>22</xdr:col>
      <xdr:colOff>0</xdr:colOff>
      <xdr:row>0</xdr:row>
      <xdr:rowOff>0</xdr:rowOff>
    </xdr:from>
    <xdr:ext cx="609600" cy="939613"/>
    <xdr:pic>
      <xdr:nvPicPr>
        <xdr:cNvPr id="3" name="Picture 2" descr="Pearmund Logo.jpg">
          <a:extLst>
            <a:ext uri="{FF2B5EF4-FFF2-40B4-BE49-F238E27FC236}">
              <a16:creationId xmlns:a16="http://schemas.microsoft.com/office/drawing/2014/main" id="{B57A97F8-22C9-48A8-8382-C7AD03DB1ED4}"/>
            </a:ext>
          </a:extLst>
        </xdr:cNvPr>
        <xdr:cNvPicPr>
          <a:picLocks noChangeAspect="1"/>
        </xdr:cNvPicPr>
      </xdr:nvPicPr>
      <xdr:blipFill>
        <a:blip xmlns:r="http://schemas.openxmlformats.org/officeDocument/2006/relationships" r:embed="rId1" cstate="print"/>
        <a:srcRect/>
        <a:stretch>
          <a:fillRect/>
        </a:stretch>
      </xdr:blipFill>
      <xdr:spPr bwMode="auto">
        <a:xfrm>
          <a:off x="13639800" y="0"/>
          <a:ext cx="609600" cy="939613"/>
        </a:xfrm>
        <a:prstGeom prst="rect">
          <a:avLst/>
        </a:prstGeom>
        <a:noFill/>
        <a:ln w="9525">
          <a:noFill/>
          <a:miter lim="800000"/>
          <a:headEnd/>
          <a:tailEnd/>
        </a:ln>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2</xdr:col>
      <xdr:colOff>609600</xdr:colOff>
      <xdr:row>5</xdr:row>
      <xdr:rowOff>153520</xdr:rowOff>
    </xdr:to>
    <xdr:pic>
      <xdr:nvPicPr>
        <xdr:cNvPr id="2" name="Picture 1" descr="Pearmund Logo.jpg">
          <a:extLst>
            <a:ext uri="{FF2B5EF4-FFF2-40B4-BE49-F238E27FC236}">
              <a16:creationId xmlns:a16="http://schemas.microsoft.com/office/drawing/2014/main" id="{9E01A48C-C71E-4BEE-8B56-91EC60A6D3F1}"/>
            </a:ext>
          </a:extLst>
        </xdr:cNvPr>
        <xdr:cNvPicPr>
          <a:picLocks noChangeAspect="1"/>
        </xdr:cNvPicPr>
      </xdr:nvPicPr>
      <xdr:blipFill>
        <a:blip xmlns:r="http://schemas.openxmlformats.org/officeDocument/2006/relationships" r:embed="rId1" cstate="print"/>
        <a:srcRect/>
        <a:stretch>
          <a:fillRect/>
        </a:stretch>
      </xdr:blipFill>
      <xdr:spPr bwMode="auto">
        <a:xfrm>
          <a:off x="1219200" y="0"/>
          <a:ext cx="609600" cy="963145"/>
        </a:xfrm>
        <a:prstGeom prst="rect">
          <a:avLst/>
        </a:prstGeom>
        <a:noFill/>
        <a:ln w="9525">
          <a:noFill/>
          <a:miter lim="800000"/>
          <a:headEnd/>
          <a:tailEnd/>
        </a:ln>
      </xdr:spPr>
    </xdr:pic>
    <xdr:clientData/>
  </xdr:twoCellAnchor>
  <xdr:oneCellAnchor>
    <xdr:from>
      <xdr:col>21</xdr:col>
      <xdr:colOff>0</xdr:colOff>
      <xdr:row>0</xdr:row>
      <xdr:rowOff>0</xdr:rowOff>
    </xdr:from>
    <xdr:ext cx="609600" cy="939613"/>
    <xdr:pic>
      <xdr:nvPicPr>
        <xdr:cNvPr id="3" name="Picture 2" descr="Pearmund Logo.jpg">
          <a:extLst>
            <a:ext uri="{FF2B5EF4-FFF2-40B4-BE49-F238E27FC236}">
              <a16:creationId xmlns:a16="http://schemas.microsoft.com/office/drawing/2014/main" id="{A59B4AE7-07B1-43C7-91D2-B2F7BD799EFB}"/>
            </a:ext>
          </a:extLst>
        </xdr:cNvPr>
        <xdr:cNvPicPr>
          <a:picLocks noChangeAspect="1"/>
        </xdr:cNvPicPr>
      </xdr:nvPicPr>
      <xdr:blipFill>
        <a:blip xmlns:r="http://schemas.openxmlformats.org/officeDocument/2006/relationships" r:embed="rId1" cstate="print"/>
        <a:srcRect/>
        <a:stretch>
          <a:fillRect/>
        </a:stretch>
      </xdr:blipFill>
      <xdr:spPr bwMode="auto">
        <a:xfrm>
          <a:off x="13792200" y="0"/>
          <a:ext cx="609600" cy="939613"/>
        </a:xfrm>
        <a:prstGeom prst="rect">
          <a:avLst/>
        </a:prstGeom>
        <a:noFill/>
        <a:ln w="9525">
          <a:noFill/>
          <a:miter lim="800000"/>
          <a:headEnd/>
          <a:tailEn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21</xdr:col>
      <xdr:colOff>0</xdr:colOff>
      <xdr:row>0</xdr:row>
      <xdr:rowOff>0</xdr:rowOff>
    </xdr:from>
    <xdr:ext cx="609600" cy="939613"/>
    <xdr:pic>
      <xdr:nvPicPr>
        <xdr:cNvPr id="3" name="Picture 2" descr="Pearmund Logo.jpg">
          <a:extLst>
            <a:ext uri="{FF2B5EF4-FFF2-40B4-BE49-F238E27FC236}">
              <a16:creationId xmlns:a16="http://schemas.microsoft.com/office/drawing/2014/main" id="{56D4F121-A154-4A45-B766-D81DE1D5D3DB}"/>
            </a:ext>
          </a:extLst>
        </xdr:cNvPr>
        <xdr:cNvPicPr>
          <a:picLocks noChangeAspect="1"/>
        </xdr:cNvPicPr>
      </xdr:nvPicPr>
      <xdr:blipFill>
        <a:blip xmlns:r="http://schemas.openxmlformats.org/officeDocument/2006/relationships" r:embed="rId1" cstate="print"/>
        <a:srcRect/>
        <a:stretch>
          <a:fillRect/>
        </a:stretch>
      </xdr:blipFill>
      <xdr:spPr bwMode="auto">
        <a:xfrm>
          <a:off x="13211175" y="0"/>
          <a:ext cx="609600" cy="939613"/>
        </a:xfrm>
        <a:prstGeom prst="rect">
          <a:avLst/>
        </a:prstGeom>
        <a:noFill/>
        <a:ln w="9525">
          <a:noFill/>
          <a:miter lim="800000"/>
          <a:headEnd/>
          <a:tailEnd/>
        </a:ln>
      </xdr:spPr>
    </xdr:pic>
    <xdr:clientData/>
  </xdr:oneCellAnchor>
  <xdr:twoCellAnchor editAs="oneCell">
    <xdr:from>
      <xdr:col>3</xdr:col>
      <xdr:colOff>1</xdr:colOff>
      <xdr:row>2</xdr:row>
      <xdr:rowOff>1</xdr:rowOff>
    </xdr:from>
    <xdr:to>
      <xdr:col>5</xdr:col>
      <xdr:colOff>230718</xdr:colOff>
      <xdr:row>4</xdr:row>
      <xdr:rowOff>90707</xdr:rowOff>
    </xdr:to>
    <xdr:pic>
      <xdr:nvPicPr>
        <xdr:cNvPr id="9" name="Picture 8">
          <a:extLst>
            <a:ext uri="{FF2B5EF4-FFF2-40B4-BE49-F238E27FC236}">
              <a16:creationId xmlns:a16="http://schemas.microsoft.com/office/drawing/2014/main" id="{13874032-6076-42F5-A7CB-389078E94978}"/>
            </a:ext>
          </a:extLst>
        </xdr:cNvPr>
        <xdr:cNvPicPr>
          <a:picLocks noChangeAspect="1"/>
        </xdr:cNvPicPr>
      </xdr:nvPicPr>
      <xdr:blipFill>
        <a:blip xmlns:r="http://schemas.openxmlformats.org/officeDocument/2006/relationships" r:embed="rId2"/>
        <a:stretch>
          <a:fillRect/>
        </a:stretch>
      </xdr:blipFill>
      <xdr:spPr>
        <a:xfrm>
          <a:off x="4191001" y="196851"/>
          <a:ext cx="1424517" cy="484406"/>
        </a:xfrm>
        <a:prstGeom prst="rect">
          <a:avLst/>
        </a:prstGeom>
      </xdr:spPr>
    </xdr:pic>
    <xdr:clientData/>
  </xdr:twoCellAnchor>
  <xdr:twoCellAnchor editAs="oneCell">
    <xdr:from>
      <xdr:col>3</xdr:col>
      <xdr:colOff>1</xdr:colOff>
      <xdr:row>2</xdr:row>
      <xdr:rowOff>1</xdr:rowOff>
    </xdr:from>
    <xdr:to>
      <xdr:col>5</xdr:col>
      <xdr:colOff>230718</xdr:colOff>
      <xdr:row>4</xdr:row>
      <xdr:rowOff>90707</xdr:rowOff>
    </xdr:to>
    <xdr:pic>
      <xdr:nvPicPr>
        <xdr:cNvPr id="10" name="Picture 9">
          <a:extLst>
            <a:ext uri="{FF2B5EF4-FFF2-40B4-BE49-F238E27FC236}">
              <a16:creationId xmlns:a16="http://schemas.microsoft.com/office/drawing/2014/main" id="{D451FC0C-1376-4907-80C7-353506AAE2FB}"/>
            </a:ext>
          </a:extLst>
        </xdr:cNvPr>
        <xdr:cNvPicPr>
          <a:picLocks noChangeAspect="1"/>
        </xdr:cNvPicPr>
      </xdr:nvPicPr>
      <xdr:blipFill>
        <a:blip xmlns:r="http://schemas.openxmlformats.org/officeDocument/2006/relationships" r:embed="rId2"/>
        <a:stretch>
          <a:fillRect/>
        </a:stretch>
      </xdr:blipFill>
      <xdr:spPr>
        <a:xfrm>
          <a:off x="4191001" y="196851"/>
          <a:ext cx="1424517" cy="48440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22</xdr:col>
      <xdr:colOff>0</xdr:colOff>
      <xdr:row>0</xdr:row>
      <xdr:rowOff>0</xdr:rowOff>
    </xdr:from>
    <xdr:ext cx="609600" cy="939613"/>
    <xdr:pic>
      <xdr:nvPicPr>
        <xdr:cNvPr id="2" name="Picture 1" descr="Pearmund Logo.jpg">
          <a:extLst>
            <a:ext uri="{FF2B5EF4-FFF2-40B4-BE49-F238E27FC236}">
              <a16:creationId xmlns:a16="http://schemas.microsoft.com/office/drawing/2014/main" id="{C1E30EB7-8FD9-492A-84E3-EF182AB69F0D}"/>
            </a:ext>
          </a:extLst>
        </xdr:cNvPr>
        <xdr:cNvPicPr>
          <a:picLocks noChangeAspect="1"/>
        </xdr:cNvPicPr>
      </xdr:nvPicPr>
      <xdr:blipFill>
        <a:blip xmlns:r="http://schemas.openxmlformats.org/officeDocument/2006/relationships" r:embed="rId1" cstate="print"/>
        <a:srcRect/>
        <a:stretch>
          <a:fillRect/>
        </a:stretch>
      </xdr:blipFill>
      <xdr:spPr bwMode="auto">
        <a:xfrm>
          <a:off x="14916150" y="0"/>
          <a:ext cx="609600" cy="939613"/>
        </a:xfrm>
        <a:prstGeom prst="rect">
          <a:avLst/>
        </a:prstGeom>
        <a:noFill/>
        <a:ln w="9525">
          <a:noFill/>
          <a:miter lim="800000"/>
          <a:headEnd/>
          <a:tailEnd/>
        </a:ln>
      </xdr:spPr>
    </xdr:pic>
    <xdr:clientData/>
  </xdr:oneCellAnchor>
  <xdr:twoCellAnchor editAs="oneCell">
    <xdr:from>
      <xdr:col>4</xdr:col>
      <xdr:colOff>1</xdr:colOff>
      <xdr:row>2</xdr:row>
      <xdr:rowOff>1</xdr:rowOff>
    </xdr:from>
    <xdr:to>
      <xdr:col>6</xdr:col>
      <xdr:colOff>156105</xdr:colOff>
      <xdr:row>4</xdr:row>
      <xdr:rowOff>185868</xdr:rowOff>
    </xdr:to>
    <xdr:pic>
      <xdr:nvPicPr>
        <xdr:cNvPr id="3" name="Picture 2">
          <a:extLst>
            <a:ext uri="{FF2B5EF4-FFF2-40B4-BE49-F238E27FC236}">
              <a16:creationId xmlns:a16="http://schemas.microsoft.com/office/drawing/2014/main" id="{78F5B96D-4011-42DE-B33D-325A2AD99A59}"/>
            </a:ext>
          </a:extLst>
        </xdr:cNvPr>
        <xdr:cNvPicPr>
          <a:picLocks noChangeAspect="1"/>
        </xdr:cNvPicPr>
      </xdr:nvPicPr>
      <xdr:blipFill>
        <a:blip xmlns:r="http://schemas.openxmlformats.org/officeDocument/2006/relationships" r:embed="rId2"/>
        <a:stretch>
          <a:fillRect/>
        </a:stretch>
      </xdr:blipFill>
      <xdr:spPr>
        <a:xfrm>
          <a:off x="3308351" y="393701"/>
          <a:ext cx="1424517" cy="48440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22</xdr:col>
      <xdr:colOff>0</xdr:colOff>
      <xdr:row>0</xdr:row>
      <xdr:rowOff>0</xdr:rowOff>
    </xdr:from>
    <xdr:ext cx="609600" cy="939613"/>
    <xdr:pic>
      <xdr:nvPicPr>
        <xdr:cNvPr id="2" name="Picture 1" descr="Pearmund Logo.jpg">
          <a:extLst>
            <a:ext uri="{FF2B5EF4-FFF2-40B4-BE49-F238E27FC236}">
              <a16:creationId xmlns:a16="http://schemas.microsoft.com/office/drawing/2014/main" id="{60BE3342-E1F4-4554-B147-15255342D021}"/>
            </a:ext>
          </a:extLst>
        </xdr:cNvPr>
        <xdr:cNvPicPr>
          <a:picLocks noChangeAspect="1"/>
        </xdr:cNvPicPr>
      </xdr:nvPicPr>
      <xdr:blipFill>
        <a:blip xmlns:r="http://schemas.openxmlformats.org/officeDocument/2006/relationships" r:embed="rId1" cstate="print"/>
        <a:srcRect/>
        <a:stretch>
          <a:fillRect/>
        </a:stretch>
      </xdr:blipFill>
      <xdr:spPr bwMode="auto">
        <a:xfrm>
          <a:off x="15925800" y="0"/>
          <a:ext cx="609600" cy="939613"/>
        </a:xfrm>
        <a:prstGeom prst="rect">
          <a:avLst/>
        </a:prstGeom>
        <a:noFill/>
        <a:ln w="9525">
          <a:noFill/>
          <a:miter lim="800000"/>
          <a:headEnd/>
          <a:tailEnd/>
        </a:ln>
      </xdr:spPr>
    </xdr:pic>
    <xdr:clientData/>
  </xdr:oneCellAnchor>
  <xdr:twoCellAnchor editAs="oneCell">
    <xdr:from>
      <xdr:col>7</xdr:col>
      <xdr:colOff>34249</xdr:colOff>
      <xdr:row>0</xdr:row>
      <xdr:rowOff>0</xdr:rowOff>
    </xdr:from>
    <xdr:to>
      <xdr:col>9</xdr:col>
      <xdr:colOff>536393</xdr:colOff>
      <xdr:row>3</xdr:row>
      <xdr:rowOff>121332</xdr:rowOff>
    </xdr:to>
    <xdr:pic>
      <xdr:nvPicPr>
        <xdr:cNvPr id="4" name="Picture 3">
          <a:extLst>
            <a:ext uri="{FF2B5EF4-FFF2-40B4-BE49-F238E27FC236}">
              <a16:creationId xmlns:a16="http://schemas.microsoft.com/office/drawing/2014/main" id="{4FFF38C4-EF02-4A45-BEC0-1B2A26D25FAB}"/>
            </a:ext>
          </a:extLst>
        </xdr:cNvPr>
        <xdr:cNvPicPr>
          <a:picLocks noChangeAspect="1"/>
        </xdr:cNvPicPr>
      </xdr:nvPicPr>
      <xdr:blipFill>
        <a:blip xmlns:r="http://schemas.openxmlformats.org/officeDocument/2006/relationships" r:embed="rId2"/>
        <a:stretch>
          <a:fillRect/>
        </a:stretch>
      </xdr:blipFill>
      <xdr:spPr>
        <a:xfrm>
          <a:off x="5971499" y="0"/>
          <a:ext cx="1480044" cy="5975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25</xdr:col>
      <xdr:colOff>0</xdr:colOff>
      <xdr:row>0</xdr:row>
      <xdr:rowOff>0</xdr:rowOff>
    </xdr:from>
    <xdr:ext cx="609600" cy="939613"/>
    <xdr:pic>
      <xdr:nvPicPr>
        <xdr:cNvPr id="2" name="Picture 1" descr="Pearmund Logo.jpg">
          <a:extLst>
            <a:ext uri="{FF2B5EF4-FFF2-40B4-BE49-F238E27FC236}">
              <a16:creationId xmlns:a16="http://schemas.microsoft.com/office/drawing/2014/main" id="{5142914B-D903-4D5E-8D68-F94F0AB61918}"/>
            </a:ext>
          </a:extLst>
        </xdr:cNvPr>
        <xdr:cNvPicPr>
          <a:picLocks noChangeAspect="1"/>
        </xdr:cNvPicPr>
      </xdr:nvPicPr>
      <xdr:blipFill>
        <a:blip xmlns:r="http://schemas.openxmlformats.org/officeDocument/2006/relationships" r:embed="rId1" cstate="print"/>
        <a:srcRect/>
        <a:stretch>
          <a:fillRect/>
        </a:stretch>
      </xdr:blipFill>
      <xdr:spPr bwMode="auto">
        <a:xfrm>
          <a:off x="15192375" y="0"/>
          <a:ext cx="609600" cy="939613"/>
        </a:xfrm>
        <a:prstGeom prst="rect">
          <a:avLst/>
        </a:prstGeom>
        <a:noFill/>
        <a:ln w="9525">
          <a:noFill/>
          <a:miter lim="800000"/>
          <a:headEnd/>
          <a:tailEnd/>
        </a:ln>
      </xdr:spPr>
    </xdr:pic>
    <xdr:clientData/>
  </xdr:oneCellAnchor>
  <xdr:twoCellAnchor editAs="oneCell">
    <xdr:from>
      <xdr:col>9</xdr:col>
      <xdr:colOff>34249</xdr:colOff>
      <xdr:row>0</xdr:row>
      <xdr:rowOff>0</xdr:rowOff>
    </xdr:from>
    <xdr:to>
      <xdr:col>11</xdr:col>
      <xdr:colOff>555443</xdr:colOff>
      <xdr:row>4</xdr:row>
      <xdr:rowOff>45132</xdr:rowOff>
    </xdr:to>
    <xdr:pic>
      <xdr:nvPicPr>
        <xdr:cNvPr id="3" name="Picture 2">
          <a:extLst>
            <a:ext uri="{FF2B5EF4-FFF2-40B4-BE49-F238E27FC236}">
              <a16:creationId xmlns:a16="http://schemas.microsoft.com/office/drawing/2014/main" id="{5825A64C-B7F0-4849-867E-A64276B4DA3E}"/>
            </a:ext>
          </a:extLst>
        </xdr:cNvPr>
        <xdr:cNvPicPr>
          <a:picLocks noChangeAspect="1"/>
        </xdr:cNvPicPr>
      </xdr:nvPicPr>
      <xdr:blipFill>
        <a:blip xmlns:r="http://schemas.openxmlformats.org/officeDocument/2006/relationships" r:embed="rId2"/>
        <a:stretch>
          <a:fillRect/>
        </a:stretch>
      </xdr:blipFill>
      <xdr:spPr>
        <a:xfrm>
          <a:off x="5720674" y="0"/>
          <a:ext cx="1492744" cy="69283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24</xdr:col>
      <xdr:colOff>0</xdr:colOff>
      <xdr:row>0</xdr:row>
      <xdr:rowOff>0</xdr:rowOff>
    </xdr:from>
    <xdr:ext cx="609600" cy="939613"/>
    <xdr:pic>
      <xdr:nvPicPr>
        <xdr:cNvPr id="4" name="Picture 3" descr="Pearmund Logo.jpg">
          <a:extLst>
            <a:ext uri="{FF2B5EF4-FFF2-40B4-BE49-F238E27FC236}">
              <a16:creationId xmlns:a16="http://schemas.microsoft.com/office/drawing/2014/main" id="{3F758743-47DB-4B90-833D-340D217952AC}"/>
            </a:ext>
          </a:extLst>
        </xdr:cNvPr>
        <xdr:cNvPicPr>
          <a:picLocks noChangeAspect="1"/>
        </xdr:cNvPicPr>
      </xdr:nvPicPr>
      <xdr:blipFill>
        <a:blip xmlns:r="http://schemas.openxmlformats.org/officeDocument/2006/relationships" r:embed="rId1" cstate="print"/>
        <a:srcRect/>
        <a:stretch>
          <a:fillRect/>
        </a:stretch>
      </xdr:blipFill>
      <xdr:spPr bwMode="auto">
        <a:xfrm>
          <a:off x="17659350" y="0"/>
          <a:ext cx="609600" cy="939613"/>
        </a:xfrm>
        <a:prstGeom prst="rect">
          <a:avLst/>
        </a:prstGeom>
        <a:noFill/>
        <a:ln w="9525">
          <a:noFill/>
          <a:miter lim="800000"/>
          <a:headEnd/>
          <a:tailEnd/>
        </a:ln>
      </xdr:spPr>
    </xdr:pic>
    <xdr:clientData/>
  </xdr:oneCellAnchor>
  <xdr:twoCellAnchor editAs="oneCell">
    <xdr:from>
      <xdr:col>8</xdr:col>
      <xdr:colOff>34249</xdr:colOff>
      <xdr:row>0</xdr:row>
      <xdr:rowOff>0</xdr:rowOff>
    </xdr:from>
    <xdr:to>
      <xdr:col>10</xdr:col>
      <xdr:colOff>555442</xdr:colOff>
      <xdr:row>4</xdr:row>
      <xdr:rowOff>45132</xdr:rowOff>
    </xdr:to>
    <xdr:pic>
      <xdr:nvPicPr>
        <xdr:cNvPr id="5" name="Picture 4">
          <a:extLst>
            <a:ext uri="{FF2B5EF4-FFF2-40B4-BE49-F238E27FC236}">
              <a16:creationId xmlns:a16="http://schemas.microsoft.com/office/drawing/2014/main" id="{31FE8BB2-DF5F-42D8-AAEC-EF2C1D04D3BB}"/>
            </a:ext>
          </a:extLst>
        </xdr:cNvPr>
        <xdr:cNvPicPr>
          <a:picLocks noChangeAspect="1"/>
        </xdr:cNvPicPr>
      </xdr:nvPicPr>
      <xdr:blipFill>
        <a:blip xmlns:r="http://schemas.openxmlformats.org/officeDocument/2006/relationships" r:embed="rId2"/>
        <a:stretch>
          <a:fillRect/>
        </a:stretch>
      </xdr:blipFill>
      <xdr:spPr>
        <a:xfrm>
          <a:off x="6898599" y="0"/>
          <a:ext cx="1562594" cy="832532"/>
        </a:xfrm>
        <a:prstGeom prst="rect">
          <a:avLst/>
        </a:prstGeom>
      </xdr:spPr>
    </xdr:pic>
    <xdr:clientData/>
  </xdr:twoCellAnchor>
  <xdr:oneCellAnchor>
    <xdr:from>
      <xdr:col>24</xdr:col>
      <xdr:colOff>0</xdr:colOff>
      <xdr:row>0</xdr:row>
      <xdr:rowOff>0</xdr:rowOff>
    </xdr:from>
    <xdr:ext cx="609600" cy="939613"/>
    <xdr:pic>
      <xdr:nvPicPr>
        <xdr:cNvPr id="6" name="Picture 5" descr="Pearmund Logo.jpg">
          <a:extLst>
            <a:ext uri="{FF2B5EF4-FFF2-40B4-BE49-F238E27FC236}">
              <a16:creationId xmlns:a16="http://schemas.microsoft.com/office/drawing/2014/main" id="{6D966F7D-9053-4F5B-B2A1-744AC0DD8D5D}"/>
            </a:ext>
          </a:extLst>
        </xdr:cNvPr>
        <xdr:cNvPicPr>
          <a:picLocks noChangeAspect="1"/>
        </xdr:cNvPicPr>
      </xdr:nvPicPr>
      <xdr:blipFill>
        <a:blip xmlns:r="http://schemas.openxmlformats.org/officeDocument/2006/relationships" r:embed="rId1" cstate="print"/>
        <a:srcRect/>
        <a:stretch>
          <a:fillRect/>
        </a:stretch>
      </xdr:blipFill>
      <xdr:spPr bwMode="auto">
        <a:xfrm>
          <a:off x="17659350" y="0"/>
          <a:ext cx="609600" cy="939613"/>
        </a:xfrm>
        <a:prstGeom prst="rect">
          <a:avLst/>
        </a:prstGeom>
        <a:noFill/>
        <a:ln w="9525">
          <a:noFill/>
          <a:miter lim="800000"/>
          <a:headEnd/>
          <a:tailEnd/>
        </a:ln>
      </xdr:spPr>
    </xdr:pic>
    <xdr:clientData/>
  </xdr:oneCellAnchor>
  <xdr:twoCellAnchor editAs="oneCell">
    <xdr:from>
      <xdr:col>8</xdr:col>
      <xdr:colOff>34249</xdr:colOff>
      <xdr:row>0</xdr:row>
      <xdr:rowOff>0</xdr:rowOff>
    </xdr:from>
    <xdr:to>
      <xdr:col>10</xdr:col>
      <xdr:colOff>555442</xdr:colOff>
      <xdr:row>4</xdr:row>
      <xdr:rowOff>45132</xdr:rowOff>
    </xdr:to>
    <xdr:pic>
      <xdr:nvPicPr>
        <xdr:cNvPr id="7" name="Picture 6">
          <a:extLst>
            <a:ext uri="{FF2B5EF4-FFF2-40B4-BE49-F238E27FC236}">
              <a16:creationId xmlns:a16="http://schemas.microsoft.com/office/drawing/2014/main" id="{56701169-294E-41EE-A0CC-98CC64D1AE08}"/>
            </a:ext>
          </a:extLst>
        </xdr:cNvPr>
        <xdr:cNvPicPr>
          <a:picLocks noChangeAspect="1"/>
        </xdr:cNvPicPr>
      </xdr:nvPicPr>
      <xdr:blipFill>
        <a:blip xmlns:r="http://schemas.openxmlformats.org/officeDocument/2006/relationships" r:embed="rId2"/>
        <a:stretch>
          <a:fillRect/>
        </a:stretch>
      </xdr:blipFill>
      <xdr:spPr>
        <a:xfrm>
          <a:off x="6898599" y="0"/>
          <a:ext cx="1562594" cy="83253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24</xdr:col>
      <xdr:colOff>0</xdr:colOff>
      <xdr:row>0</xdr:row>
      <xdr:rowOff>0</xdr:rowOff>
    </xdr:from>
    <xdr:ext cx="609600" cy="939613"/>
    <xdr:pic>
      <xdr:nvPicPr>
        <xdr:cNvPr id="2" name="Picture 1" descr="Pearmund Logo.jpg">
          <a:extLst>
            <a:ext uri="{FF2B5EF4-FFF2-40B4-BE49-F238E27FC236}">
              <a16:creationId xmlns:a16="http://schemas.microsoft.com/office/drawing/2014/main" id="{59A87E12-E6BB-491F-846B-E09421E2D0EE}"/>
            </a:ext>
          </a:extLst>
        </xdr:cNvPr>
        <xdr:cNvPicPr>
          <a:picLocks noChangeAspect="1"/>
        </xdr:cNvPicPr>
      </xdr:nvPicPr>
      <xdr:blipFill>
        <a:blip xmlns:r="http://schemas.openxmlformats.org/officeDocument/2006/relationships" r:embed="rId1" cstate="print"/>
        <a:srcRect/>
        <a:stretch>
          <a:fillRect/>
        </a:stretch>
      </xdr:blipFill>
      <xdr:spPr bwMode="auto">
        <a:xfrm>
          <a:off x="18992850" y="0"/>
          <a:ext cx="609600" cy="939613"/>
        </a:xfrm>
        <a:prstGeom prst="rect">
          <a:avLst/>
        </a:prstGeom>
        <a:noFill/>
        <a:ln w="9525">
          <a:noFill/>
          <a:miter lim="800000"/>
          <a:headEnd/>
          <a:tailEnd/>
        </a:ln>
      </xdr:spPr>
    </xdr:pic>
    <xdr:clientData/>
  </xdr:oneCellAnchor>
  <xdr:twoCellAnchor editAs="oneCell">
    <xdr:from>
      <xdr:col>8</xdr:col>
      <xdr:colOff>34249</xdr:colOff>
      <xdr:row>0</xdr:row>
      <xdr:rowOff>0</xdr:rowOff>
    </xdr:from>
    <xdr:to>
      <xdr:col>9</xdr:col>
      <xdr:colOff>130051</xdr:colOff>
      <xdr:row>4</xdr:row>
      <xdr:rowOff>159432</xdr:rowOff>
    </xdr:to>
    <xdr:pic>
      <xdr:nvPicPr>
        <xdr:cNvPr id="3" name="Picture 2">
          <a:extLst>
            <a:ext uri="{FF2B5EF4-FFF2-40B4-BE49-F238E27FC236}">
              <a16:creationId xmlns:a16="http://schemas.microsoft.com/office/drawing/2014/main" id="{978E9798-48BE-41C4-AF3E-BD99EC51316D}"/>
            </a:ext>
          </a:extLst>
        </xdr:cNvPr>
        <xdr:cNvPicPr>
          <a:picLocks noChangeAspect="1"/>
        </xdr:cNvPicPr>
      </xdr:nvPicPr>
      <xdr:blipFill>
        <a:blip xmlns:r="http://schemas.openxmlformats.org/officeDocument/2006/relationships" r:embed="rId2"/>
        <a:stretch>
          <a:fillRect/>
        </a:stretch>
      </xdr:blipFill>
      <xdr:spPr>
        <a:xfrm>
          <a:off x="7749499" y="0"/>
          <a:ext cx="1511793" cy="807132"/>
        </a:xfrm>
        <a:prstGeom prst="rect">
          <a:avLst/>
        </a:prstGeom>
      </xdr:spPr>
    </xdr:pic>
    <xdr:clientData/>
  </xdr:twoCellAnchor>
  <xdr:oneCellAnchor>
    <xdr:from>
      <xdr:col>24</xdr:col>
      <xdr:colOff>0</xdr:colOff>
      <xdr:row>0</xdr:row>
      <xdr:rowOff>0</xdr:rowOff>
    </xdr:from>
    <xdr:ext cx="609600" cy="939613"/>
    <xdr:pic>
      <xdr:nvPicPr>
        <xdr:cNvPr id="4" name="Picture 3" descr="Pearmund Logo.jpg">
          <a:extLst>
            <a:ext uri="{FF2B5EF4-FFF2-40B4-BE49-F238E27FC236}">
              <a16:creationId xmlns:a16="http://schemas.microsoft.com/office/drawing/2014/main" id="{5A68447E-3888-46C0-B79B-0BAF86DB5944}"/>
            </a:ext>
          </a:extLst>
        </xdr:cNvPr>
        <xdr:cNvPicPr>
          <a:picLocks noChangeAspect="1"/>
        </xdr:cNvPicPr>
      </xdr:nvPicPr>
      <xdr:blipFill>
        <a:blip xmlns:r="http://schemas.openxmlformats.org/officeDocument/2006/relationships" r:embed="rId1" cstate="print"/>
        <a:srcRect/>
        <a:stretch>
          <a:fillRect/>
        </a:stretch>
      </xdr:blipFill>
      <xdr:spPr bwMode="auto">
        <a:xfrm>
          <a:off x="18992850" y="0"/>
          <a:ext cx="609600" cy="939613"/>
        </a:xfrm>
        <a:prstGeom prst="rect">
          <a:avLst/>
        </a:prstGeom>
        <a:noFill/>
        <a:ln w="9525">
          <a:noFill/>
          <a:miter lim="800000"/>
          <a:headEnd/>
          <a:tailEnd/>
        </a:ln>
      </xdr:spPr>
    </xdr:pic>
    <xdr:clientData/>
  </xdr:oneCellAnchor>
  <xdr:twoCellAnchor editAs="oneCell">
    <xdr:from>
      <xdr:col>7</xdr:col>
      <xdr:colOff>262192</xdr:colOff>
      <xdr:row>0</xdr:row>
      <xdr:rowOff>0</xdr:rowOff>
    </xdr:from>
    <xdr:to>
      <xdr:col>8</xdr:col>
      <xdr:colOff>287808</xdr:colOff>
      <xdr:row>4</xdr:row>
      <xdr:rowOff>159432</xdr:rowOff>
    </xdr:to>
    <xdr:pic>
      <xdr:nvPicPr>
        <xdr:cNvPr id="5" name="Picture 4">
          <a:extLst>
            <a:ext uri="{FF2B5EF4-FFF2-40B4-BE49-F238E27FC236}">
              <a16:creationId xmlns:a16="http://schemas.microsoft.com/office/drawing/2014/main" id="{61E5CE9B-F35C-4874-871F-924A8F2E25DB}"/>
            </a:ext>
          </a:extLst>
        </xdr:cNvPr>
        <xdr:cNvPicPr>
          <a:picLocks noChangeAspect="1"/>
        </xdr:cNvPicPr>
      </xdr:nvPicPr>
      <xdr:blipFill>
        <a:blip xmlns:r="http://schemas.openxmlformats.org/officeDocument/2006/relationships" r:embed="rId2"/>
        <a:stretch>
          <a:fillRect/>
        </a:stretch>
      </xdr:blipFill>
      <xdr:spPr>
        <a:xfrm>
          <a:off x="7023314" y="0"/>
          <a:ext cx="1670301" cy="92468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oneCellAnchor>
    <xdr:from>
      <xdr:col>24</xdr:col>
      <xdr:colOff>0</xdr:colOff>
      <xdr:row>0</xdr:row>
      <xdr:rowOff>0</xdr:rowOff>
    </xdr:from>
    <xdr:ext cx="609600" cy="939613"/>
    <xdr:pic>
      <xdr:nvPicPr>
        <xdr:cNvPr id="2" name="Picture 1" descr="Pearmund Logo.jpg">
          <a:extLst>
            <a:ext uri="{FF2B5EF4-FFF2-40B4-BE49-F238E27FC236}">
              <a16:creationId xmlns:a16="http://schemas.microsoft.com/office/drawing/2014/main" id="{CBC1C626-C11F-41AD-AFC7-A9A01644F9FC}"/>
            </a:ext>
          </a:extLst>
        </xdr:cNvPr>
        <xdr:cNvPicPr>
          <a:picLocks noChangeAspect="1"/>
        </xdr:cNvPicPr>
      </xdr:nvPicPr>
      <xdr:blipFill>
        <a:blip xmlns:r="http://schemas.openxmlformats.org/officeDocument/2006/relationships" r:embed="rId1" cstate="print"/>
        <a:srcRect/>
        <a:stretch>
          <a:fillRect/>
        </a:stretch>
      </xdr:blipFill>
      <xdr:spPr bwMode="auto">
        <a:xfrm>
          <a:off x="18630900" y="0"/>
          <a:ext cx="609600" cy="939613"/>
        </a:xfrm>
        <a:prstGeom prst="rect">
          <a:avLst/>
        </a:prstGeom>
        <a:noFill/>
        <a:ln w="9525">
          <a:noFill/>
          <a:miter lim="800000"/>
          <a:headEnd/>
          <a:tailEnd/>
        </a:ln>
      </xdr:spPr>
    </xdr:pic>
    <xdr:clientData/>
  </xdr:oneCellAnchor>
  <xdr:twoCellAnchor editAs="oneCell">
    <xdr:from>
      <xdr:col>8</xdr:col>
      <xdr:colOff>34249</xdr:colOff>
      <xdr:row>0</xdr:row>
      <xdr:rowOff>0</xdr:rowOff>
    </xdr:from>
    <xdr:to>
      <xdr:col>9</xdr:col>
      <xdr:colOff>130051</xdr:colOff>
      <xdr:row>4</xdr:row>
      <xdr:rowOff>159432</xdr:rowOff>
    </xdr:to>
    <xdr:pic>
      <xdr:nvPicPr>
        <xdr:cNvPr id="3" name="Picture 2">
          <a:extLst>
            <a:ext uri="{FF2B5EF4-FFF2-40B4-BE49-F238E27FC236}">
              <a16:creationId xmlns:a16="http://schemas.microsoft.com/office/drawing/2014/main" id="{7931D187-99E6-4B65-8803-260CAC5A9A72}"/>
            </a:ext>
          </a:extLst>
        </xdr:cNvPr>
        <xdr:cNvPicPr>
          <a:picLocks noChangeAspect="1"/>
        </xdr:cNvPicPr>
      </xdr:nvPicPr>
      <xdr:blipFill>
        <a:blip xmlns:r="http://schemas.openxmlformats.org/officeDocument/2006/relationships" r:embed="rId2"/>
        <a:stretch>
          <a:fillRect/>
        </a:stretch>
      </xdr:blipFill>
      <xdr:spPr>
        <a:xfrm>
          <a:off x="7059889" y="0"/>
          <a:ext cx="606342" cy="921432"/>
        </a:xfrm>
        <a:prstGeom prst="rect">
          <a:avLst/>
        </a:prstGeom>
      </xdr:spPr>
    </xdr:pic>
    <xdr:clientData/>
  </xdr:twoCellAnchor>
  <xdr:oneCellAnchor>
    <xdr:from>
      <xdr:col>24</xdr:col>
      <xdr:colOff>0</xdr:colOff>
      <xdr:row>0</xdr:row>
      <xdr:rowOff>0</xdr:rowOff>
    </xdr:from>
    <xdr:ext cx="609600" cy="939613"/>
    <xdr:pic>
      <xdr:nvPicPr>
        <xdr:cNvPr id="4" name="Picture 3" descr="Pearmund Logo.jpg">
          <a:extLst>
            <a:ext uri="{FF2B5EF4-FFF2-40B4-BE49-F238E27FC236}">
              <a16:creationId xmlns:a16="http://schemas.microsoft.com/office/drawing/2014/main" id="{A3521796-7513-44B2-8ABD-09A93DDF526A}"/>
            </a:ext>
          </a:extLst>
        </xdr:cNvPr>
        <xdr:cNvPicPr>
          <a:picLocks noChangeAspect="1"/>
        </xdr:cNvPicPr>
      </xdr:nvPicPr>
      <xdr:blipFill>
        <a:blip xmlns:r="http://schemas.openxmlformats.org/officeDocument/2006/relationships" r:embed="rId1" cstate="print"/>
        <a:srcRect/>
        <a:stretch>
          <a:fillRect/>
        </a:stretch>
      </xdr:blipFill>
      <xdr:spPr bwMode="auto">
        <a:xfrm>
          <a:off x="18630900" y="0"/>
          <a:ext cx="609600" cy="939613"/>
        </a:xfrm>
        <a:prstGeom prst="rect">
          <a:avLst/>
        </a:prstGeom>
        <a:noFill/>
        <a:ln w="9525">
          <a:noFill/>
          <a:miter lim="800000"/>
          <a:headEnd/>
          <a:tailEnd/>
        </a:ln>
      </xdr:spPr>
    </xdr:pic>
    <xdr:clientData/>
  </xdr:oneCellAnchor>
  <xdr:twoCellAnchor editAs="oneCell">
    <xdr:from>
      <xdr:col>5</xdr:col>
      <xdr:colOff>100264</xdr:colOff>
      <xdr:row>0</xdr:row>
      <xdr:rowOff>0</xdr:rowOff>
    </xdr:from>
    <xdr:to>
      <xdr:col>8</xdr:col>
      <xdr:colOff>287808</xdr:colOff>
      <xdr:row>4</xdr:row>
      <xdr:rowOff>159432</xdr:rowOff>
    </xdr:to>
    <xdr:pic>
      <xdr:nvPicPr>
        <xdr:cNvPr id="5" name="Picture 4">
          <a:extLst>
            <a:ext uri="{FF2B5EF4-FFF2-40B4-BE49-F238E27FC236}">
              <a16:creationId xmlns:a16="http://schemas.microsoft.com/office/drawing/2014/main" id="{B744FA39-0DB3-4B0F-B836-616161CD2F51}"/>
            </a:ext>
          </a:extLst>
        </xdr:cNvPr>
        <xdr:cNvPicPr>
          <a:picLocks noChangeAspect="1"/>
        </xdr:cNvPicPr>
      </xdr:nvPicPr>
      <xdr:blipFill>
        <a:blip xmlns:r="http://schemas.openxmlformats.org/officeDocument/2006/relationships" r:embed="rId2"/>
        <a:stretch>
          <a:fillRect/>
        </a:stretch>
      </xdr:blipFill>
      <xdr:spPr>
        <a:xfrm>
          <a:off x="5414211" y="0"/>
          <a:ext cx="1992281" cy="92143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oneCellAnchor>
    <xdr:from>
      <xdr:col>24</xdr:col>
      <xdr:colOff>0</xdr:colOff>
      <xdr:row>0</xdr:row>
      <xdr:rowOff>0</xdr:rowOff>
    </xdr:from>
    <xdr:ext cx="609600" cy="939613"/>
    <xdr:pic>
      <xdr:nvPicPr>
        <xdr:cNvPr id="2" name="Picture 1" descr="Pearmund Logo.jpg">
          <a:extLst>
            <a:ext uri="{FF2B5EF4-FFF2-40B4-BE49-F238E27FC236}">
              <a16:creationId xmlns:a16="http://schemas.microsoft.com/office/drawing/2014/main" id="{111130D1-E351-469C-BD08-4EE2FEA802F4}"/>
            </a:ext>
          </a:extLst>
        </xdr:cNvPr>
        <xdr:cNvPicPr>
          <a:picLocks noChangeAspect="1"/>
        </xdr:cNvPicPr>
      </xdr:nvPicPr>
      <xdr:blipFill>
        <a:blip xmlns:r="http://schemas.openxmlformats.org/officeDocument/2006/relationships" r:embed="rId1" cstate="print"/>
        <a:srcRect/>
        <a:stretch>
          <a:fillRect/>
        </a:stretch>
      </xdr:blipFill>
      <xdr:spPr bwMode="auto">
        <a:xfrm>
          <a:off x="18729960" y="0"/>
          <a:ext cx="609600" cy="939613"/>
        </a:xfrm>
        <a:prstGeom prst="rect">
          <a:avLst/>
        </a:prstGeom>
        <a:noFill/>
        <a:ln w="9525">
          <a:noFill/>
          <a:miter lim="800000"/>
          <a:headEnd/>
          <a:tailEnd/>
        </a:ln>
      </xdr:spPr>
    </xdr:pic>
    <xdr:clientData/>
  </xdr:oneCellAnchor>
  <xdr:twoCellAnchor editAs="oneCell">
    <xdr:from>
      <xdr:col>8</xdr:col>
      <xdr:colOff>34249</xdr:colOff>
      <xdr:row>0</xdr:row>
      <xdr:rowOff>0</xdr:rowOff>
    </xdr:from>
    <xdr:to>
      <xdr:col>9</xdr:col>
      <xdr:colOff>130051</xdr:colOff>
      <xdr:row>4</xdr:row>
      <xdr:rowOff>159432</xdr:rowOff>
    </xdr:to>
    <xdr:pic>
      <xdr:nvPicPr>
        <xdr:cNvPr id="3" name="Picture 2">
          <a:extLst>
            <a:ext uri="{FF2B5EF4-FFF2-40B4-BE49-F238E27FC236}">
              <a16:creationId xmlns:a16="http://schemas.microsoft.com/office/drawing/2014/main" id="{D5C6765E-04EE-4710-AFDE-379EFDFA0DED}"/>
            </a:ext>
          </a:extLst>
        </xdr:cNvPr>
        <xdr:cNvPicPr>
          <a:picLocks noChangeAspect="1"/>
        </xdr:cNvPicPr>
      </xdr:nvPicPr>
      <xdr:blipFill>
        <a:blip xmlns:r="http://schemas.openxmlformats.org/officeDocument/2006/relationships" r:embed="rId2"/>
        <a:stretch>
          <a:fillRect/>
        </a:stretch>
      </xdr:blipFill>
      <xdr:spPr>
        <a:xfrm>
          <a:off x="7158949" y="0"/>
          <a:ext cx="606342" cy="921432"/>
        </a:xfrm>
        <a:prstGeom prst="rect">
          <a:avLst/>
        </a:prstGeom>
      </xdr:spPr>
    </xdr:pic>
    <xdr:clientData/>
  </xdr:twoCellAnchor>
  <xdr:oneCellAnchor>
    <xdr:from>
      <xdr:col>24</xdr:col>
      <xdr:colOff>0</xdr:colOff>
      <xdr:row>0</xdr:row>
      <xdr:rowOff>0</xdr:rowOff>
    </xdr:from>
    <xdr:ext cx="609600" cy="939613"/>
    <xdr:pic>
      <xdr:nvPicPr>
        <xdr:cNvPr id="4" name="Picture 3" descr="Pearmund Logo.jpg">
          <a:extLst>
            <a:ext uri="{FF2B5EF4-FFF2-40B4-BE49-F238E27FC236}">
              <a16:creationId xmlns:a16="http://schemas.microsoft.com/office/drawing/2014/main" id="{97A2996A-37C4-4317-8B8A-58401AC63545}"/>
            </a:ext>
          </a:extLst>
        </xdr:cNvPr>
        <xdr:cNvPicPr>
          <a:picLocks noChangeAspect="1"/>
        </xdr:cNvPicPr>
      </xdr:nvPicPr>
      <xdr:blipFill>
        <a:blip xmlns:r="http://schemas.openxmlformats.org/officeDocument/2006/relationships" r:embed="rId1" cstate="print"/>
        <a:srcRect/>
        <a:stretch>
          <a:fillRect/>
        </a:stretch>
      </xdr:blipFill>
      <xdr:spPr bwMode="auto">
        <a:xfrm>
          <a:off x="18729960" y="0"/>
          <a:ext cx="609600" cy="939613"/>
        </a:xfrm>
        <a:prstGeom prst="rect">
          <a:avLst/>
        </a:prstGeom>
        <a:noFill/>
        <a:ln w="9525">
          <a:noFill/>
          <a:miter lim="800000"/>
          <a:headEnd/>
          <a:tailEnd/>
        </a:ln>
      </xdr:spPr>
    </xdr:pic>
    <xdr:clientData/>
  </xdr:oneCellAnchor>
  <xdr:twoCellAnchor editAs="oneCell">
    <xdr:from>
      <xdr:col>5</xdr:col>
      <xdr:colOff>100264</xdr:colOff>
      <xdr:row>0</xdr:row>
      <xdr:rowOff>0</xdr:rowOff>
    </xdr:from>
    <xdr:to>
      <xdr:col>8</xdr:col>
      <xdr:colOff>287808</xdr:colOff>
      <xdr:row>4</xdr:row>
      <xdr:rowOff>159432</xdr:rowOff>
    </xdr:to>
    <xdr:pic>
      <xdr:nvPicPr>
        <xdr:cNvPr id="5" name="Picture 4">
          <a:extLst>
            <a:ext uri="{FF2B5EF4-FFF2-40B4-BE49-F238E27FC236}">
              <a16:creationId xmlns:a16="http://schemas.microsoft.com/office/drawing/2014/main" id="{4D3AA869-F0A6-446A-BBFF-A495270447BC}"/>
            </a:ext>
          </a:extLst>
        </xdr:cNvPr>
        <xdr:cNvPicPr>
          <a:picLocks noChangeAspect="1"/>
        </xdr:cNvPicPr>
      </xdr:nvPicPr>
      <xdr:blipFill>
        <a:blip xmlns:r="http://schemas.openxmlformats.org/officeDocument/2006/relationships" r:embed="rId2"/>
        <a:stretch>
          <a:fillRect/>
        </a:stretch>
      </xdr:blipFill>
      <xdr:spPr>
        <a:xfrm>
          <a:off x="5419024" y="0"/>
          <a:ext cx="1993484" cy="92143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41"/>
  <sheetViews>
    <sheetView workbookViewId="0">
      <selection activeCell="S3" sqref="S3:S34"/>
    </sheetView>
  </sheetViews>
  <sheetFormatPr defaultRowHeight="12.75" x14ac:dyDescent="0.2"/>
  <cols>
    <col min="1" max="1" width="16.42578125" customWidth="1"/>
    <col min="2" max="2" width="5.5703125" customWidth="1"/>
    <col min="3" max="3" width="5" customWidth="1"/>
    <col min="4" max="4" width="5.42578125" customWidth="1"/>
    <col min="5" max="5" width="5" customWidth="1"/>
    <col min="6" max="7" width="5.42578125" customWidth="1"/>
    <col min="8" max="8" width="4.5703125" customWidth="1"/>
    <col min="9" max="9" width="4.42578125" customWidth="1"/>
    <col min="10" max="11" width="5.42578125" customWidth="1"/>
    <col min="12" max="12" width="5" customWidth="1"/>
    <col min="13" max="14" width="5.5703125" customWidth="1"/>
    <col min="15" max="15" width="7.5703125" customWidth="1"/>
    <col min="16" max="16" width="8.5703125" customWidth="1"/>
    <col min="17" max="17" width="16.5703125" customWidth="1"/>
    <col min="18" max="18" width="14.42578125" customWidth="1"/>
    <col min="19" max="19" width="14.5703125" customWidth="1"/>
  </cols>
  <sheetData>
    <row r="1" spans="1:19" ht="21" thickBot="1" x14ac:dyDescent="0.35">
      <c r="A1" s="560" t="s">
        <v>0</v>
      </c>
      <c r="B1" s="561"/>
      <c r="C1" s="561"/>
      <c r="D1" s="561"/>
      <c r="E1" s="561"/>
      <c r="F1" s="561"/>
      <c r="G1" s="561"/>
      <c r="H1" s="561"/>
      <c r="I1" s="561"/>
      <c r="J1" s="561"/>
      <c r="K1" s="561"/>
      <c r="L1" s="561"/>
      <c r="M1" s="561"/>
      <c r="N1" s="561"/>
      <c r="O1" s="562"/>
      <c r="P1" s="2"/>
      <c r="Q1" s="8" t="s">
        <v>1</v>
      </c>
      <c r="R1" s="2"/>
      <c r="S1" s="3"/>
    </row>
    <row r="2" spans="1:19" s="1" customFormat="1" ht="15.75" x14ac:dyDescent="0.25">
      <c r="A2" s="4" t="s">
        <v>2</v>
      </c>
      <c r="B2" s="1" t="s">
        <v>3</v>
      </c>
      <c r="C2" s="4" t="s">
        <v>4</v>
      </c>
      <c r="D2" s="1" t="s">
        <v>5</v>
      </c>
      <c r="E2" s="4" t="s">
        <v>6</v>
      </c>
      <c r="F2" s="5" t="s">
        <v>7</v>
      </c>
      <c r="G2" s="5" t="s">
        <v>8</v>
      </c>
      <c r="H2" s="5" t="s">
        <v>9</v>
      </c>
      <c r="I2" s="5" t="s">
        <v>10</v>
      </c>
      <c r="J2" s="5" t="s">
        <v>11</v>
      </c>
      <c r="K2" s="5" t="s">
        <v>12</v>
      </c>
      <c r="L2" s="5" t="s">
        <v>13</v>
      </c>
      <c r="M2" s="5" t="s">
        <v>14</v>
      </c>
      <c r="N2" s="1" t="s">
        <v>15</v>
      </c>
      <c r="O2" s="6" t="s">
        <v>16</v>
      </c>
      <c r="P2" s="1" t="s">
        <v>17</v>
      </c>
      <c r="Q2" s="1" t="s">
        <v>18</v>
      </c>
      <c r="R2" s="1" t="s">
        <v>19</v>
      </c>
      <c r="S2" s="5" t="s">
        <v>20</v>
      </c>
    </row>
    <row r="3" spans="1:19" x14ac:dyDescent="0.2">
      <c r="A3" s="241" t="s">
        <v>21</v>
      </c>
      <c r="B3" s="241">
        <v>2006</v>
      </c>
      <c r="C3" s="241">
        <v>15</v>
      </c>
      <c r="D3" s="318">
        <v>14</v>
      </c>
      <c r="E3" s="241">
        <v>15</v>
      </c>
      <c r="F3" s="241">
        <v>16</v>
      </c>
      <c r="G3" s="319"/>
      <c r="H3" s="319"/>
      <c r="I3" s="319"/>
      <c r="J3" s="319"/>
      <c r="K3" s="319"/>
      <c r="L3" s="319"/>
      <c r="M3" s="319"/>
      <c r="N3" s="319"/>
      <c r="O3" s="320">
        <f t="shared" ref="O3:O9" si="0">SUM(C3:N3)</f>
        <v>60</v>
      </c>
      <c r="P3" s="321">
        <f t="shared" ref="P3:P9" si="1">AVERAGE(C3:N3)</f>
        <v>15</v>
      </c>
      <c r="Q3" s="322">
        <v>60</v>
      </c>
      <c r="R3" s="323">
        <f t="shared" ref="R3:R19" si="2">S3/P3</f>
        <v>0</v>
      </c>
      <c r="S3" s="324">
        <f t="shared" ref="S3:S9" si="3">SUM(Q3-O3)</f>
        <v>0</v>
      </c>
    </row>
    <row r="4" spans="1:19" x14ac:dyDescent="0.2">
      <c r="A4" s="241" t="s">
        <v>22</v>
      </c>
      <c r="B4" s="241">
        <v>2006</v>
      </c>
      <c r="C4" s="318">
        <v>29</v>
      </c>
      <c r="D4" s="241">
        <v>32</v>
      </c>
      <c r="E4" s="241">
        <v>32</v>
      </c>
      <c r="F4" s="241">
        <v>15</v>
      </c>
      <c r="G4" s="241">
        <v>44</v>
      </c>
      <c r="H4" s="241">
        <v>48</v>
      </c>
      <c r="I4" s="241">
        <v>9</v>
      </c>
      <c r="J4" s="241">
        <v>46</v>
      </c>
      <c r="K4" s="241">
        <v>29</v>
      </c>
      <c r="L4" s="241">
        <v>20</v>
      </c>
      <c r="M4" s="241">
        <v>59</v>
      </c>
      <c r="N4" s="241">
        <v>28</v>
      </c>
      <c r="O4" s="320">
        <f t="shared" si="0"/>
        <v>391</v>
      </c>
      <c r="P4" s="321">
        <f t="shared" si="1"/>
        <v>32.583333333333336</v>
      </c>
      <c r="Q4" s="241">
        <v>418</v>
      </c>
      <c r="R4" s="325">
        <f t="shared" si="2"/>
        <v>0.82864450127877232</v>
      </c>
      <c r="S4" s="326">
        <f t="shared" si="3"/>
        <v>27</v>
      </c>
    </row>
    <row r="5" spans="1:19" x14ac:dyDescent="0.2">
      <c r="A5" s="241" t="s">
        <v>23</v>
      </c>
      <c r="B5" s="241">
        <v>2006</v>
      </c>
      <c r="C5" s="241">
        <v>13</v>
      </c>
      <c r="D5" s="241">
        <v>22</v>
      </c>
      <c r="E5" s="241">
        <v>20</v>
      </c>
      <c r="F5" s="241">
        <v>24</v>
      </c>
      <c r="G5" s="241">
        <v>25</v>
      </c>
      <c r="H5" s="319"/>
      <c r="I5" s="319"/>
      <c r="J5" s="319"/>
      <c r="K5" s="319"/>
      <c r="L5" s="319"/>
      <c r="M5" s="319"/>
      <c r="N5" s="319"/>
      <c r="O5" s="320">
        <f t="shared" si="0"/>
        <v>104</v>
      </c>
      <c r="P5" s="321">
        <f t="shared" si="1"/>
        <v>20.8</v>
      </c>
      <c r="Q5" s="241">
        <v>104</v>
      </c>
      <c r="R5" s="323">
        <f t="shared" si="2"/>
        <v>0</v>
      </c>
      <c r="S5" s="324">
        <f t="shared" si="3"/>
        <v>0</v>
      </c>
    </row>
    <row r="6" spans="1:19" x14ac:dyDescent="0.2">
      <c r="A6" s="241" t="s">
        <v>24</v>
      </c>
      <c r="B6" s="241">
        <v>2006</v>
      </c>
      <c r="C6" s="241">
        <v>11</v>
      </c>
      <c r="D6" s="241">
        <v>13</v>
      </c>
      <c r="E6" s="241">
        <v>17</v>
      </c>
      <c r="F6" s="241">
        <v>14</v>
      </c>
      <c r="G6" s="241">
        <v>28</v>
      </c>
      <c r="H6" s="241">
        <v>24</v>
      </c>
      <c r="I6" s="241">
        <v>6</v>
      </c>
      <c r="J6" s="241">
        <v>22</v>
      </c>
      <c r="K6" s="319"/>
      <c r="L6" s="319"/>
      <c r="M6" s="319"/>
      <c r="N6" s="319"/>
      <c r="O6" s="320">
        <f t="shared" si="0"/>
        <v>135</v>
      </c>
      <c r="P6" s="321">
        <f t="shared" si="1"/>
        <v>16.875</v>
      </c>
      <c r="Q6" s="241">
        <v>135</v>
      </c>
      <c r="R6" s="325">
        <f t="shared" si="2"/>
        <v>0</v>
      </c>
      <c r="S6" s="326">
        <f t="shared" si="3"/>
        <v>0</v>
      </c>
    </row>
    <row r="7" spans="1:19" x14ac:dyDescent="0.2">
      <c r="A7" s="241" t="s">
        <v>25</v>
      </c>
      <c r="B7" s="241">
        <v>2006</v>
      </c>
      <c r="C7" s="241">
        <v>22</v>
      </c>
      <c r="D7" s="241">
        <v>25</v>
      </c>
      <c r="E7" s="241">
        <v>27</v>
      </c>
      <c r="F7" s="241">
        <v>33</v>
      </c>
      <c r="G7" s="241">
        <v>48</v>
      </c>
      <c r="H7" s="241">
        <v>31</v>
      </c>
      <c r="I7" s="319"/>
      <c r="J7" s="319"/>
      <c r="K7" s="319"/>
      <c r="L7" s="319"/>
      <c r="M7" s="319"/>
      <c r="N7" s="319"/>
      <c r="O7" s="320">
        <f t="shared" si="0"/>
        <v>186</v>
      </c>
      <c r="P7" s="321">
        <f t="shared" si="1"/>
        <v>31</v>
      </c>
      <c r="Q7" s="241">
        <v>186</v>
      </c>
      <c r="R7" s="323">
        <f t="shared" si="2"/>
        <v>0</v>
      </c>
      <c r="S7" s="324">
        <f t="shared" si="3"/>
        <v>0</v>
      </c>
    </row>
    <row r="8" spans="1:19" x14ac:dyDescent="0.2">
      <c r="A8" s="241" t="s">
        <v>26</v>
      </c>
      <c r="B8" s="241">
        <v>2006</v>
      </c>
      <c r="C8" s="241">
        <v>16</v>
      </c>
      <c r="D8" s="241">
        <v>16</v>
      </c>
      <c r="E8" s="241">
        <v>24</v>
      </c>
      <c r="F8" s="241">
        <v>25</v>
      </c>
      <c r="G8" s="241">
        <v>32</v>
      </c>
      <c r="H8" s="241">
        <v>29</v>
      </c>
      <c r="I8" s="319"/>
      <c r="J8" s="319"/>
      <c r="K8" s="319"/>
      <c r="L8" s="319"/>
      <c r="M8" s="319"/>
      <c r="N8" s="319"/>
      <c r="O8" s="320">
        <f t="shared" si="0"/>
        <v>142</v>
      </c>
      <c r="P8" s="321">
        <f t="shared" si="1"/>
        <v>23.666666666666668</v>
      </c>
      <c r="Q8" s="7">
        <v>142</v>
      </c>
      <c r="R8" s="323">
        <f t="shared" si="2"/>
        <v>0</v>
      </c>
      <c r="S8" s="324">
        <f t="shared" si="3"/>
        <v>0</v>
      </c>
    </row>
    <row r="9" spans="1:19" x14ac:dyDescent="0.2">
      <c r="A9" s="241" t="s">
        <v>27</v>
      </c>
      <c r="B9" s="241">
        <v>2006</v>
      </c>
      <c r="C9" s="241">
        <v>13</v>
      </c>
      <c r="D9" s="241">
        <v>11</v>
      </c>
      <c r="E9" s="241">
        <v>12</v>
      </c>
      <c r="F9" s="241">
        <v>16</v>
      </c>
      <c r="G9" s="319"/>
      <c r="H9" s="319"/>
      <c r="I9" s="319"/>
      <c r="J9" s="319"/>
      <c r="K9" s="319"/>
      <c r="L9" s="319"/>
      <c r="M9" s="319"/>
      <c r="N9" s="319"/>
      <c r="O9" s="320">
        <f t="shared" si="0"/>
        <v>52</v>
      </c>
      <c r="P9" s="321">
        <f t="shared" si="1"/>
        <v>13</v>
      </c>
      <c r="Q9" s="241">
        <v>52</v>
      </c>
      <c r="R9" s="323">
        <f t="shared" si="2"/>
        <v>0</v>
      </c>
      <c r="S9" s="324">
        <f t="shared" si="3"/>
        <v>0</v>
      </c>
    </row>
    <row r="10" spans="1:19" x14ac:dyDescent="0.2">
      <c r="A10" s="241" t="s">
        <v>22</v>
      </c>
      <c r="B10" s="241">
        <v>2007</v>
      </c>
      <c r="C10" s="241">
        <v>7</v>
      </c>
      <c r="D10" s="241">
        <v>13</v>
      </c>
      <c r="E10" s="327"/>
      <c r="F10" s="327"/>
      <c r="G10" s="241">
        <v>7</v>
      </c>
      <c r="H10" s="241">
        <v>11</v>
      </c>
      <c r="I10" s="241">
        <v>16</v>
      </c>
      <c r="J10" s="241">
        <v>4</v>
      </c>
      <c r="K10" s="327"/>
      <c r="L10" s="241">
        <v>2</v>
      </c>
      <c r="M10" s="241">
        <v>6</v>
      </c>
      <c r="N10" s="241">
        <v>0</v>
      </c>
      <c r="O10" s="320">
        <f>SUM(C10:N10)</f>
        <v>66</v>
      </c>
      <c r="P10" s="321">
        <f>AVERAGE(C10:N10)</f>
        <v>7.333333333333333</v>
      </c>
      <c r="Q10" s="241">
        <v>580</v>
      </c>
      <c r="R10" s="325">
        <f t="shared" ref="R10:R18" si="4">S10/P10</f>
        <v>70.090909090909093</v>
      </c>
      <c r="S10" s="326">
        <f>SUM(Q10-O10)</f>
        <v>514</v>
      </c>
    </row>
    <row r="11" spans="1:19" x14ac:dyDescent="0.2">
      <c r="A11" s="241" t="s">
        <v>21</v>
      </c>
      <c r="B11" s="241">
        <v>2007</v>
      </c>
      <c r="C11" s="241">
        <v>18</v>
      </c>
      <c r="D11" s="327"/>
      <c r="E11" s="327"/>
      <c r="F11" s="241">
        <v>11</v>
      </c>
      <c r="G11" s="241">
        <v>32</v>
      </c>
      <c r="H11" s="241">
        <v>40</v>
      </c>
      <c r="I11" s="241">
        <v>11</v>
      </c>
      <c r="J11" s="241">
        <v>31</v>
      </c>
      <c r="K11" s="241">
        <v>32</v>
      </c>
      <c r="L11" s="241">
        <v>34</v>
      </c>
      <c r="M11" s="241">
        <v>44</v>
      </c>
      <c r="N11" s="241">
        <v>0</v>
      </c>
      <c r="O11" s="320">
        <f>SUM(C11:N11)</f>
        <v>253</v>
      </c>
      <c r="P11" s="321">
        <f>AVERAGE(C11:N11)</f>
        <v>25.3</v>
      </c>
      <c r="Q11" s="241">
        <v>277</v>
      </c>
      <c r="R11" s="325">
        <f t="shared" si="4"/>
        <v>0.9486166007905138</v>
      </c>
      <c r="S11" s="326">
        <f>SUM(Q11-O11)</f>
        <v>24</v>
      </c>
    </row>
    <row r="12" spans="1:19" x14ac:dyDescent="0.2">
      <c r="A12" s="241" t="s">
        <v>23</v>
      </c>
      <c r="B12" s="241">
        <v>2007</v>
      </c>
      <c r="C12" s="241">
        <v>5</v>
      </c>
      <c r="D12" s="241">
        <v>17</v>
      </c>
      <c r="E12" s="327"/>
      <c r="F12" s="241">
        <v>15</v>
      </c>
      <c r="G12" s="241">
        <v>22</v>
      </c>
      <c r="H12" s="241">
        <v>43</v>
      </c>
      <c r="I12" s="241">
        <v>14</v>
      </c>
      <c r="J12" s="241">
        <v>11</v>
      </c>
      <c r="K12" s="328"/>
      <c r="L12" s="328"/>
      <c r="M12" s="328"/>
      <c r="N12" s="328"/>
      <c r="O12" s="320">
        <f>SUM(C12:N12)</f>
        <v>127</v>
      </c>
      <c r="P12" s="321">
        <f>AVERAGE(C12:N12)</f>
        <v>18.142857142857142</v>
      </c>
      <c r="Q12" s="329">
        <v>127</v>
      </c>
      <c r="R12" s="323">
        <f t="shared" si="4"/>
        <v>0</v>
      </c>
      <c r="S12" s="324">
        <f>SUM(Q12-O12)</f>
        <v>0</v>
      </c>
    </row>
    <row r="13" spans="1:19" x14ac:dyDescent="0.2">
      <c r="A13" s="241" t="s">
        <v>24</v>
      </c>
      <c r="B13" s="241">
        <v>2007</v>
      </c>
      <c r="C13" s="241">
        <v>4</v>
      </c>
      <c r="D13" s="241">
        <v>9</v>
      </c>
      <c r="E13" s="327"/>
      <c r="F13" s="241">
        <v>14</v>
      </c>
      <c r="G13" s="327"/>
      <c r="H13" s="241">
        <v>10</v>
      </c>
      <c r="I13" s="241">
        <v>8</v>
      </c>
      <c r="J13" s="241">
        <v>3</v>
      </c>
      <c r="K13" s="241">
        <v>30</v>
      </c>
      <c r="L13" s="241">
        <v>27</v>
      </c>
      <c r="M13" s="241">
        <v>36</v>
      </c>
      <c r="N13" s="241">
        <v>40</v>
      </c>
      <c r="O13" s="320">
        <f>SUM(C13:N13)</f>
        <v>181</v>
      </c>
      <c r="P13" s="321">
        <f>AVERAGE(C13:N13)</f>
        <v>18.100000000000001</v>
      </c>
      <c r="Q13" s="329">
        <v>484</v>
      </c>
      <c r="R13" s="325">
        <f t="shared" si="4"/>
        <v>16.740331491712706</v>
      </c>
      <c r="S13" s="326">
        <f>SUM(Q13-O13)</f>
        <v>303</v>
      </c>
    </row>
    <row r="14" spans="1:19" x14ac:dyDescent="0.2">
      <c r="A14" s="241" t="s">
        <v>25</v>
      </c>
      <c r="B14" s="241">
        <v>2007</v>
      </c>
      <c r="C14" s="241">
        <v>13</v>
      </c>
      <c r="D14" s="241">
        <v>18</v>
      </c>
      <c r="E14" s="241">
        <v>21</v>
      </c>
      <c r="F14" s="241">
        <v>8</v>
      </c>
      <c r="G14" s="241">
        <v>25</v>
      </c>
      <c r="H14" s="241">
        <v>50</v>
      </c>
      <c r="I14" s="241">
        <v>38</v>
      </c>
      <c r="J14" s="241">
        <v>61</v>
      </c>
      <c r="K14" s="241">
        <v>58</v>
      </c>
      <c r="L14" s="241">
        <v>43</v>
      </c>
      <c r="M14" s="241">
        <v>28</v>
      </c>
      <c r="N14" s="319"/>
      <c r="O14" s="320">
        <f t="shared" ref="O14:O19" si="5">SUM(C14:N14)</f>
        <v>363</v>
      </c>
      <c r="P14" s="321">
        <f t="shared" ref="P14:P19" si="6">AVERAGE(C14:N14)</f>
        <v>33</v>
      </c>
      <c r="Q14" s="329">
        <v>363</v>
      </c>
      <c r="R14" s="323">
        <f t="shared" si="4"/>
        <v>0</v>
      </c>
      <c r="S14" s="324">
        <f t="shared" ref="S14:S19" si="7">SUM(Q14-O14)</f>
        <v>0</v>
      </c>
    </row>
    <row r="15" spans="1:19" x14ac:dyDescent="0.2">
      <c r="A15" s="241" t="s">
        <v>28</v>
      </c>
      <c r="B15" s="241">
        <v>2007</v>
      </c>
      <c r="C15" s="241">
        <v>11</v>
      </c>
      <c r="D15" s="241">
        <v>19</v>
      </c>
      <c r="E15" s="241">
        <v>19</v>
      </c>
      <c r="F15" s="241">
        <v>24</v>
      </c>
      <c r="G15" s="241">
        <v>12</v>
      </c>
      <c r="H15" s="319"/>
      <c r="I15" s="319"/>
      <c r="J15" s="319"/>
      <c r="K15" s="319"/>
      <c r="L15" s="319"/>
      <c r="M15" s="319"/>
      <c r="N15" s="319"/>
      <c r="O15" s="320">
        <f t="shared" si="5"/>
        <v>85</v>
      </c>
      <c r="P15" s="321">
        <f t="shared" si="6"/>
        <v>17</v>
      </c>
      <c r="Q15" s="329">
        <v>85</v>
      </c>
      <c r="R15" s="323">
        <f t="shared" si="4"/>
        <v>0</v>
      </c>
      <c r="S15" s="324">
        <f t="shared" si="7"/>
        <v>0</v>
      </c>
    </row>
    <row r="16" spans="1:19" x14ac:dyDescent="0.2">
      <c r="A16" s="241" t="s">
        <v>29</v>
      </c>
      <c r="B16" s="241">
        <v>2007</v>
      </c>
      <c r="C16" s="241">
        <v>6</v>
      </c>
      <c r="D16" s="241">
        <v>17</v>
      </c>
      <c r="E16" s="241">
        <v>13</v>
      </c>
      <c r="F16" s="241">
        <v>15</v>
      </c>
      <c r="G16" s="241">
        <v>10</v>
      </c>
      <c r="H16" s="319"/>
      <c r="I16" s="319"/>
      <c r="J16" s="319"/>
      <c r="K16" s="319"/>
      <c r="L16" s="319"/>
      <c r="M16" s="319"/>
      <c r="N16" s="319"/>
      <c r="O16" s="320">
        <f t="shared" si="5"/>
        <v>61</v>
      </c>
      <c r="P16" s="321">
        <f t="shared" si="6"/>
        <v>12.2</v>
      </c>
      <c r="Q16" s="329">
        <v>61</v>
      </c>
      <c r="R16" s="323">
        <f t="shared" si="4"/>
        <v>0</v>
      </c>
      <c r="S16" s="324">
        <f t="shared" si="7"/>
        <v>0</v>
      </c>
    </row>
    <row r="17" spans="1:19" x14ac:dyDescent="0.2">
      <c r="A17" s="241" t="s">
        <v>26</v>
      </c>
      <c r="B17" s="241">
        <v>2007</v>
      </c>
      <c r="C17" s="241">
        <v>3</v>
      </c>
      <c r="D17" s="241">
        <v>2</v>
      </c>
      <c r="E17" s="327"/>
      <c r="F17" s="327"/>
      <c r="G17" s="327"/>
      <c r="H17" s="241">
        <v>24</v>
      </c>
      <c r="I17" s="241">
        <v>21</v>
      </c>
      <c r="J17" s="241">
        <v>33</v>
      </c>
      <c r="K17" s="241">
        <v>27</v>
      </c>
      <c r="L17" s="319"/>
      <c r="M17" s="319"/>
      <c r="N17" s="319"/>
      <c r="O17" s="320">
        <f t="shared" si="5"/>
        <v>110</v>
      </c>
      <c r="P17" s="321">
        <f t="shared" si="6"/>
        <v>18.333333333333332</v>
      </c>
      <c r="Q17" s="329">
        <v>110</v>
      </c>
      <c r="R17" s="323">
        <f t="shared" si="4"/>
        <v>0</v>
      </c>
      <c r="S17" s="324">
        <f t="shared" si="7"/>
        <v>0</v>
      </c>
    </row>
    <row r="18" spans="1:19" x14ac:dyDescent="0.2">
      <c r="A18" s="241" t="s">
        <v>27</v>
      </c>
      <c r="B18" s="241">
        <v>2007</v>
      </c>
      <c r="C18" s="241">
        <v>3</v>
      </c>
      <c r="D18" s="241">
        <v>8</v>
      </c>
      <c r="E18" s="327"/>
      <c r="F18" s="241">
        <v>16</v>
      </c>
      <c r="G18" s="241">
        <v>24</v>
      </c>
      <c r="H18" s="241">
        <v>38</v>
      </c>
      <c r="I18" s="241">
        <v>13</v>
      </c>
      <c r="J18" s="241">
        <v>35</v>
      </c>
      <c r="K18" s="241">
        <v>24</v>
      </c>
      <c r="L18" s="241">
        <v>23</v>
      </c>
      <c r="M18" s="241">
        <v>79</v>
      </c>
      <c r="N18" s="241">
        <v>0</v>
      </c>
      <c r="O18" s="320">
        <f t="shared" si="5"/>
        <v>263</v>
      </c>
      <c r="P18" s="321">
        <f t="shared" si="6"/>
        <v>23.90909090909091</v>
      </c>
      <c r="Q18" s="329">
        <v>319</v>
      </c>
      <c r="R18" s="325">
        <f t="shared" si="4"/>
        <v>2.3422053231939164</v>
      </c>
      <c r="S18" s="326">
        <f t="shared" si="7"/>
        <v>56</v>
      </c>
    </row>
    <row r="19" spans="1:19" x14ac:dyDescent="0.2">
      <c r="A19" s="241" t="s">
        <v>30</v>
      </c>
      <c r="B19" s="241">
        <v>2007</v>
      </c>
      <c r="C19" s="241">
        <v>24</v>
      </c>
      <c r="D19" s="241">
        <v>11</v>
      </c>
      <c r="E19" s="318">
        <v>18</v>
      </c>
      <c r="F19" s="318">
        <v>33</v>
      </c>
      <c r="G19" s="330"/>
      <c r="H19" s="330"/>
      <c r="I19" s="330"/>
      <c r="J19" s="330"/>
      <c r="K19" s="330"/>
      <c r="L19" s="330"/>
      <c r="M19" s="330"/>
      <c r="N19" s="319"/>
      <c r="O19" s="320">
        <f t="shared" si="5"/>
        <v>86</v>
      </c>
      <c r="P19" s="321">
        <f t="shared" si="6"/>
        <v>21.5</v>
      </c>
      <c r="Q19" s="329">
        <v>86</v>
      </c>
      <c r="R19" s="323">
        <f t="shared" si="2"/>
        <v>0</v>
      </c>
      <c r="S19" s="324">
        <f t="shared" si="7"/>
        <v>0</v>
      </c>
    </row>
    <row r="20" spans="1:19" x14ac:dyDescent="0.2">
      <c r="A20" s="241" t="s">
        <v>31</v>
      </c>
      <c r="B20" s="364">
        <v>2007</v>
      </c>
      <c r="C20" s="364">
        <v>29</v>
      </c>
      <c r="D20" s="364">
        <v>48</v>
      </c>
      <c r="E20" s="364">
        <v>38</v>
      </c>
      <c r="F20" s="364">
        <v>16</v>
      </c>
      <c r="G20" s="370"/>
      <c r="H20" s="370"/>
      <c r="I20" s="370"/>
      <c r="J20" s="370"/>
      <c r="K20" s="370"/>
      <c r="L20" s="370"/>
      <c r="M20" s="370"/>
      <c r="N20" s="370"/>
      <c r="O20" s="371">
        <f>SUM(C20:N20)</f>
        <v>131</v>
      </c>
      <c r="P20" s="372">
        <f>AVERAGE(C20:N20)</f>
        <v>32.75</v>
      </c>
      <c r="Q20" s="373">
        <v>131</v>
      </c>
      <c r="R20" s="374">
        <f t="shared" ref="R20:R33" si="8">S20/P20</f>
        <v>0</v>
      </c>
      <c r="S20" s="375">
        <f t="shared" ref="S20:S34" si="9">SUM(Q20-O20)</f>
        <v>0</v>
      </c>
    </row>
    <row r="21" spans="1:19" x14ac:dyDescent="0.2">
      <c r="A21" s="241" t="s">
        <v>22</v>
      </c>
      <c r="B21" s="364">
        <v>2008</v>
      </c>
      <c r="C21" s="376"/>
      <c r="D21" s="376"/>
      <c r="E21" s="376"/>
      <c r="F21" s="376"/>
      <c r="G21" s="376"/>
      <c r="H21" s="376"/>
      <c r="I21" s="376"/>
      <c r="J21" s="376"/>
      <c r="K21" s="376"/>
      <c r="L21" s="376"/>
      <c r="M21" s="376"/>
      <c r="N21" s="364">
        <v>0</v>
      </c>
      <c r="O21" s="371">
        <f>SUM(C21:N21)</f>
        <v>0</v>
      </c>
      <c r="P21" s="372">
        <f>AVERAGE(C21:N21)</f>
        <v>0</v>
      </c>
      <c r="Q21" s="364">
        <v>827</v>
      </c>
      <c r="R21" s="377" t="e">
        <f t="shared" si="8"/>
        <v>#DIV/0!</v>
      </c>
      <c r="S21" s="378">
        <f t="shared" si="9"/>
        <v>827</v>
      </c>
    </row>
    <row r="22" spans="1:19" x14ac:dyDescent="0.2">
      <c r="A22" s="241" t="s">
        <v>21</v>
      </c>
      <c r="B22" s="364">
        <v>2008</v>
      </c>
      <c r="C22" s="376"/>
      <c r="D22" s="376"/>
      <c r="E22" s="376"/>
      <c r="F22" s="376"/>
      <c r="G22" s="376"/>
      <c r="H22" s="376"/>
      <c r="I22" s="376"/>
      <c r="J22" s="376"/>
      <c r="K22" s="376"/>
      <c r="L22" s="376"/>
      <c r="M22" s="376"/>
      <c r="N22" s="364">
        <v>0</v>
      </c>
      <c r="O22" s="371">
        <f>SUM(C22:N22)</f>
        <v>0</v>
      </c>
      <c r="P22" s="372">
        <f>AVERAGE(C22:N22)</f>
        <v>0</v>
      </c>
      <c r="Q22" s="364">
        <v>342</v>
      </c>
      <c r="R22" s="377" t="e">
        <f t="shared" si="8"/>
        <v>#DIV/0!</v>
      </c>
      <c r="S22" s="378">
        <f t="shared" si="9"/>
        <v>342</v>
      </c>
    </row>
    <row r="23" spans="1:19" x14ac:dyDescent="0.2">
      <c r="A23" s="241" t="s">
        <v>23</v>
      </c>
      <c r="B23" s="364">
        <v>2008</v>
      </c>
      <c r="C23" s="376"/>
      <c r="D23" s="376"/>
      <c r="E23" s="376"/>
      <c r="F23" s="376"/>
      <c r="G23" s="376"/>
      <c r="H23" s="376"/>
      <c r="I23" s="364">
        <v>5</v>
      </c>
      <c r="J23" s="364">
        <v>30</v>
      </c>
      <c r="K23" s="364">
        <v>30</v>
      </c>
      <c r="L23" s="364">
        <v>37</v>
      </c>
      <c r="M23" s="364">
        <v>52</v>
      </c>
      <c r="N23" s="364">
        <v>21</v>
      </c>
      <c r="O23" s="371">
        <f t="shared" ref="O23:O33" si="10">SUM(C23:N23)</f>
        <v>175</v>
      </c>
      <c r="P23" s="372">
        <f t="shared" ref="P23:P33" si="11">AVERAGE(C23:N23)</f>
        <v>29.166666666666668</v>
      </c>
      <c r="Q23" s="373">
        <v>524</v>
      </c>
      <c r="R23" s="377">
        <f t="shared" si="8"/>
        <v>11.965714285714284</v>
      </c>
      <c r="S23" s="378">
        <f t="shared" si="9"/>
        <v>349</v>
      </c>
    </row>
    <row r="24" spans="1:19" x14ac:dyDescent="0.2">
      <c r="A24" s="241" t="s">
        <v>24</v>
      </c>
      <c r="B24" s="364">
        <v>2008</v>
      </c>
      <c r="C24" s="376"/>
      <c r="D24" s="376"/>
      <c r="E24" s="376"/>
      <c r="F24" s="376"/>
      <c r="G24" s="376"/>
      <c r="H24" s="376"/>
      <c r="I24" s="376"/>
      <c r="J24" s="376"/>
      <c r="K24" s="376"/>
      <c r="L24" s="376"/>
      <c r="M24" s="376"/>
      <c r="N24" s="364">
        <v>0</v>
      </c>
      <c r="O24" s="371">
        <f>SUM(C24:N24)</f>
        <v>0</v>
      </c>
      <c r="P24" s="372">
        <f>AVERAGE(C24:N24)</f>
        <v>0</v>
      </c>
      <c r="Q24" s="373">
        <v>230</v>
      </c>
      <c r="R24" s="377" t="e">
        <f t="shared" si="8"/>
        <v>#DIV/0!</v>
      </c>
      <c r="S24" s="378">
        <f t="shared" si="9"/>
        <v>230</v>
      </c>
    </row>
    <row r="25" spans="1:19" x14ac:dyDescent="0.2">
      <c r="A25" s="241" t="s">
        <v>25</v>
      </c>
      <c r="B25" s="364">
        <v>2008</v>
      </c>
      <c r="C25" s="376"/>
      <c r="D25" s="376"/>
      <c r="E25" s="376"/>
      <c r="F25" s="376"/>
      <c r="G25" s="376"/>
      <c r="H25" s="364">
        <v>48</v>
      </c>
      <c r="I25" s="376"/>
      <c r="J25" s="376"/>
      <c r="K25" s="376"/>
      <c r="L25" s="379"/>
      <c r="M25" s="364">
        <v>50</v>
      </c>
      <c r="N25" s="364">
        <v>48</v>
      </c>
      <c r="O25" s="371">
        <f t="shared" si="10"/>
        <v>146</v>
      </c>
      <c r="P25" s="372">
        <f t="shared" si="11"/>
        <v>48.666666666666664</v>
      </c>
      <c r="Q25" s="373">
        <v>700</v>
      </c>
      <c r="R25" s="380">
        <f t="shared" si="8"/>
        <v>11.383561643835616</v>
      </c>
      <c r="S25" s="378">
        <f t="shared" si="9"/>
        <v>554</v>
      </c>
    </row>
    <row r="26" spans="1:19" x14ac:dyDescent="0.2">
      <c r="A26" s="241" t="s">
        <v>28</v>
      </c>
      <c r="B26" s="364">
        <v>2008</v>
      </c>
      <c r="C26" s="376"/>
      <c r="D26" s="376"/>
      <c r="E26" s="376"/>
      <c r="F26" s="376"/>
      <c r="G26" s="376"/>
      <c r="H26" s="364">
        <v>32</v>
      </c>
      <c r="I26" s="364">
        <v>33</v>
      </c>
      <c r="J26" s="364">
        <v>24</v>
      </c>
      <c r="K26" s="364">
        <v>23</v>
      </c>
      <c r="L26" s="364">
        <v>22</v>
      </c>
      <c r="M26" s="364">
        <v>27</v>
      </c>
      <c r="N26" s="364">
        <v>16</v>
      </c>
      <c r="O26" s="371">
        <f t="shared" si="10"/>
        <v>177</v>
      </c>
      <c r="P26" s="372">
        <f t="shared" si="11"/>
        <v>25.285714285714285</v>
      </c>
      <c r="Q26" s="373">
        <v>350</v>
      </c>
      <c r="R26" s="377">
        <f t="shared" si="8"/>
        <v>6.8418079096045199</v>
      </c>
      <c r="S26" s="378">
        <f t="shared" si="9"/>
        <v>173</v>
      </c>
    </row>
    <row r="27" spans="1:19" x14ac:dyDescent="0.2">
      <c r="A27" s="241" t="s">
        <v>29</v>
      </c>
      <c r="B27" s="364">
        <v>2008</v>
      </c>
      <c r="C27" s="376"/>
      <c r="D27" s="376"/>
      <c r="E27" s="376"/>
      <c r="F27" s="376"/>
      <c r="G27" s="376"/>
      <c r="H27" s="376"/>
      <c r="I27" s="376"/>
      <c r="J27" s="376"/>
      <c r="K27" s="376"/>
      <c r="L27" s="364">
        <v>45</v>
      </c>
      <c r="M27" s="364">
        <v>16</v>
      </c>
      <c r="N27" s="364">
        <v>17</v>
      </c>
      <c r="O27" s="371">
        <f>SUM(C27:N27)</f>
        <v>78</v>
      </c>
      <c r="P27" s="372">
        <f>AVERAGE(C27:N27)</f>
        <v>26</v>
      </c>
      <c r="Q27" s="373">
        <v>154</v>
      </c>
      <c r="R27" s="377">
        <f t="shared" si="8"/>
        <v>2.9230769230769229</v>
      </c>
      <c r="S27" s="378">
        <f t="shared" si="9"/>
        <v>76</v>
      </c>
    </row>
    <row r="28" spans="1:19" x14ac:dyDescent="0.2">
      <c r="A28" s="241" t="s">
        <v>26</v>
      </c>
      <c r="B28" s="364">
        <v>2008</v>
      </c>
      <c r="C28" s="376"/>
      <c r="D28" s="376"/>
      <c r="E28" s="376"/>
      <c r="F28" s="376"/>
      <c r="G28" s="376"/>
      <c r="H28" s="376"/>
      <c r="I28" s="376"/>
      <c r="J28" s="364">
        <v>7</v>
      </c>
      <c r="K28" s="364">
        <v>10</v>
      </c>
      <c r="L28" s="364">
        <v>30</v>
      </c>
      <c r="M28" s="364">
        <v>46</v>
      </c>
      <c r="N28" s="364">
        <v>17</v>
      </c>
      <c r="O28" s="371">
        <f t="shared" si="10"/>
        <v>110</v>
      </c>
      <c r="P28" s="372">
        <f t="shared" si="11"/>
        <v>22</v>
      </c>
      <c r="Q28" s="373">
        <v>372</v>
      </c>
      <c r="R28" s="377">
        <f t="shared" si="8"/>
        <v>11.909090909090908</v>
      </c>
      <c r="S28" s="378">
        <f t="shared" si="9"/>
        <v>262</v>
      </c>
    </row>
    <row r="29" spans="1:19" x14ac:dyDescent="0.2">
      <c r="A29" s="241" t="s">
        <v>27</v>
      </c>
      <c r="B29" s="364">
        <v>2008</v>
      </c>
      <c r="C29" s="376"/>
      <c r="D29" s="376"/>
      <c r="E29" s="376"/>
      <c r="F29" s="376"/>
      <c r="G29" s="376"/>
      <c r="H29" s="376"/>
      <c r="I29" s="376"/>
      <c r="J29" s="376"/>
      <c r="K29" s="364">
        <v>4</v>
      </c>
      <c r="L29" s="364">
        <v>8</v>
      </c>
      <c r="M29" s="364">
        <v>2</v>
      </c>
      <c r="N29" s="364">
        <v>0</v>
      </c>
      <c r="O29" s="371">
        <f>SUM(C29:N29)</f>
        <v>14</v>
      </c>
      <c r="P29" s="372">
        <f>AVERAGE(C29:N29)</f>
        <v>3.5</v>
      </c>
      <c r="Q29" s="373">
        <v>247</v>
      </c>
      <c r="R29" s="377">
        <f>S29/P29</f>
        <v>66.571428571428569</v>
      </c>
      <c r="S29" s="378">
        <f t="shared" si="9"/>
        <v>233</v>
      </c>
    </row>
    <row r="30" spans="1:19" x14ac:dyDescent="0.2">
      <c r="A30" s="241" t="s">
        <v>32</v>
      </c>
      <c r="B30" s="364">
        <v>2008</v>
      </c>
      <c r="C30" s="376"/>
      <c r="D30" s="376"/>
      <c r="E30" s="376"/>
      <c r="F30" s="376"/>
      <c r="G30" s="376"/>
      <c r="H30" s="364">
        <v>20</v>
      </c>
      <c r="I30" s="364">
        <v>2</v>
      </c>
      <c r="J30" s="364">
        <v>10</v>
      </c>
      <c r="K30" s="364">
        <v>7</v>
      </c>
      <c r="L30" s="364">
        <v>9</v>
      </c>
      <c r="M30" s="364">
        <v>7</v>
      </c>
      <c r="N30" s="364">
        <v>4</v>
      </c>
      <c r="O30" s="371">
        <f t="shared" si="10"/>
        <v>59</v>
      </c>
      <c r="P30" s="372">
        <f t="shared" si="11"/>
        <v>8.4285714285714288</v>
      </c>
      <c r="Q30" s="373">
        <v>180</v>
      </c>
      <c r="R30" s="377">
        <f t="shared" si="8"/>
        <v>14.35593220338983</v>
      </c>
      <c r="S30" s="378">
        <f t="shared" si="9"/>
        <v>121</v>
      </c>
    </row>
    <row r="31" spans="1:19" x14ac:dyDescent="0.2">
      <c r="A31" s="241" t="s">
        <v>33</v>
      </c>
      <c r="B31" s="364">
        <v>2008</v>
      </c>
      <c r="C31" s="376"/>
      <c r="D31" s="376"/>
      <c r="E31" s="381">
        <v>101</v>
      </c>
      <c r="F31" s="381">
        <v>42</v>
      </c>
      <c r="G31" s="381">
        <v>53</v>
      </c>
      <c r="H31" s="381">
        <v>57</v>
      </c>
      <c r="I31" s="381">
        <v>38</v>
      </c>
      <c r="J31" s="381">
        <v>21</v>
      </c>
      <c r="K31" s="381">
        <v>36</v>
      </c>
      <c r="L31" s="381">
        <v>34</v>
      </c>
      <c r="M31" s="381">
        <v>38</v>
      </c>
      <c r="N31" s="364">
        <v>24</v>
      </c>
      <c r="O31" s="371">
        <f t="shared" si="10"/>
        <v>444</v>
      </c>
      <c r="P31" s="372">
        <f t="shared" si="11"/>
        <v>44.4</v>
      </c>
      <c r="Q31" s="373">
        <v>515</v>
      </c>
      <c r="R31" s="377">
        <f t="shared" si="8"/>
        <v>1.5990990990990992</v>
      </c>
      <c r="S31" s="378">
        <f t="shared" si="9"/>
        <v>71</v>
      </c>
    </row>
    <row r="32" spans="1:19" x14ac:dyDescent="0.2">
      <c r="A32" s="241" t="s">
        <v>30</v>
      </c>
      <c r="B32" s="364">
        <v>2008</v>
      </c>
      <c r="C32" s="376"/>
      <c r="D32" s="376"/>
      <c r="E32" s="381">
        <v>8</v>
      </c>
      <c r="F32" s="382"/>
      <c r="G32" s="381">
        <v>41</v>
      </c>
      <c r="H32" s="381">
        <v>25</v>
      </c>
      <c r="I32" s="381">
        <v>24</v>
      </c>
      <c r="J32" s="381">
        <v>29</v>
      </c>
      <c r="K32" s="381">
        <v>24</v>
      </c>
      <c r="L32" s="381">
        <v>182</v>
      </c>
      <c r="M32" s="381">
        <v>25</v>
      </c>
      <c r="N32" s="364">
        <v>16</v>
      </c>
      <c r="O32" s="371">
        <f t="shared" si="10"/>
        <v>374</v>
      </c>
      <c r="P32" s="372">
        <f t="shared" si="11"/>
        <v>41.555555555555557</v>
      </c>
      <c r="Q32" s="373">
        <v>449</v>
      </c>
      <c r="R32" s="377">
        <f t="shared" si="8"/>
        <v>1.8048128342245988</v>
      </c>
      <c r="S32" s="378">
        <f t="shared" si="9"/>
        <v>75</v>
      </c>
    </row>
    <row r="33" spans="1:19" x14ac:dyDescent="0.2">
      <c r="A33" s="241" t="s">
        <v>34</v>
      </c>
      <c r="B33" s="364">
        <v>2008</v>
      </c>
      <c r="C33" s="376"/>
      <c r="D33" s="376"/>
      <c r="E33" s="382"/>
      <c r="F33" s="382"/>
      <c r="G33" s="382"/>
      <c r="H33" s="381">
        <v>75</v>
      </c>
      <c r="I33" s="381">
        <v>10</v>
      </c>
      <c r="J33" s="381">
        <v>26</v>
      </c>
      <c r="K33" s="381">
        <v>28</v>
      </c>
      <c r="L33" s="381">
        <v>19</v>
      </c>
      <c r="M33" s="381">
        <v>36</v>
      </c>
      <c r="N33" s="364">
        <v>16</v>
      </c>
      <c r="O33" s="371">
        <f t="shared" si="10"/>
        <v>210</v>
      </c>
      <c r="P33" s="372">
        <f t="shared" si="11"/>
        <v>30</v>
      </c>
      <c r="Q33" s="373">
        <v>340</v>
      </c>
      <c r="R33" s="377">
        <f t="shared" si="8"/>
        <v>4.333333333333333</v>
      </c>
      <c r="S33" s="378">
        <f t="shared" si="9"/>
        <v>130</v>
      </c>
    </row>
    <row r="34" spans="1:19" x14ac:dyDescent="0.2">
      <c r="A34" s="241" t="s">
        <v>31</v>
      </c>
      <c r="B34" s="364">
        <v>2008</v>
      </c>
      <c r="C34" s="376"/>
      <c r="D34" s="376"/>
      <c r="E34" s="382"/>
      <c r="F34" s="382"/>
      <c r="G34" s="381">
        <v>69</v>
      </c>
      <c r="H34" s="381">
        <v>64</v>
      </c>
      <c r="I34" s="381">
        <v>17</v>
      </c>
      <c r="J34" s="381">
        <v>52</v>
      </c>
      <c r="K34" s="381">
        <v>53</v>
      </c>
      <c r="L34" s="381">
        <v>45</v>
      </c>
      <c r="M34" s="381">
        <v>52</v>
      </c>
      <c r="N34" s="364">
        <v>29</v>
      </c>
      <c r="O34" s="371">
        <f>SUM(C34:N34)</f>
        <v>381</v>
      </c>
      <c r="P34" s="372">
        <f>AVERAGE(C34:N34)</f>
        <v>47.625</v>
      </c>
      <c r="Q34" s="373">
        <v>653</v>
      </c>
      <c r="R34" s="377">
        <f>S34/P34</f>
        <v>5.7112860892388451</v>
      </c>
      <c r="S34" s="378">
        <f t="shared" si="9"/>
        <v>272</v>
      </c>
    </row>
    <row r="35" spans="1:19" x14ac:dyDescent="0.2">
      <c r="A35" s="331"/>
      <c r="B35" s="332"/>
      <c r="C35" s="332"/>
      <c r="D35" s="332"/>
      <c r="E35" s="332"/>
      <c r="F35" s="332"/>
      <c r="G35" s="332"/>
      <c r="H35" s="332"/>
      <c r="I35" s="332"/>
      <c r="J35" s="332"/>
      <c r="K35" s="332"/>
      <c r="L35" s="332"/>
      <c r="M35" s="332"/>
      <c r="N35" s="332"/>
      <c r="O35" s="332"/>
      <c r="P35" s="333"/>
      <c r="Q35" s="332"/>
      <c r="R35" s="334" t="s">
        <v>35</v>
      </c>
      <c r="S35" s="335"/>
    </row>
    <row r="36" spans="1:19" x14ac:dyDescent="0.2">
      <c r="A36" s="241" t="s">
        <v>16</v>
      </c>
      <c r="B36" s="241">
        <v>2006</v>
      </c>
      <c r="C36" s="241">
        <f>SUM(C3:C34)</f>
        <v>242</v>
      </c>
      <c r="D36" s="241">
        <f>SUM(D3:D10)</f>
        <v>146</v>
      </c>
      <c r="E36" s="241">
        <f>SUM(E3:E9)</f>
        <v>147</v>
      </c>
      <c r="F36" s="241">
        <f>SUM(F3:F16)</f>
        <v>230</v>
      </c>
      <c r="G36" s="241">
        <f>SUM(G3:G12)</f>
        <v>238</v>
      </c>
      <c r="H36" s="241">
        <f>SUM(H3:H14)</f>
        <v>286</v>
      </c>
      <c r="I36" s="241">
        <f t="shared" ref="I36:N36" si="12">SUM(I3:I9)</f>
        <v>15</v>
      </c>
      <c r="J36" s="241">
        <f t="shared" si="12"/>
        <v>68</v>
      </c>
      <c r="K36" s="241">
        <f t="shared" si="12"/>
        <v>29</v>
      </c>
      <c r="L36" s="241">
        <f t="shared" si="12"/>
        <v>20</v>
      </c>
      <c r="M36" s="241">
        <f t="shared" si="12"/>
        <v>59</v>
      </c>
      <c r="N36" s="241">
        <f t="shared" si="12"/>
        <v>28</v>
      </c>
      <c r="O36" s="320">
        <f>SUM(C36:N36)</f>
        <v>1508</v>
      </c>
      <c r="P36" s="321">
        <f>O36/4</f>
        <v>377</v>
      </c>
      <c r="Q36" s="241">
        <f>SUM(Q3:Q9)</f>
        <v>1097</v>
      </c>
      <c r="R36" s="325">
        <f>Q36/P36</f>
        <v>2.909814323607427</v>
      </c>
      <c r="S36" s="241"/>
    </row>
    <row r="37" spans="1:19" x14ac:dyDescent="0.2">
      <c r="A37" s="364"/>
      <c r="B37" s="364">
        <v>2007</v>
      </c>
      <c r="C37" s="364">
        <f>SUM(C10:C20)</f>
        <v>123</v>
      </c>
      <c r="D37" s="364">
        <f t="shared" ref="D37:N37" si="13">SUM(D10:D20)</f>
        <v>162</v>
      </c>
      <c r="E37" s="364">
        <f t="shared" si="13"/>
        <v>109</v>
      </c>
      <c r="F37" s="364">
        <f t="shared" si="13"/>
        <v>152</v>
      </c>
      <c r="G37" s="364">
        <f t="shared" si="13"/>
        <v>132</v>
      </c>
      <c r="H37" s="364">
        <f t="shared" si="13"/>
        <v>216</v>
      </c>
      <c r="I37" s="364">
        <f t="shared" si="13"/>
        <v>121</v>
      </c>
      <c r="J37" s="364">
        <f t="shared" si="13"/>
        <v>178</v>
      </c>
      <c r="K37" s="364">
        <f t="shared" si="13"/>
        <v>171</v>
      </c>
      <c r="L37" s="364">
        <f t="shared" si="13"/>
        <v>129</v>
      </c>
      <c r="M37" s="364">
        <f t="shared" si="13"/>
        <v>193</v>
      </c>
      <c r="N37" s="364">
        <f t="shared" si="13"/>
        <v>40</v>
      </c>
      <c r="O37" s="371">
        <f>SUM(C37:N37)</f>
        <v>1726</v>
      </c>
      <c r="P37" s="372">
        <f>O37/4</f>
        <v>431.5</v>
      </c>
      <c r="Q37" s="364">
        <f>SUM(Q12:Q34)</f>
        <v>7649</v>
      </c>
      <c r="R37" s="377">
        <f>Q37/P37</f>
        <v>17.726535341830822</v>
      </c>
      <c r="S37" s="364"/>
    </row>
    <row r="38" spans="1:19" x14ac:dyDescent="0.2">
      <c r="A38" s="241"/>
      <c r="B38" s="241">
        <v>2008</v>
      </c>
      <c r="C38" s="364">
        <f>SUM(C31:C34)</f>
        <v>0</v>
      </c>
      <c r="D38" s="364">
        <f t="shared" ref="D38:N38" si="14">SUM(D31:D34)</f>
        <v>0</v>
      </c>
      <c r="E38" s="364">
        <f t="shared" si="14"/>
        <v>109</v>
      </c>
      <c r="F38" s="364">
        <f t="shared" si="14"/>
        <v>42</v>
      </c>
      <c r="G38" s="364">
        <f t="shared" si="14"/>
        <v>163</v>
      </c>
      <c r="H38" s="364">
        <f t="shared" si="14"/>
        <v>221</v>
      </c>
      <c r="I38" s="364">
        <f t="shared" si="14"/>
        <v>89</v>
      </c>
      <c r="J38" s="364">
        <f t="shared" si="14"/>
        <v>128</v>
      </c>
      <c r="K38" s="364">
        <f t="shared" si="14"/>
        <v>141</v>
      </c>
      <c r="L38" s="364">
        <f t="shared" si="14"/>
        <v>280</v>
      </c>
      <c r="M38" s="364">
        <f t="shared" si="14"/>
        <v>151</v>
      </c>
      <c r="N38" s="364">
        <f t="shared" si="14"/>
        <v>85</v>
      </c>
      <c r="O38" s="371">
        <f>SUM(C38:N38)</f>
        <v>1409</v>
      </c>
      <c r="P38" s="372">
        <f>O38/4</f>
        <v>352.25</v>
      </c>
      <c r="Q38" s="364">
        <f>SUM(Q31:Q34)</f>
        <v>1957</v>
      </c>
      <c r="R38" s="377">
        <f>Q38/P38</f>
        <v>5.555713271823989</v>
      </c>
      <c r="S38" s="241"/>
    </row>
    <row r="39" spans="1:19" x14ac:dyDescent="0.2">
      <c r="A39" s="332"/>
      <c r="B39" s="332"/>
      <c r="C39" s="332"/>
      <c r="D39" s="332"/>
      <c r="E39" s="332"/>
      <c r="F39" s="332"/>
      <c r="G39" s="332"/>
      <c r="H39" s="332"/>
      <c r="I39" s="332"/>
      <c r="J39" s="332"/>
      <c r="K39" s="332"/>
      <c r="L39" s="332"/>
      <c r="M39" s="332"/>
      <c r="N39" s="332"/>
      <c r="O39" s="332"/>
      <c r="P39" s="333"/>
      <c r="Q39" s="332"/>
      <c r="R39" s="334"/>
      <c r="S39" s="332"/>
    </row>
    <row r="40" spans="1:19" x14ac:dyDescent="0.2">
      <c r="A40" s="9" t="s">
        <v>36</v>
      </c>
      <c r="B40" s="9"/>
      <c r="C40" s="9">
        <f>SUM(C3:C6,C8:C13, C16:C18)</f>
        <v>143</v>
      </c>
      <c r="D40" s="9">
        <f t="shared" ref="D40:N40" si="15">SUM(D3:D6,D8:D13, D16:D18)</f>
        <v>174</v>
      </c>
      <c r="E40" s="9">
        <f t="shared" si="15"/>
        <v>133</v>
      </c>
      <c r="F40" s="9">
        <f t="shared" si="15"/>
        <v>181</v>
      </c>
      <c r="G40" s="9">
        <f t="shared" si="15"/>
        <v>224</v>
      </c>
      <c r="H40" s="9">
        <f t="shared" si="15"/>
        <v>267</v>
      </c>
      <c r="I40" s="9">
        <f t="shared" si="15"/>
        <v>98</v>
      </c>
      <c r="J40" s="9">
        <f t="shared" si="15"/>
        <v>185</v>
      </c>
      <c r="K40" s="9">
        <f t="shared" si="15"/>
        <v>142</v>
      </c>
      <c r="L40" s="9">
        <f t="shared" si="15"/>
        <v>106</v>
      </c>
      <c r="M40" s="9">
        <f t="shared" si="15"/>
        <v>224</v>
      </c>
      <c r="N40" s="9">
        <f t="shared" si="15"/>
        <v>68</v>
      </c>
      <c r="O40" s="10">
        <f>SUM(C40:N40)</f>
        <v>1945</v>
      </c>
      <c r="P40" s="11">
        <f>O40/4</f>
        <v>486.25</v>
      </c>
      <c r="Q40" s="9">
        <f>SUM(Q3:Q6, Q8:Q13, Q16:Q18)</f>
        <v>2869</v>
      </c>
      <c r="R40" s="12">
        <f>Q40/P40</f>
        <v>5.90025706940874</v>
      </c>
      <c r="S40" s="9"/>
    </row>
    <row r="41" spans="1:19" x14ac:dyDescent="0.2">
      <c r="A41" s="241" t="s">
        <v>37</v>
      </c>
      <c r="B41" s="241"/>
      <c r="C41" s="241">
        <f t="shared" ref="C41:N41" si="16">SUM(C7, C14:C15, C19:C34)</f>
        <v>99</v>
      </c>
      <c r="D41" s="241">
        <f t="shared" si="16"/>
        <v>121</v>
      </c>
      <c r="E41" s="241">
        <f t="shared" si="16"/>
        <v>232</v>
      </c>
      <c r="F41" s="241">
        <f t="shared" si="16"/>
        <v>156</v>
      </c>
      <c r="G41" s="241">
        <f t="shared" si="16"/>
        <v>248</v>
      </c>
      <c r="H41" s="241">
        <f t="shared" si="16"/>
        <v>402</v>
      </c>
      <c r="I41" s="241">
        <f t="shared" si="16"/>
        <v>167</v>
      </c>
      <c r="J41" s="241">
        <f t="shared" si="16"/>
        <v>260</v>
      </c>
      <c r="K41" s="241">
        <f t="shared" si="16"/>
        <v>273</v>
      </c>
      <c r="L41" s="241">
        <f t="shared" si="16"/>
        <v>474</v>
      </c>
      <c r="M41" s="241">
        <f t="shared" si="16"/>
        <v>379</v>
      </c>
      <c r="N41" s="241">
        <f t="shared" si="16"/>
        <v>208</v>
      </c>
      <c r="O41" s="320">
        <f>SUM(C41:N41)</f>
        <v>3019</v>
      </c>
      <c r="P41" s="321">
        <f>O41/4</f>
        <v>754.75</v>
      </c>
      <c r="Q41" s="241">
        <f>SUM(Q7,Q14:Q15, Q19:Q34)</f>
        <v>6734</v>
      </c>
      <c r="R41" s="325">
        <f>Q41/P41</f>
        <v>8.9221596555150704</v>
      </c>
      <c r="S41" s="241"/>
    </row>
  </sheetData>
  <mergeCells count="1">
    <mergeCell ref="A1:O1"/>
  </mergeCells>
  <phoneticPr fontId="0" type="noConversion"/>
  <pageMargins left="0.75" right="0.75" top="1" bottom="1" header="0.5" footer="0.5"/>
  <pageSetup scale="84"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9"/>
  <sheetViews>
    <sheetView topLeftCell="A21" zoomScale="110" zoomScaleNormal="110" workbookViewId="0">
      <selection activeCell="D21" sqref="D21"/>
    </sheetView>
  </sheetViews>
  <sheetFormatPr defaultRowHeight="12.75" x14ac:dyDescent="0.2"/>
  <cols>
    <col min="1" max="1" width="8" customWidth="1"/>
    <col min="2" max="2" width="1.42578125" customWidth="1"/>
    <col min="3" max="3" width="16.5703125" customWidth="1"/>
    <col min="4" max="4" width="10" customWidth="1"/>
    <col min="5" max="5" width="12.42578125" customWidth="1"/>
    <col min="6" max="16" width="6.5703125" customWidth="1"/>
    <col min="17" max="17" width="7.5703125" customWidth="1"/>
    <col min="18" max="18" width="8.42578125" customWidth="1"/>
    <col min="19" max="20" width="10.42578125" customWidth="1"/>
    <col min="21" max="21" width="14" customWidth="1"/>
  </cols>
  <sheetData>
    <row r="1" spans="1:21" ht="20.25" x14ac:dyDescent="0.3">
      <c r="A1" s="17"/>
      <c r="B1" s="2"/>
      <c r="C1" s="563" t="s">
        <v>0</v>
      </c>
      <c r="D1" s="564"/>
      <c r="E1" s="564"/>
      <c r="F1" s="564"/>
      <c r="G1" s="564"/>
      <c r="H1" s="564"/>
      <c r="I1" s="564"/>
      <c r="J1" s="564"/>
      <c r="K1" s="564"/>
      <c r="L1" s="564"/>
      <c r="M1" s="564"/>
      <c r="N1" s="564"/>
      <c r="O1" s="564"/>
      <c r="P1" s="564"/>
      <c r="Q1" s="564"/>
      <c r="R1" s="565"/>
      <c r="S1" s="24"/>
      <c r="T1" s="2"/>
      <c r="U1" s="3"/>
    </row>
    <row r="2" spans="1:21" ht="48" thickBot="1" x14ac:dyDescent="0.3">
      <c r="A2" s="18" t="s">
        <v>3</v>
      </c>
      <c r="C2" s="19" t="s">
        <v>2</v>
      </c>
      <c r="D2" s="20" t="s">
        <v>38</v>
      </c>
      <c r="E2" s="21" t="s">
        <v>39</v>
      </c>
      <c r="F2" s="22" t="s">
        <v>4</v>
      </c>
      <c r="G2" s="22" t="s">
        <v>5</v>
      </c>
      <c r="H2" s="22" t="s">
        <v>6</v>
      </c>
      <c r="I2" s="22" t="s">
        <v>7</v>
      </c>
      <c r="J2" s="22" t="s">
        <v>8</v>
      </c>
      <c r="K2" s="22" t="s">
        <v>9</v>
      </c>
      <c r="L2" s="22" t="s">
        <v>10</v>
      </c>
      <c r="M2" s="22" t="s">
        <v>11</v>
      </c>
      <c r="N2" s="22" t="s">
        <v>12</v>
      </c>
      <c r="O2" s="22" t="s">
        <v>13</v>
      </c>
      <c r="P2" s="22" t="s">
        <v>14</v>
      </c>
      <c r="Q2" s="22" t="s">
        <v>15</v>
      </c>
      <c r="R2" s="23" t="s">
        <v>16</v>
      </c>
      <c r="S2" s="25" t="s">
        <v>40</v>
      </c>
      <c r="T2" s="21" t="s">
        <v>19</v>
      </c>
      <c r="U2" s="26" t="s">
        <v>41</v>
      </c>
    </row>
    <row r="3" spans="1:21" x14ac:dyDescent="0.2">
      <c r="A3" s="27">
        <v>2006</v>
      </c>
      <c r="C3" s="9" t="s">
        <v>22</v>
      </c>
      <c r="D3" s="11">
        <v>32.583333333333336</v>
      </c>
      <c r="E3" s="9">
        <v>27</v>
      </c>
      <c r="F3" s="15">
        <v>0</v>
      </c>
      <c r="G3" s="16"/>
      <c r="H3" s="16"/>
      <c r="I3" s="16"/>
      <c r="J3" s="16"/>
      <c r="K3" s="16"/>
      <c r="L3" s="16"/>
      <c r="M3" s="16"/>
      <c r="N3" s="16"/>
      <c r="O3" s="16"/>
      <c r="P3" s="16"/>
      <c r="Q3" s="16">
        <v>0</v>
      </c>
      <c r="R3" s="10">
        <f>SUM(F3:Q3)</f>
        <v>0</v>
      </c>
      <c r="S3" s="11">
        <f>AVERAGE(F3:Q3)</f>
        <v>0</v>
      </c>
      <c r="T3" s="12" t="e">
        <f>U3/S3</f>
        <v>#DIV/0!</v>
      </c>
      <c r="U3" s="28">
        <v>0</v>
      </c>
    </row>
    <row r="4" spans="1:21" x14ac:dyDescent="0.2">
      <c r="A4" s="29"/>
      <c r="B4" s="30"/>
      <c r="C4" s="336"/>
      <c r="D4" s="337"/>
      <c r="E4" s="336"/>
      <c r="F4" s="336"/>
      <c r="G4" s="336"/>
      <c r="H4" s="336"/>
      <c r="I4" s="336"/>
      <c r="J4" s="336"/>
      <c r="K4" s="336"/>
      <c r="L4" s="336"/>
      <c r="M4" s="336"/>
      <c r="N4" s="336"/>
      <c r="O4" s="336"/>
      <c r="P4" s="336"/>
      <c r="Q4" s="336"/>
      <c r="R4" s="336"/>
      <c r="S4" s="337"/>
      <c r="T4" s="338"/>
      <c r="U4" s="31"/>
    </row>
    <row r="5" spans="1:21" x14ac:dyDescent="0.2">
      <c r="A5" s="32">
        <v>2007</v>
      </c>
      <c r="C5" s="241" t="s">
        <v>22</v>
      </c>
      <c r="D5" s="321">
        <v>7.333333333333333</v>
      </c>
      <c r="E5" s="241">
        <v>514</v>
      </c>
      <c r="F5" s="329">
        <v>12</v>
      </c>
      <c r="G5" s="329">
        <v>10</v>
      </c>
      <c r="H5" s="329">
        <v>15</v>
      </c>
      <c r="I5" s="329">
        <v>4</v>
      </c>
      <c r="J5" s="329">
        <v>16</v>
      </c>
      <c r="K5" s="329">
        <v>16</v>
      </c>
      <c r="L5" s="329">
        <v>9</v>
      </c>
      <c r="M5" s="329">
        <v>2</v>
      </c>
      <c r="N5" s="329">
        <v>13</v>
      </c>
      <c r="O5" s="329">
        <v>0</v>
      </c>
      <c r="P5" s="329">
        <v>13</v>
      </c>
      <c r="Q5" s="329">
        <v>5</v>
      </c>
      <c r="R5" s="320">
        <f>SUM(F5:Q5)</f>
        <v>115</v>
      </c>
      <c r="S5" s="321">
        <f>AVERAGE(F5:Q5)</f>
        <v>9.5833333333333339</v>
      </c>
      <c r="T5" s="325">
        <f>U5/S5</f>
        <v>41.634782608695652</v>
      </c>
      <c r="U5" s="33">
        <f>SUM(E5-R5)</f>
        <v>399</v>
      </c>
    </row>
    <row r="6" spans="1:21" x14ac:dyDescent="0.2">
      <c r="A6" s="32">
        <v>2007</v>
      </c>
      <c r="C6" s="241" t="s">
        <v>21</v>
      </c>
      <c r="D6" s="321">
        <v>25.3</v>
      </c>
      <c r="E6" s="241">
        <v>0</v>
      </c>
      <c r="F6" s="329">
        <v>0</v>
      </c>
      <c r="G6" s="319"/>
      <c r="H6" s="319"/>
      <c r="I6" s="319"/>
      <c r="J6" s="319"/>
      <c r="K6" s="319"/>
      <c r="L6" s="319"/>
      <c r="M6" s="319"/>
      <c r="N6" s="319"/>
      <c r="O6" s="319"/>
      <c r="P6" s="319"/>
      <c r="Q6" s="319"/>
      <c r="R6" s="320">
        <f>SUM(F6:Q6)</f>
        <v>0</v>
      </c>
      <c r="S6" s="321">
        <f>AVERAGE(F6:Q6)</f>
        <v>0</v>
      </c>
      <c r="T6" s="325">
        <v>0</v>
      </c>
      <c r="U6" s="33">
        <f>SUM(E6-R6)</f>
        <v>0</v>
      </c>
    </row>
    <row r="7" spans="1:21" x14ac:dyDescent="0.2">
      <c r="A7" s="339">
        <v>2007</v>
      </c>
      <c r="C7" s="364" t="s">
        <v>24</v>
      </c>
      <c r="D7" s="372">
        <v>18.100000000000001</v>
      </c>
      <c r="E7" s="364">
        <v>303</v>
      </c>
      <c r="F7" s="373">
        <v>3</v>
      </c>
      <c r="G7" s="373">
        <v>13</v>
      </c>
      <c r="H7" s="373">
        <v>37</v>
      </c>
      <c r="I7" s="373">
        <v>13</v>
      </c>
      <c r="J7" s="373">
        <v>33</v>
      </c>
      <c r="K7" s="373">
        <v>22</v>
      </c>
      <c r="L7" s="373">
        <v>26</v>
      </c>
      <c r="M7" s="373">
        <v>30</v>
      </c>
      <c r="N7" s="373">
        <v>50</v>
      </c>
      <c r="O7" s="373">
        <v>37</v>
      </c>
      <c r="P7" s="370">
        <v>0</v>
      </c>
      <c r="Q7" s="370">
        <v>0</v>
      </c>
      <c r="R7" s="371">
        <f>SUM(F7:Q7)</f>
        <v>264</v>
      </c>
      <c r="S7" s="372">
        <f>AVERAGE(F7:Q7)</f>
        <v>22</v>
      </c>
      <c r="T7" s="377">
        <f>U7/S7</f>
        <v>0</v>
      </c>
      <c r="U7" s="340">
        <v>0</v>
      </c>
    </row>
    <row r="8" spans="1:21" x14ac:dyDescent="0.2">
      <c r="A8" s="241">
        <v>2007</v>
      </c>
      <c r="B8" s="241"/>
      <c r="C8" s="241" t="s">
        <v>27</v>
      </c>
      <c r="D8" s="321">
        <v>23.90909090909091</v>
      </c>
      <c r="E8" s="241">
        <v>56</v>
      </c>
      <c r="F8" s="329">
        <v>15</v>
      </c>
      <c r="G8" s="329">
        <v>20</v>
      </c>
      <c r="H8" s="329">
        <v>0</v>
      </c>
      <c r="I8" s="319"/>
      <c r="J8" s="319"/>
      <c r="K8" s="319"/>
      <c r="L8" s="319"/>
      <c r="M8" s="319"/>
      <c r="N8" s="319"/>
      <c r="O8" s="319"/>
      <c r="P8" s="319"/>
      <c r="Q8" s="319"/>
      <c r="R8" s="320">
        <f>SUM(F8:Q8)</f>
        <v>35</v>
      </c>
      <c r="S8" s="321">
        <f>AVERAGE(F8:Q8)</f>
        <v>11.666666666666666</v>
      </c>
      <c r="T8" s="325">
        <f>U8/S8</f>
        <v>0</v>
      </c>
      <c r="U8" s="341">
        <v>0</v>
      </c>
    </row>
    <row r="9" spans="1:21" x14ac:dyDescent="0.2">
      <c r="A9" s="241">
        <v>2007</v>
      </c>
      <c r="B9" s="241"/>
      <c r="C9" s="342" t="s">
        <v>42</v>
      </c>
      <c r="D9" s="343"/>
      <c r="E9" s="241">
        <v>259</v>
      </c>
      <c r="F9" s="344"/>
      <c r="G9" s="344"/>
      <c r="H9" s="344"/>
      <c r="I9" s="344"/>
      <c r="J9" s="344"/>
      <c r="K9" s="241">
        <v>27</v>
      </c>
      <c r="L9" s="241">
        <v>12</v>
      </c>
      <c r="M9" s="241">
        <v>16</v>
      </c>
      <c r="N9" s="241">
        <v>9</v>
      </c>
      <c r="O9" s="241">
        <v>24</v>
      </c>
      <c r="P9" s="241">
        <v>31</v>
      </c>
      <c r="Q9" s="241">
        <v>11</v>
      </c>
      <c r="R9" s="320">
        <f>SUM(F9:Q9)</f>
        <v>130</v>
      </c>
      <c r="S9" s="321">
        <f>AVERAGE(F9:Q9)</f>
        <v>18.571428571428573</v>
      </c>
      <c r="T9" s="325">
        <f>U9/S9</f>
        <v>6.9461538461538455</v>
      </c>
      <c r="U9" s="341">
        <f>SUM(E9-R9)</f>
        <v>129</v>
      </c>
    </row>
    <row r="10" spans="1:21" x14ac:dyDescent="0.2">
      <c r="A10" s="46"/>
      <c r="B10" s="30"/>
      <c r="C10" s="47"/>
      <c r="D10" s="48"/>
      <c r="E10" s="49"/>
      <c r="F10" s="49"/>
      <c r="G10" s="49"/>
      <c r="H10" s="49"/>
      <c r="I10" s="49"/>
      <c r="J10" s="49"/>
      <c r="K10" s="49"/>
      <c r="L10" s="49"/>
      <c r="M10" s="49"/>
      <c r="N10" s="49">
        <v>0</v>
      </c>
      <c r="O10" s="49"/>
      <c r="P10" s="49"/>
      <c r="Q10" s="49"/>
      <c r="R10" s="49"/>
      <c r="S10" s="48"/>
      <c r="T10" s="50"/>
      <c r="U10" s="51"/>
    </row>
    <row r="11" spans="1:21" x14ac:dyDescent="0.2">
      <c r="A11" s="339">
        <v>2008</v>
      </c>
      <c r="C11" s="241" t="s">
        <v>22</v>
      </c>
      <c r="D11" s="372">
        <v>0</v>
      </c>
      <c r="E11" s="364">
        <v>827</v>
      </c>
      <c r="F11" s="373">
        <v>3</v>
      </c>
      <c r="G11" s="373">
        <v>24</v>
      </c>
      <c r="H11" s="373">
        <v>80</v>
      </c>
      <c r="I11" s="373">
        <v>40</v>
      </c>
      <c r="J11" s="383">
        <v>29</v>
      </c>
      <c r="K11" s="373">
        <v>43</v>
      </c>
      <c r="L11" s="373">
        <v>65</v>
      </c>
      <c r="M11" s="373">
        <v>65</v>
      </c>
      <c r="N11" s="373">
        <v>41</v>
      </c>
      <c r="O11" s="373">
        <v>62</v>
      </c>
      <c r="P11" s="373">
        <v>66</v>
      </c>
      <c r="Q11" s="373">
        <v>41</v>
      </c>
      <c r="R11" s="320">
        <f t="shared" ref="R11:R24" si="0">SUM(F11:Q11)</f>
        <v>559</v>
      </c>
      <c r="S11" s="321">
        <f t="shared" ref="S11:S22" si="1">AVERAGE(F11:Q11)</f>
        <v>46.583333333333336</v>
      </c>
      <c r="T11" s="325">
        <f t="shared" ref="T11:T24" si="2">U11/S11</f>
        <v>5.7531305903398922</v>
      </c>
      <c r="U11" s="33">
        <f t="shared" ref="U11:U19" si="3">SUM(E11-R11)</f>
        <v>268</v>
      </c>
    </row>
    <row r="12" spans="1:21" x14ac:dyDescent="0.2">
      <c r="A12" s="339">
        <v>2008</v>
      </c>
      <c r="C12" s="241" t="s">
        <v>21</v>
      </c>
      <c r="D12" s="372">
        <v>0</v>
      </c>
      <c r="E12" s="364">
        <v>342</v>
      </c>
      <c r="F12" s="373">
        <v>47</v>
      </c>
      <c r="G12" s="373">
        <v>10</v>
      </c>
      <c r="H12" s="373">
        <v>31</v>
      </c>
      <c r="I12" s="373">
        <v>24</v>
      </c>
      <c r="J12" s="373">
        <v>29</v>
      </c>
      <c r="K12" s="373">
        <v>22</v>
      </c>
      <c r="L12" s="373">
        <v>33</v>
      </c>
      <c r="M12" s="373">
        <v>24</v>
      </c>
      <c r="N12" s="373">
        <v>55</v>
      </c>
      <c r="O12" s="373">
        <v>21</v>
      </c>
      <c r="P12" s="373">
        <v>32</v>
      </c>
      <c r="Q12" s="384">
        <v>14</v>
      </c>
      <c r="R12" s="320">
        <f t="shared" si="0"/>
        <v>342</v>
      </c>
      <c r="S12" s="321">
        <f t="shared" si="1"/>
        <v>28.5</v>
      </c>
      <c r="T12" s="325">
        <f t="shared" si="2"/>
        <v>0</v>
      </c>
      <c r="U12" s="33">
        <f t="shared" si="3"/>
        <v>0</v>
      </c>
    </row>
    <row r="13" spans="1:21" x14ac:dyDescent="0.2">
      <c r="A13" s="339">
        <v>2008</v>
      </c>
      <c r="C13" s="241" t="s">
        <v>23</v>
      </c>
      <c r="D13" s="372">
        <v>29.166666666666668</v>
      </c>
      <c r="E13" s="364">
        <v>349</v>
      </c>
      <c r="F13" s="373">
        <v>39</v>
      </c>
      <c r="G13" s="373">
        <v>43</v>
      </c>
      <c r="H13" s="373">
        <v>33</v>
      </c>
      <c r="I13" s="373">
        <v>17</v>
      </c>
      <c r="J13" s="373">
        <v>45</v>
      </c>
      <c r="K13" s="373">
        <v>8</v>
      </c>
      <c r="L13" s="373">
        <v>22</v>
      </c>
      <c r="M13" s="373">
        <v>37</v>
      </c>
      <c r="N13" s="373">
        <v>25</v>
      </c>
      <c r="O13" s="364">
        <v>34</v>
      </c>
      <c r="P13" s="364">
        <v>29</v>
      </c>
      <c r="Q13" s="364">
        <v>11</v>
      </c>
      <c r="R13" s="320">
        <f t="shared" si="0"/>
        <v>343</v>
      </c>
      <c r="S13" s="321">
        <f t="shared" si="1"/>
        <v>28.583333333333332</v>
      </c>
      <c r="T13" s="325">
        <f t="shared" si="2"/>
        <v>0.2099125364431487</v>
      </c>
      <c r="U13" s="33">
        <f t="shared" si="3"/>
        <v>6</v>
      </c>
    </row>
    <row r="14" spans="1:21" x14ac:dyDescent="0.2">
      <c r="A14" s="339">
        <v>2008</v>
      </c>
      <c r="C14" s="241" t="s">
        <v>24</v>
      </c>
      <c r="D14" s="372">
        <v>0</v>
      </c>
      <c r="E14" s="364">
        <v>206</v>
      </c>
      <c r="F14" s="385">
        <v>0</v>
      </c>
      <c r="G14" s="385">
        <v>0</v>
      </c>
      <c r="H14" s="385">
        <v>0</v>
      </c>
      <c r="I14" s="385">
        <v>3</v>
      </c>
      <c r="J14" s="386">
        <v>11</v>
      </c>
      <c r="K14" s="385">
        <v>0</v>
      </c>
      <c r="L14" s="385">
        <v>0</v>
      </c>
      <c r="M14" s="385">
        <v>0</v>
      </c>
      <c r="N14" s="385">
        <v>0</v>
      </c>
      <c r="O14" s="385">
        <v>0</v>
      </c>
      <c r="P14" s="364">
        <v>1</v>
      </c>
      <c r="Q14" s="364">
        <v>18</v>
      </c>
      <c r="R14" s="320">
        <f t="shared" si="0"/>
        <v>33</v>
      </c>
      <c r="S14" s="321">
        <f t="shared" si="1"/>
        <v>2.75</v>
      </c>
      <c r="T14" s="325">
        <f t="shared" si="2"/>
        <v>62.909090909090907</v>
      </c>
      <c r="U14" s="33">
        <f t="shared" si="3"/>
        <v>173</v>
      </c>
    </row>
    <row r="15" spans="1:21" x14ac:dyDescent="0.2">
      <c r="A15" s="339">
        <v>2008</v>
      </c>
      <c r="C15" s="241" t="s">
        <v>25</v>
      </c>
      <c r="D15" s="372">
        <v>48.666666666666664</v>
      </c>
      <c r="E15" s="364">
        <v>554</v>
      </c>
      <c r="F15" s="373">
        <v>75</v>
      </c>
      <c r="G15" s="373">
        <v>0</v>
      </c>
      <c r="H15" s="373">
        <v>54</v>
      </c>
      <c r="I15" s="373">
        <v>38</v>
      </c>
      <c r="J15" s="373">
        <v>55</v>
      </c>
      <c r="K15" s="373">
        <v>46</v>
      </c>
      <c r="L15" s="373">
        <v>122</v>
      </c>
      <c r="M15" s="373">
        <v>0</v>
      </c>
      <c r="N15" s="383">
        <v>54</v>
      </c>
      <c r="O15" s="383">
        <v>49</v>
      </c>
      <c r="P15" s="373">
        <v>38</v>
      </c>
      <c r="Q15" s="373">
        <v>23</v>
      </c>
      <c r="R15" s="320">
        <f t="shared" si="0"/>
        <v>554</v>
      </c>
      <c r="S15" s="321">
        <f t="shared" si="1"/>
        <v>46.166666666666664</v>
      </c>
      <c r="T15" s="325">
        <f t="shared" si="2"/>
        <v>0</v>
      </c>
      <c r="U15" s="33">
        <f t="shared" si="3"/>
        <v>0</v>
      </c>
    </row>
    <row r="16" spans="1:21" x14ac:dyDescent="0.2">
      <c r="A16" s="339">
        <v>2008</v>
      </c>
      <c r="C16" s="241" t="s">
        <v>28</v>
      </c>
      <c r="D16" s="372">
        <v>25.285714285714285</v>
      </c>
      <c r="E16" s="364">
        <v>173</v>
      </c>
      <c r="F16" s="373">
        <v>7</v>
      </c>
      <c r="G16" s="373">
        <v>9</v>
      </c>
      <c r="H16" s="373">
        <v>18</v>
      </c>
      <c r="I16" s="373">
        <v>12</v>
      </c>
      <c r="J16" s="373">
        <v>19</v>
      </c>
      <c r="K16" s="373">
        <v>19</v>
      </c>
      <c r="L16" s="373">
        <v>20</v>
      </c>
      <c r="M16" s="364">
        <v>17</v>
      </c>
      <c r="N16" s="364">
        <v>21</v>
      </c>
      <c r="O16" s="364">
        <v>20</v>
      </c>
      <c r="P16" s="370">
        <v>0</v>
      </c>
      <c r="Q16" s="370"/>
      <c r="R16" s="320">
        <f t="shared" si="0"/>
        <v>162</v>
      </c>
      <c r="S16" s="321">
        <f t="shared" si="1"/>
        <v>14.727272727272727</v>
      </c>
      <c r="T16" s="325">
        <f t="shared" si="2"/>
        <v>0</v>
      </c>
      <c r="U16" s="33">
        <v>0</v>
      </c>
    </row>
    <row r="17" spans="1:21" x14ac:dyDescent="0.2">
      <c r="A17" s="339">
        <v>2008</v>
      </c>
      <c r="C17" s="241" t="s">
        <v>29</v>
      </c>
      <c r="D17" s="372">
        <v>26</v>
      </c>
      <c r="E17" s="364">
        <v>76</v>
      </c>
      <c r="F17" s="373">
        <v>6</v>
      </c>
      <c r="G17" s="373">
        <v>8</v>
      </c>
      <c r="H17" s="370">
        <v>0</v>
      </c>
      <c r="I17" s="370">
        <v>0</v>
      </c>
      <c r="J17" s="370">
        <v>0</v>
      </c>
      <c r="K17" s="370">
        <v>0</v>
      </c>
      <c r="L17" s="370">
        <v>0</v>
      </c>
      <c r="M17" s="370">
        <v>0</v>
      </c>
      <c r="N17" s="370">
        <v>0</v>
      </c>
      <c r="O17" s="370"/>
      <c r="P17" s="370"/>
      <c r="Q17" s="370"/>
      <c r="R17" s="320">
        <f t="shared" si="0"/>
        <v>14</v>
      </c>
      <c r="S17" s="321">
        <f t="shared" si="1"/>
        <v>1.5555555555555556</v>
      </c>
      <c r="T17" s="325">
        <f t="shared" si="2"/>
        <v>0</v>
      </c>
      <c r="U17" s="33">
        <v>0</v>
      </c>
    </row>
    <row r="18" spans="1:21" x14ac:dyDescent="0.2">
      <c r="A18" s="339">
        <v>2008</v>
      </c>
      <c r="C18" s="241" t="s">
        <v>26</v>
      </c>
      <c r="D18" s="372">
        <v>22</v>
      </c>
      <c r="E18" s="364">
        <v>262</v>
      </c>
      <c r="F18" s="373">
        <v>10</v>
      </c>
      <c r="G18" s="373">
        <v>13</v>
      </c>
      <c r="H18" s="373">
        <v>83</v>
      </c>
      <c r="I18" s="373">
        <v>-38</v>
      </c>
      <c r="J18" s="373">
        <v>27</v>
      </c>
      <c r="K18" s="373">
        <v>17</v>
      </c>
      <c r="L18" s="373">
        <v>27</v>
      </c>
      <c r="M18" s="373">
        <v>22</v>
      </c>
      <c r="N18" s="373">
        <v>25</v>
      </c>
      <c r="O18" s="373">
        <v>30</v>
      </c>
      <c r="P18" s="373">
        <v>18</v>
      </c>
      <c r="Q18" s="373">
        <v>8</v>
      </c>
      <c r="R18" s="320">
        <f t="shared" si="0"/>
        <v>242</v>
      </c>
      <c r="S18" s="321">
        <f t="shared" si="1"/>
        <v>20.166666666666668</v>
      </c>
      <c r="T18" s="325">
        <f t="shared" si="2"/>
        <v>0.99173553719008256</v>
      </c>
      <c r="U18" s="33">
        <f t="shared" si="3"/>
        <v>20</v>
      </c>
    </row>
    <row r="19" spans="1:21" x14ac:dyDescent="0.2">
      <c r="A19" s="339">
        <v>2008</v>
      </c>
      <c r="C19" s="241" t="s">
        <v>27</v>
      </c>
      <c r="D19" s="372">
        <v>3.5</v>
      </c>
      <c r="E19" s="364">
        <v>233</v>
      </c>
      <c r="F19" s="373">
        <v>6</v>
      </c>
      <c r="G19" s="364">
        <v>0</v>
      </c>
      <c r="H19" s="364">
        <v>10</v>
      </c>
      <c r="I19" s="364">
        <v>15</v>
      </c>
      <c r="J19" s="364">
        <v>17</v>
      </c>
      <c r="K19" s="364">
        <v>21</v>
      </c>
      <c r="L19" s="364">
        <v>13</v>
      </c>
      <c r="M19" s="364">
        <v>20</v>
      </c>
      <c r="N19" s="364">
        <v>18</v>
      </c>
      <c r="O19" s="364">
        <v>34</v>
      </c>
      <c r="P19" s="364">
        <v>18</v>
      </c>
      <c r="Q19" s="364">
        <v>14</v>
      </c>
      <c r="R19" s="320">
        <f t="shared" si="0"/>
        <v>186</v>
      </c>
      <c r="S19" s="321">
        <f t="shared" si="1"/>
        <v>15.5</v>
      </c>
      <c r="T19" s="325">
        <f t="shared" si="2"/>
        <v>3.032258064516129</v>
      </c>
      <c r="U19" s="33">
        <f t="shared" si="3"/>
        <v>47</v>
      </c>
    </row>
    <row r="20" spans="1:21" x14ac:dyDescent="0.2">
      <c r="A20" s="339">
        <v>2008</v>
      </c>
      <c r="C20" s="241" t="s">
        <v>32</v>
      </c>
      <c r="D20" s="372">
        <v>8.4285714285714288</v>
      </c>
      <c r="E20" s="364">
        <v>121</v>
      </c>
      <c r="F20" s="373">
        <v>1</v>
      </c>
      <c r="G20" s="373">
        <v>1</v>
      </c>
      <c r="H20" s="373">
        <v>0</v>
      </c>
      <c r="I20" s="373">
        <v>1</v>
      </c>
      <c r="J20" s="370">
        <v>0</v>
      </c>
      <c r="K20" s="370">
        <v>0</v>
      </c>
      <c r="L20" s="370">
        <v>0</v>
      </c>
      <c r="M20" s="370">
        <v>0</v>
      </c>
      <c r="N20" s="370">
        <v>0</v>
      </c>
      <c r="O20" s="370"/>
      <c r="P20" s="370"/>
      <c r="Q20" s="370"/>
      <c r="R20" s="320">
        <f t="shared" si="0"/>
        <v>3</v>
      </c>
      <c r="S20" s="321">
        <f t="shared" si="1"/>
        <v>0.33333333333333331</v>
      </c>
      <c r="T20" s="325">
        <f t="shared" si="2"/>
        <v>0</v>
      </c>
      <c r="U20" s="33">
        <v>0</v>
      </c>
    </row>
    <row r="21" spans="1:21" x14ac:dyDescent="0.2">
      <c r="A21" s="339">
        <v>2008</v>
      </c>
      <c r="C21" s="241" t="s">
        <v>33</v>
      </c>
      <c r="D21" s="372">
        <v>44.4</v>
      </c>
      <c r="E21" s="364">
        <v>71</v>
      </c>
      <c r="F21" s="373">
        <v>12</v>
      </c>
      <c r="G21" s="373">
        <v>17</v>
      </c>
      <c r="H21" s="387">
        <v>32</v>
      </c>
      <c r="I21" s="387">
        <v>0</v>
      </c>
      <c r="J21" s="388"/>
      <c r="K21" s="388"/>
      <c r="L21" s="388"/>
      <c r="M21" s="388">
        <v>0</v>
      </c>
      <c r="N21" s="388">
        <v>0</v>
      </c>
      <c r="O21" s="388"/>
      <c r="P21" s="388"/>
      <c r="Q21" s="370"/>
      <c r="R21" s="320">
        <f t="shared" si="0"/>
        <v>61</v>
      </c>
      <c r="S21" s="321">
        <f t="shared" si="1"/>
        <v>10.166666666666666</v>
      </c>
      <c r="T21" s="325">
        <f t="shared" si="2"/>
        <v>0</v>
      </c>
      <c r="U21" s="33">
        <v>0</v>
      </c>
    </row>
    <row r="22" spans="1:21" x14ac:dyDescent="0.2">
      <c r="A22" s="339">
        <v>2008</v>
      </c>
      <c r="C22" s="241" t="s">
        <v>30</v>
      </c>
      <c r="D22" s="372">
        <v>41.555555555555557</v>
      </c>
      <c r="E22" s="364">
        <v>75</v>
      </c>
      <c r="F22" s="373">
        <v>10</v>
      </c>
      <c r="G22" s="373">
        <v>9</v>
      </c>
      <c r="H22" s="387">
        <v>18</v>
      </c>
      <c r="I22" s="387">
        <v>17</v>
      </c>
      <c r="J22" s="387">
        <v>0</v>
      </c>
      <c r="K22" s="387">
        <v>0</v>
      </c>
      <c r="L22" s="388"/>
      <c r="M22" s="388">
        <v>0</v>
      </c>
      <c r="N22" s="388">
        <v>0</v>
      </c>
      <c r="O22" s="388"/>
      <c r="P22" s="388"/>
      <c r="Q22" s="370"/>
      <c r="R22" s="320">
        <f t="shared" si="0"/>
        <v>54</v>
      </c>
      <c r="S22" s="321">
        <f t="shared" si="1"/>
        <v>6.75</v>
      </c>
      <c r="T22" s="325">
        <f t="shared" si="2"/>
        <v>0</v>
      </c>
      <c r="U22" s="33">
        <v>0</v>
      </c>
    </row>
    <row r="23" spans="1:21" x14ac:dyDescent="0.2">
      <c r="A23" s="339">
        <v>2008</v>
      </c>
      <c r="C23" s="241" t="s">
        <v>43</v>
      </c>
      <c r="D23" s="372">
        <v>30</v>
      </c>
      <c r="E23" s="364">
        <v>130</v>
      </c>
      <c r="F23" s="373">
        <v>9</v>
      </c>
      <c r="G23" s="373">
        <v>6</v>
      </c>
      <c r="H23" s="387">
        <v>21</v>
      </c>
      <c r="I23" s="387">
        <v>15</v>
      </c>
      <c r="J23" s="387">
        <v>36</v>
      </c>
      <c r="K23" s="387">
        <v>28</v>
      </c>
      <c r="L23" s="389" t="s">
        <v>35</v>
      </c>
      <c r="M23" s="389">
        <v>0</v>
      </c>
      <c r="N23" s="389">
        <v>0</v>
      </c>
      <c r="O23" s="389" t="s">
        <v>35</v>
      </c>
      <c r="P23" s="388"/>
      <c r="Q23" s="370"/>
      <c r="R23" s="320">
        <f t="shared" si="0"/>
        <v>115</v>
      </c>
      <c r="S23" s="321">
        <f>AVERAGE(F23:Q23)</f>
        <v>14.375</v>
      </c>
      <c r="T23" s="325">
        <f t="shared" si="2"/>
        <v>0</v>
      </c>
      <c r="U23" s="33">
        <v>0</v>
      </c>
    </row>
    <row r="24" spans="1:21" x14ac:dyDescent="0.2">
      <c r="A24" s="339">
        <v>2008</v>
      </c>
      <c r="C24" s="241" t="s">
        <v>31</v>
      </c>
      <c r="D24" s="372">
        <v>47.625</v>
      </c>
      <c r="E24" s="364">
        <v>272</v>
      </c>
      <c r="F24" s="373">
        <v>21</v>
      </c>
      <c r="G24" s="373">
        <v>20</v>
      </c>
      <c r="H24" s="387">
        <v>39</v>
      </c>
      <c r="I24" s="387">
        <v>33</v>
      </c>
      <c r="J24" s="387">
        <v>45</v>
      </c>
      <c r="K24" s="390">
        <v>24</v>
      </c>
      <c r="L24" s="391">
        <v>43</v>
      </c>
      <c r="M24" s="389">
        <v>0</v>
      </c>
      <c r="N24" s="389">
        <v>0</v>
      </c>
      <c r="O24" s="389"/>
      <c r="P24" s="389"/>
      <c r="Q24" s="370"/>
      <c r="R24" s="320">
        <f t="shared" si="0"/>
        <v>225</v>
      </c>
      <c r="S24" s="321">
        <f>AVERAGE(F24:Q24)</f>
        <v>25</v>
      </c>
      <c r="T24" s="325">
        <f t="shared" si="2"/>
        <v>0</v>
      </c>
      <c r="U24" s="33">
        <v>0</v>
      </c>
    </row>
    <row r="25" spans="1:21" x14ac:dyDescent="0.2">
      <c r="A25" s="34"/>
      <c r="B25" s="30"/>
      <c r="C25" s="345"/>
      <c r="D25" s="346"/>
      <c r="E25" s="345"/>
      <c r="F25" s="345"/>
      <c r="G25" s="345"/>
      <c r="H25" s="345"/>
      <c r="I25" s="345"/>
      <c r="J25" s="345"/>
      <c r="K25" s="345"/>
      <c r="L25" s="345"/>
      <c r="M25" s="345">
        <v>0</v>
      </c>
      <c r="N25" s="345"/>
      <c r="O25" s="345"/>
      <c r="P25" s="345"/>
      <c r="Q25" s="345"/>
      <c r="R25" s="345"/>
      <c r="S25" s="346"/>
      <c r="T25" s="347" t="s">
        <v>35</v>
      </c>
      <c r="U25" s="35"/>
    </row>
    <row r="26" spans="1:21" x14ac:dyDescent="0.2">
      <c r="A26" s="36">
        <v>2009</v>
      </c>
      <c r="C26" s="241" t="s">
        <v>22</v>
      </c>
      <c r="D26" s="348">
        <v>347</v>
      </c>
      <c r="E26" s="329">
        <v>0</v>
      </c>
      <c r="F26" s="344">
        <v>0</v>
      </c>
      <c r="G26" s="344"/>
      <c r="H26" s="344"/>
      <c r="I26" s="344"/>
      <c r="J26" s="344"/>
      <c r="K26" s="344"/>
      <c r="L26" s="344"/>
      <c r="M26" s="344">
        <v>0</v>
      </c>
      <c r="N26" s="344">
        <v>0</v>
      </c>
      <c r="O26" s="344"/>
      <c r="P26" s="344"/>
      <c r="Q26" s="344"/>
      <c r="R26" s="320">
        <f t="shared" ref="R26:R41" si="4">SUM(F26:Q26)</f>
        <v>0</v>
      </c>
      <c r="S26" s="321">
        <f t="shared" ref="S26:S41" si="5">AVERAGE(F26:Q26)</f>
        <v>0</v>
      </c>
      <c r="T26" s="325" t="e">
        <f t="shared" ref="T26:T41" si="6">U26/S26</f>
        <v>#DIV/0!</v>
      </c>
      <c r="U26" s="33">
        <f t="shared" ref="U26:U38" si="7">SUM(E26-R26)</f>
        <v>0</v>
      </c>
    </row>
    <row r="27" spans="1:21" x14ac:dyDescent="0.2">
      <c r="A27" s="36">
        <v>2009</v>
      </c>
      <c r="C27" s="241" t="s">
        <v>21</v>
      </c>
      <c r="D27" s="348">
        <v>455</v>
      </c>
      <c r="E27" s="329">
        <v>0</v>
      </c>
      <c r="F27" s="344">
        <v>0</v>
      </c>
      <c r="G27" s="344"/>
      <c r="H27" s="344"/>
      <c r="I27" s="344"/>
      <c r="J27" s="344"/>
      <c r="K27" s="344"/>
      <c r="L27" s="344"/>
      <c r="M27" s="344">
        <v>0</v>
      </c>
      <c r="N27" s="344">
        <v>0</v>
      </c>
      <c r="O27" s="344"/>
      <c r="P27" s="344"/>
      <c r="Q27" s="344"/>
      <c r="R27" s="320">
        <f t="shared" si="4"/>
        <v>0</v>
      </c>
      <c r="S27" s="321">
        <f t="shared" si="5"/>
        <v>0</v>
      </c>
      <c r="T27" s="325" t="e">
        <f t="shared" si="6"/>
        <v>#DIV/0!</v>
      </c>
      <c r="U27" s="33">
        <f t="shared" si="7"/>
        <v>0</v>
      </c>
    </row>
    <row r="28" spans="1:21" x14ac:dyDescent="0.2">
      <c r="A28" s="36">
        <v>2009</v>
      </c>
      <c r="C28" s="241" t="s">
        <v>23</v>
      </c>
      <c r="D28" s="348"/>
      <c r="E28" s="329">
        <v>714</v>
      </c>
      <c r="F28" s="344">
        <v>0</v>
      </c>
      <c r="G28" s="344"/>
      <c r="H28" s="344"/>
      <c r="I28" s="344"/>
      <c r="J28" s="344"/>
      <c r="K28" s="344"/>
      <c r="L28" s="344"/>
      <c r="M28" s="241">
        <v>20</v>
      </c>
      <c r="N28" s="241">
        <v>0</v>
      </c>
      <c r="O28" s="241">
        <v>13</v>
      </c>
      <c r="P28" s="241">
        <v>10</v>
      </c>
      <c r="Q28" s="241">
        <v>0</v>
      </c>
      <c r="R28" s="320">
        <f t="shared" si="4"/>
        <v>43</v>
      </c>
      <c r="S28" s="321">
        <f t="shared" si="5"/>
        <v>7.166666666666667</v>
      </c>
      <c r="T28" s="325">
        <f t="shared" si="6"/>
        <v>93.627906976744185</v>
      </c>
      <c r="U28" s="33">
        <f t="shared" si="7"/>
        <v>671</v>
      </c>
    </row>
    <row r="29" spans="1:21" x14ac:dyDescent="0.2">
      <c r="A29" s="36">
        <v>2009</v>
      </c>
      <c r="C29" s="241" t="s">
        <v>24</v>
      </c>
      <c r="D29" s="348">
        <v>242</v>
      </c>
      <c r="E29" s="329">
        <v>0</v>
      </c>
      <c r="F29" s="344">
        <v>0</v>
      </c>
      <c r="G29" s="344"/>
      <c r="H29" s="344"/>
      <c r="I29" s="344"/>
      <c r="J29" s="344"/>
      <c r="K29" s="344"/>
      <c r="L29" s="344"/>
      <c r="M29" s="344">
        <v>0</v>
      </c>
      <c r="N29" s="344">
        <v>0</v>
      </c>
      <c r="O29" s="344"/>
      <c r="P29" s="344"/>
      <c r="Q29" s="344"/>
      <c r="R29" s="320">
        <f t="shared" si="4"/>
        <v>0</v>
      </c>
      <c r="S29" s="321">
        <f t="shared" si="5"/>
        <v>0</v>
      </c>
      <c r="T29" s="325" t="e">
        <f t="shared" si="6"/>
        <v>#DIV/0!</v>
      </c>
      <c r="U29" s="33">
        <f t="shared" si="7"/>
        <v>0</v>
      </c>
    </row>
    <row r="30" spans="1:21" x14ac:dyDescent="0.2">
      <c r="A30" s="36">
        <v>2009</v>
      </c>
      <c r="C30" s="241" t="s">
        <v>25</v>
      </c>
      <c r="D30" s="348" t="s">
        <v>35</v>
      </c>
      <c r="E30" s="329">
        <v>556</v>
      </c>
      <c r="F30" s="344">
        <v>0</v>
      </c>
      <c r="G30" s="344"/>
      <c r="H30" s="344"/>
      <c r="I30" s="344"/>
      <c r="J30" s="344"/>
      <c r="K30" s="344"/>
      <c r="L30" s="344"/>
      <c r="M30" s="344">
        <v>0</v>
      </c>
      <c r="N30" s="329">
        <v>18</v>
      </c>
      <c r="O30" s="329">
        <v>0</v>
      </c>
      <c r="P30" s="329">
        <v>52</v>
      </c>
      <c r="Q30" s="329" t="s">
        <v>35</v>
      </c>
      <c r="R30" s="320">
        <f t="shared" si="4"/>
        <v>70</v>
      </c>
      <c r="S30" s="321">
        <f t="shared" si="5"/>
        <v>14</v>
      </c>
      <c r="T30" s="325">
        <f t="shared" si="6"/>
        <v>34.714285714285715</v>
      </c>
      <c r="U30" s="33">
        <f t="shared" si="7"/>
        <v>486</v>
      </c>
    </row>
    <row r="31" spans="1:21" x14ac:dyDescent="0.2">
      <c r="A31" s="36">
        <v>2009</v>
      </c>
      <c r="C31" s="241" t="s">
        <v>28</v>
      </c>
      <c r="D31" s="348"/>
      <c r="E31" s="329">
        <v>0</v>
      </c>
      <c r="F31" s="328">
        <v>0</v>
      </c>
      <c r="G31" s="319"/>
      <c r="H31" s="319"/>
      <c r="I31" s="319"/>
      <c r="J31" s="319"/>
      <c r="K31" s="319"/>
      <c r="L31" s="319"/>
      <c r="M31" s="319">
        <v>0</v>
      </c>
      <c r="N31" s="319">
        <v>0</v>
      </c>
      <c r="O31" s="319"/>
      <c r="P31" s="319"/>
      <c r="Q31" s="319"/>
      <c r="R31" s="320">
        <f t="shared" si="4"/>
        <v>0</v>
      </c>
      <c r="S31" s="321">
        <f t="shared" si="5"/>
        <v>0</v>
      </c>
      <c r="T31" s="325" t="e">
        <f t="shared" si="6"/>
        <v>#DIV/0!</v>
      </c>
      <c r="U31" s="33">
        <f t="shared" si="7"/>
        <v>0</v>
      </c>
    </row>
    <row r="32" spans="1:21" x14ac:dyDescent="0.2">
      <c r="A32" s="36">
        <v>2009</v>
      </c>
      <c r="C32" s="241" t="s">
        <v>29</v>
      </c>
      <c r="D32" s="348" t="s">
        <v>35</v>
      </c>
      <c r="E32" s="329">
        <v>250</v>
      </c>
      <c r="F32" s="344">
        <v>0</v>
      </c>
      <c r="G32" s="344"/>
      <c r="H32" s="344"/>
      <c r="I32" s="344"/>
      <c r="J32" s="344"/>
      <c r="K32" s="344"/>
      <c r="L32" s="344"/>
      <c r="M32" s="241">
        <v>3</v>
      </c>
      <c r="N32" s="329">
        <v>19</v>
      </c>
      <c r="O32" s="329">
        <v>73</v>
      </c>
      <c r="P32" s="329">
        <v>21</v>
      </c>
      <c r="Q32" s="329">
        <v>12</v>
      </c>
      <c r="R32" s="320">
        <f t="shared" si="4"/>
        <v>128</v>
      </c>
      <c r="S32" s="321">
        <f t="shared" si="5"/>
        <v>21.333333333333332</v>
      </c>
      <c r="T32" s="325">
        <f t="shared" si="6"/>
        <v>5.71875</v>
      </c>
      <c r="U32" s="33">
        <f t="shared" si="7"/>
        <v>122</v>
      </c>
    </row>
    <row r="33" spans="1:23" x14ac:dyDescent="0.2">
      <c r="A33" s="36">
        <v>2009</v>
      </c>
      <c r="C33" s="241" t="s">
        <v>26</v>
      </c>
      <c r="D33" s="348" t="s">
        <v>35</v>
      </c>
      <c r="E33" s="329">
        <v>457</v>
      </c>
      <c r="F33" s="344">
        <v>0</v>
      </c>
      <c r="G33" s="344"/>
      <c r="H33" s="344"/>
      <c r="I33" s="344"/>
      <c r="J33" s="344"/>
      <c r="K33" s="344"/>
      <c r="L33" s="344"/>
      <c r="M33" s="344">
        <v>0</v>
      </c>
      <c r="N33" s="344">
        <v>0</v>
      </c>
      <c r="O33" s="344">
        <v>0</v>
      </c>
      <c r="P33" s="344"/>
      <c r="Q33" s="344">
        <v>2</v>
      </c>
      <c r="R33" s="320">
        <f t="shared" si="4"/>
        <v>2</v>
      </c>
      <c r="S33" s="321">
        <f t="shared" si="5"/>
        <v>0.4</v>
      </c>
      <c r="T33" s="325">
        <f t="shared" si="6"/>
        <v>1137.5</v>
      </c>
      <c r="U33" s="33">
        <f t="shared" si="7"/>
        <v>455</v>
      </c>
    </row>
    <row r="34" spans="1:23" x14ac:dyDescent="0.2">
      <c r="A34" s="36">
        <v>2009</v>
      </c>
      <c r="C34" s="241" t="s">
        <v>27</v>
      </c>
      <c r="D34" s="348"/>
      <c r="E34" s="329">
        <v>222</v>
      </c>
      <c r="F34" s="344">
        <v>0</v>
      </c>
      <c r="G34" s="344"/>
      <c r="H34" s="344"/>
      <c r="I34" s="344"/>
      <c r="J34" s="344"/>
      <c r="K34" s="344"/>
      <c r="L34" s="344"/>
      <c r="M34" s="344">
        <v>0</v>
      </c>
      <c r="N34" s="344">
        <v>0</v>
      </c>
      <c r="O34" s="241">
        <v>5</v>
      </c>
      <c r="P34" s="241">
        <v>5</v>
      </c>
      <c r="Q34" s="241">
        <v>3</v>
      </c>
      <c r="R34" s="320">
        <f t="shared" si="4"/>
        <v>13</v>
      </c>
      <c r="S34" s="321">
        <f t="shared" si="5"/>
        <v>2.1666666666666665</v>
      </c>
      <c r="T34" s="325">
        <f t="shared" si="6"/>
        <v>96.461538461538467</v>
      </c>
      <c r="U34" s="33">
        <f t="shared" si="7"/>
        <v>209</v>
      </c>
    </row>
    <row r="35" spans="1:23" x14ac:dyDescent="0.2">
      <c r="A35" s="36">
        <v>2009</v>
      </c>
      <c r="C35" s="241" t="s">
        <v>32</v>
      </c>
      <c r="D35" s="348"/>
      <c r="E35" s="329">
        <v>251</v>
      </c>
      <c r="F35" s="344">
        <v>0</v>
      </c>
      <c r="G35" s="344"/>
      <c r="H35" s="344"/>
      <c r="I35" s="344"/>
      <c r="J35" s="344"/>
      <c r="K35" s="241">
        <v>10</v>
      </c>
      <c r="L35" s="241">
        <v>6</v>
      </c>
      <c r="M35" s="241">
        <v>20</v>
      </c>
      <c r="N35" s="241">
        <v>10</v>
      </c>
      <c r="O35" s="241">
        <v>8</v>
      </c>
      <c r="P35" s="241">
        <v>31</v>
      </c>
      <c r="Q35" s="241">
        <v>0</v>
      </c>
      <c r="R35" s="320">
        <f t="shared" si="4"/>
        <v>85</v>
      </c>
      <c r="S35" s="321">
        <f t="shared" si="5"/>
        <v>10.625</v>
      </c>
      <c r="T35" s="325">
        <f t="shared" si="6"/>
        <v>15.623529411764705</v>
      </c>
      <c r="U35" s="33">
        <f t="shared" si="7"/>
        <v>166</v>
      </c>
    </row>
    <row r="36" spans="1:23" x14ac:dyDescent="0.2">
      <c r="A36" s="36">
        <v>2009</v>
      </c>
      <c r="C36" s="241" t="s">
        <v>33</v>
      </c>
      <c r="D36" s="372">
        <v>44.4</v>
      </c>
      <c r="E36" s="364">
        <v>415</v>
      </c>
      <c r="F36" s="385">
        <v>0</v>
      </c>
      <c r="G36" s="385">
        <v>0</v>
      </c>
      <c r="H36" s="385">
        <v>0</v>
      </c>
      <c r="I36" s="373">
        <v>40</v>
      </c>
      <c r="J36" s="373">
        <v>55</v>
      </c>
      <c r="K36" s="373">
        <v>61</v>
      </c>
      <c r="L36" s="373">
        <v>48</v>
      </c>
      <c r="M36" s="373">
        <v>105</v>
      </c>
      <c r="N36" s="373">
        <v>56</v>
      </c>
      <c r="O36" s="373">
        <v>0</v>
      </c>
      <c r="P36" s="392"/>
      <c r="Q36" s="392"/>
      <c r="R36" s="320">
        <f>SUM(F36:Q36)</f>
        <v>365</v>
      </c>
      <c r="S36" s="321">
        <f>AVERAGE(F36:Q36)</f>
        <v>36.5</v>
      </c>
      <c r="T36" s="325">
        <f>U36/S36</f>
        <v>0</v>
      </c>
      <c r="U36" s="33">
        <v>0</v>
      </c>
    </row>
    <row r="37" spans="1:23" x14ac:dyDescent="0.2">
      <c r="A37" s="36">
        <v>2009</v>
      </c>
      <c r="C37" s="342" t="s">
        <v>44</v>
      </c>
      <c r="D37" s="348"/>
      <c r="E37" s="322" t="s">
        <v>35</v>
      </c>
      <c r="F37" s="319">
        <v>0</v>
      </c>
      <c r="G37" s="319"/>
      <c r="H37" s="319"/>
      <c r="I37" s="319"/>
      <c r="J37" s="319"/>
      <c r="K37" s="319"/>
      <c r="L37" s="319"/>
      <c r="M37" s="319">
        <v>0</v>
      </c>
      <c r="N37" s="319">
        <v>0</v>
      </c>
      <c r="O37" s="319"/>
      <c r="P37" s="319"/>
      <c r="Q37" s="319"/>
      <c r="R37" s="320">
        <v>60</v>
      </c>
      <c r="S37" s="321">
        <f t="shared" si="5"/>
        <v>0</v>
      </c>
      <c r="T37" s="325">
        <v>0</v>
      </c>
      <c r="U37" s="33">
        <v>0</v>
      </c>
    </row>
    <row r="38" spans="1:23" x14ac:dyDescent="0.2">
      <c r="A38" s="36">
        <v>2009</v>
      </c>
      <c r="C38" s="241" t="s">
        <v>43</v>
      </c>
      <c r="D38" s="348"/>
      <c r="E38" s="329">
        <v>0</v>
      </c>
      <c r="F38" s="319">
        <v>0</v>
      </c>
      <c r="G38" s="319"/>
      <c r="H38" s="319"/>
      <c r="I38" s="319"/>
      <c r="J38" s="319"/>
      <c r="K38" s="319"/>
      <c r="L38" s="319"/>
      <c r="M38" s="319">
        <v>0</v>
      </c>
      <c r="N38" s="319">
        <v>0</v>
      </c>
      <c r="O38" s="319"/>
      <c r="P38" s="319"/>
      <c r="Q38" s="319"/>
      <c r="R38" s="320">
        <f t="shared" si="4"/>
        <v>0</v>
      </c>
      <c r="S38" s="321">
        <f t="shared" si="5"/>
        <v>0</v>
      </c>
      <c r="T38" s="325" t="e">
        <f t="shared" si="6"/>
        <v>#DIV/0!</v>
      </c>
      <c r="U38" s="33">
        <f t="shared" si="7"/>
        <v>0</v>
      </c>
    </row>
    <row r="39" spans="1:23" x14ac:dyDescent="0.2">
      <c r="A39" s="36">
        <v>2009</v>
      </c>
      <c r="C39" s="241" t="s">
        <v>31</v>
      </c>
      <c r="D39" s="348"/>
      <c r="E39" s="329">
        <v>596</v>
      </c>
      <c r="F39" s="344">
        <v>0</v>
      </c>
      <c r="G39" s="344"/>
      <c r="H39" s="344"/>
      <c r="I39" s="344"/>
      <c r="J39" s="344"/>
      <c r="K39" s="344"/>
      <c r="L39" s="241">
        <v>3</v>
      </c>
      <c r="M39" s="241">
        <v>0</v>
      </c>
      <c r="N39" s="241">
        <v>58</v>
      </c>
      <c r="O39" s="241">
        <v>60</v>
      </c>
      <c r="P39" s="241">
        <v>50</v>
      </c>
      <c r="Q39" s="241">
        <v>28</v>
      </c>
      <c r="R39" s="320">
        <f>SUM(F39:Q39)</f>
        <v>199</v>
      </c>
      <c r="S39" s="321">
        <f>AVERAGE(F39:Q39)</f>
        <v>28.428571428571427</v>
      </c>
      <c r="T39" s="325">
        <f>U39/S39</f>
        <v>13.964824120603016</v>
      </c>
      <c r="U39" s="33">
        <f>SUM(E39-R39)</f>
        <v>397</v>
      </c>
    </row>
    <row r="40" spans="1:23" x14ac:dyDescent="0.2">
      <c r="A40" s="36">
        <v>2009</v>
      </c>
      <c r="C40" s="241" t="s">
        <v>45</v>
      </c>
      <c r="D40" s="393" t="s">
        <v>35</v>
      </c>
      <c r="E40" s="373">
        <v>287</v>
      </c>
      <c r="F40" s="385"/>
      <c r="G40" s="385"/>
      <c r="H40" s="385"/>
      <c r="I40" s="385"/>
      <c r="J40" s="385"/>
      <c r="K40" s="385"/>
      <c r="L40" s="364">
        <v>0</v>
      </c>
      <c r="M40" s="364">
        <v>25</v>
      </c>
      <c r="N40" s="364">
        <v>9</v>
      </c>
      <c r="O40" s="364">
        <v>11</v>
      </c>
      <c r="P40" s="364">
        <v>14</v>
      </c>
      <c r="Q40" s="364">
        <v>12</v>
      </c>
      <c r="R40" s="320">
        <f>SUM(F40:Q40)</f>
        <v>71</v>
      </c>
      <c r="S40" s="321">
        <f>AVERAGE(F40:Q40)</f>
        <v>11.833333333333334</v>
      </c>
      <c r="T40" s="325">
        <f>U40/S40</f>
        <v>18.253521126760564</v>
      </c>
      <c r="U40" s="33">
        <f>SUM(E40-R40)</f>
        <v>216</v>
      </c>
    </row>
    <row r="41" spans="1:23" x14ac:dyDescent="0.2">
      <c r="A41" s="36">
        <v>2009</v>
      </c>
      <c r="C41" s="322" t="s">
        <v>46</v>
      </c>
      <c r="D41" s="394" t="s">
        <v>47</v>
      </c>
      <c r="E41" s="364">
        <v>323</v>
      </c>
      <c r="F41" s="385">
        <v>0</v>
      </c>
      <c r="G41" s="385">
        <v>0</v>
      </c>
      <c r="H41" s="385">
        <v>0</v>
      </c>
      <c r="I41" s="373">
        <v>25</v>
      </c>
      <c r="J41" s="373">
        <v>40</v>
      </c>
      <c r="K41" s="373">
        <v>76</v>
      </c>
      <c r="L41" s="373">
        <v>52</v>
      </c>
      <c r="M41" s="373">
        <v>0</v>
      </c>
      <c r="N41" s="373">
        <v>40</v>
      </c>
      <c r="O41" s="373">
        <v>26</v>
      </c>
      <c r="P41" s="392"/>
      <c r="Q41" s="392">
        <v>0</v>
      </c>
      <c r="R41" s="320">
        <f t="shared" si="4"/>
        <v>259</v>
      </c>
      <c r="S41" s="321">
        <f t="shared" si="5"/>
        <v>23.545454545454547</v>
      </c>
      <c r="T41" s="325">
        <f t="shared" si="6"/>
        <v>0</v>
      </c>
      <c r="U41" s="33">
        <v>0</v>
      </c>
    </row>
    <row r="42" spans="1:23" x14ac:dyDescent="0.2">
      <c r="A42" s="34"/>
      <c r="B42" s="30"/>
      <c r="C42" s="345"/>
      <c r="D42" s="346"/>
      <c r="E42" s="345"/>
      <c r="F42" s="345"/>
      <c r="G42" s="345"/>
      <c r="H42" s="345"/>
      <c r="I42" s="345"/>
      <c r="J42" s="345"/>
      <c r="K42" s="345"/>
      <c r="L42" s="345"/>
      <c r="M42" s="345"/>
      <c r="N42" s="345"/>
      <c r="O42" s="345"/>
      <c r="P42" s="345"/>
      <c r="Q42" s="345"/>
      <c r="R42" s="345"/>
      <c r="S42" s="346"/>
      <c r="T42" s="347"/>
      <c r="U42" s="35"/>
    </row>
    <row r="43" spans="1:23" x14ac:dyDescent="0.2">
      <c r="A43" s="32">
        <v>2006</v>
      </c>
      <c r="C43" s="349" t="s">
        <v>16</v>
      </c>
      <c r="D43" s="321">
        <v>377</v>
      </c>
      <c r="E43" s="241">
        <f t="shared" ref="E43:Q43" si="8">SUM(E3)</f>
        <v>27</v>
      </c>
      <c r="F43" s="241">
        <f t="shared" si="8"/>
        <v>0</v>
      </c>
      <c r="G43" s="241">
        <f t="shared" si="8"/>
        <v>0</v>
      </c>
      <c r="H43" s="241">
        <f t="shared" si="8"/>
        <v>0</v>
      </c>
      <c r="I43" s="241">
        <f t="shared" si="8"/>
        <v>0</v>
      </c>
      <c r="J43" s="241">
        <f t="shared" si="8"/>
        <v>0</v>
      </c>
      <c r="K43" s="241">
        <f t="shared" si="8"/>
        <v>0</v>
      </c>
      <c r="L43" s="241">
        <f t="shared" si="8"/>
        <v>0</v>
      </c>
      <c r="M43" s="241">
        <f t="shared" si="8"/>
        <v>0</v>
      </c>
      <c r="N43" s="241">
        <f t="shared" si="8"/>
        <v>0</v>
      </c>
      <c r="O43" s="241">
        <f t="shared" si="8"/>
        <v>0</v>
      </c>
      <c r="P43" s="241">
        <f t="shared" si="8"/>
        <v>0</v>
      </c>
      <c r="Q43" s="241">
        <f t="shared" si="8"/>
        <v>0</v>
      </c>
      <c r="R43" s="320">
        <f>SUM(F43:Q43)</f>
        <v>0</v>
      </c>
      <c r="S43" s="321">
        <f>AVERAGE(F43:Q43)</f>
        <v>0</v>
      </c>
      <c r="T43" s="325" t="e">
        <f>U43/S43</f>
        <v>#DIV/0!</v>
      </c>
      <c r="U43" s="33">
        <f>SUM(E43-R43)</f>
        <v>27</v>
      </c>
    </row>
    <row r="44" spans="1:23" x14ac:dyDescent="0.2">
      <c r="A44" s="32">
        <v>2007</v>
      </c>
      <c r="C44" s="241"/>
      <c r="D44" s="488">
        <v>431.5</v>
      </c>
      <c r="E44" s="241">
        <f t="shared" ref="E44:Q44" si="9">SUM(E5:E8)</f>
        <v>873</v>
      </c>
      <c r="F44" s="241">
        <f t="shared" si="9"/>
        <v>30</v>
      </c>
      <c r="G44" s="241">
        <f t="shared" si="9"/>
        <v>43</v>
      </c>
      <c r="H44" s="241">
        <f t="shared" si="9"/>
        <v>52</v>
      </c>
      <c r="I44" s="241">
        <f t="shared" si="9"/>
        <v>17</v>
      </c>
      <c r="J44" s="241">
        <f t="shared" si="9"/>
        <v>49</v>
      </c>
      <c r="K44" s="241">
        <f t="shared" si="9"/>
        <v>38</v>
      </c>
      <c r="L44" s="241">
        <f t="shared" si="9"/>
        <v>35</v>
      </c>
      <c r="M44" s="241">
        <f t="shared" si="9"/>
        <v>32</v>
      </c>
      <c r="N44" s="241">
        <f t="shared" si="9"/>
        <v>63</v>
      </c>
      <c r="O44" s="241">
        <f t="shared" si="9"/>
        <v>37</v>
      </c>
      <c r="P44" s="241">
        <f t="shared" si="9"/>
        <v>13</v>
      </c>
      <c r="Q44" s="241">
        <f t="shared" si="9"/>
        <v>5</v>
      </c>
      <c r="R44" s="320">
        <f>SUM(F44:Q44)</f>
        <v>414</v>
      </c>
      <c r="S44" s="321">
        <f>AVERAGE(F44:Q44)</f>
        <v>34.5</v>
      </c>
      <c r="T44" s="325">
        <f>U44/S44</f>
        <v>13.304347826086957</v>
      </c>
      <c r="U44" s="33">
        <f>SUM(E44-R44)</f>
        <v>459</v>
      </c>
    </row>
    <row r="45" spans="1:23" x14ac:dyDescent="0.2">
      <c r="A45" s="32">
        <v>2008</v>
      </c>
      <c r="C45" s="241"/>
      <c r="D45" s="350">
        <v>352.25</v>
      </c>
      <c r="E45" s="241">
        <f t="shared" ref="E45:Q45" si="10">SUM(E11:E24)</f>
        <v>3691</v>
      </c>
      <c r="F45" s="241">
        <f t="shared" si="10"/>
        <v>246</v>
      </c>
      <c r="G45" s="241">
        <f t="shared" si="10"/>
        <v>160</v>
      </c>
      <c r="H45" s="241">
        <f t="shared" si="10"/>
        <v>419</v>
      </c>
      <c r="I45" s="241">
        <f t="shared" si="10"/>
        <v>177</v>
      </c>
      <c r="J45" s="241">
        <f t="shared" si="10"/>
        <v>313</v>
      </c>
      <c r="K45" s="241">
        <f t="shared" si="10"/>
        <v>228</v>
      </c>
      <c r="L45" s="241">
        <f t="shared" si="10"/>
        <v>345</v>
      </c>
      <c r="M45" s="241">
        <f t="shared" si="10"/>
        <v>185</v>
      </c>
      <c r="N45" s="241">
        <f t="shared" si="10"/>
        <v>239</v>
      </c>
      <c r="O45" s="241">
        <f t="shared" si="10"/>
        <v>250</v>
      </c>
      <c r="P45" s="241">
        <f t="shared" si="10"/>
        <v>202</v>
      </c>
      <c r="Q45" s="241">
        <f t="shared" si="10"/>
        <v>129</v>
      </c>
      <c r="R45" s="320">
        <f>SUM(F45:Q45)</f>
        <v>2893</v>
      </c>
      <c r="S45" s="321">
        <f>AVERAGE(F45:Q45)</f>
        <v>241.08333333333334</v>
      </c>
      <c r="T45" s="325">
        <f>U45/S45</f>
        <v>3.3100587625302453</v>
      </c>
      <c r="U45" s="33">
        <f>SUM(E45-R45)</f>
        <v>798</v>
      </c>
    </row>
    <row r="46" spans="1:23" x14ac:dyDescent="0.2">
      <c r="A46" s="32">
        <v>2009</v>
      </c>
      <c r="C46" s="241"/>
      <c r="D46" s="351"/>
      <c r="E46" s="241">
        <f t="shared" ref="E46:Q46" si="11">SUM(E26:E41)</f>
        <v>4071</v>
      </c>
      <c r="F46" s="241">
        <f t="shared" si="11"/>
        <v>0</v>
      </c>
      <c r="G46" s="241">
        <f t="shared" si="11"/>
        <v>0</v>
      </c>
      <c r="H46" s="241">
        <f t="shared" si="11"/>
        <v>0</v>
      </c>
      <c r="I46" s="241">
        <f t="shared" si="11"/>
        <v>65</v>
      </c>
      <c r="J46" s="241">
        <f t="shared" si="11"/>
        <v>95</v>
      </c>
      <c r="K46" s="241">
        <f t="shared" si="11"/>
        <v>147</v>
      </c>
      <c r="L46" s="241">
        <f t="shared" si="11"/>
        <v>109</v>
      </c>
      <c r="M46" s="241">
        <f t="shared" si="11"/>
        <v>173</v>
      </c>
      <c r="N46" s="241">
        <f t="shared" si="11"/>
        <v>210</v>
      </c>
      <c r="O46" s="241">
        <f t="shared" si="11"/>
        <v>196</v>
      </c>
      <c r="P46" s="241">
        <f t="shared" si="11"/>
        <v>183</v>
      </c>
      <c r="Q46" s="241">
        <f t="shared" si="11"/>
        <v>57</v>
      </c>
      <c r="R46" s="320">
        <f>SUM(F46:Q46)</f>
        <v>1235</v>
      </c>
      <c r="S46" s="321">
        <f>AVERAGE(F46:Q46)</f>
        <v>102.91666666666667</v>
      </c>
      <c r="T46" s="325">
        <f>U46/S46</f>
        <v>27.556275303643723</v>
      </c>
      <c r="U46" s="33">
        <f>SUM(E46-R46)</f>
        <v>2836</v>
      </c>
    </row>
    <row r="47" spans="1:23" x14ac:dyDescent="0.2">
      <c r="A47" s="37"/>
      <c r="B47" s="30"/>
      <c r="C47" s="352"/>
      <c r="D47" s="353"/>
      <c r="E47" s="352"/>
      <c r="F47" s="352"/>
      <c r="G47" s="352"/>
      <c r="H47" s="352"/>
      <c r="I47" s="352"/>
      <c r="J47" s="352"/>
      <c r="K47" s="352"/>
      <c r="L47" s="352"/>
      <c r="M47" s="352"/>
      <c r="N47" s="352"/>
      <c r="O47" s="352"/>
      <c r="P47" s="352"/>
      <c r="Q47" s="352"/>
      <c r="R47" s="352"/>
      <c r="S47" s="353"/>
      <c r="T47" s="354"/>
      <c r="U47" s="355"/>
      <c r="V47" s="13"/>
      <c r="W47" s="13"/>
    </row>
    <row r="48" spans="1:23" x14ac:dyDescent="0.2">
      <c r="A48" s="27"/>
      <c r="C48" s="14" t="s">
        <v>36</v>
      </c>
      <c r="D48" s="11">
        <v>486.25</v>
      </c>
      <c r="E48" s="9">
        <f t="shared" ref="E48:Q48" si="12">SUM(E3+E5+E6+E7+E8+E11+E12+E13+E14+E17+E18+E19+E20+Y23,E26+E27+E28+E29+E32+E33+E34+E35+E38)</f>
        <v>5210</v>
      </c>
      <c r="F48" s="9">
        <f t="shared" si="12"/>
        <v>142</v>
      </c>
      <c r="G48" s="9">
        <f t="shared" si="12"/>
        <v>142</v>
      </c>
      <c r="H48" s="9">
        <f t="shared" si="12"/>
        <v>289</v>
      </c>
      <c r="I48" s="9">
        <f t="shared" si="12"/>
        <v>79</v>
      </c>
      <c r="J48" s="9">
        <f t="shared" si="12"/>
        <v>207</v>
      </c>
      <c r="K48" s="9">
        <f t="shared" si="12"/>
        <v>159</v>
      </c>
      <c r="L48" s="9">
        <f t="shared" si="12"/>
        <v>201</v>
      </c>
      <c r="M48" s="9">
        <f t="shared" si="12"/>
        <v>243</v>
      </c>
      <c r="N48" s="9">
        <f t="shared" si="12"/>
        <v>256</v>
      </c>
      <c r="O48" s="9">
        <f t="shared" si="12"/>
        <v>317</v>
      </c>
      <c r="P48" s="9">
        <f t="shared" si="12"/>
        <v>244</v>
      </c>
      <c r="Q48" s="9">
        <f t="shared" si="12"/>
        <v>128</v>
      </c>
      <c r="R48" s="320">
        <f>SUM(F48:Q48)</f>
        <v>2407</v>
      </c>
      <c r="S48" s="321">
        <f>AVERAGE(F48:N48)</f>
        <v>190.88888888888889</v>
      </c>
      <c r="T48" s="325">
        <f>U48/S48</f>
        <v>14.683934807916183</v>
      </c>
      <c r="U48" s="33">
        <f>SUM(E48-R48)</f>
        <v>2803</v>
      </c>
    </row>
    <row r="49" spans="1:21" ht="13.5" thickBot="1" x14ac:dyDescent="0.25">
      <c r="A49" s="38"/>
      <c r="B49" s="39"/>
      <c r="C49" s="40" t="s">
        <v>37</v>
      </c>
      <c r="D49" s="41">
        <v>754.75</v>
      </c>
      <c r="E49" s="42" t="e">
        <f t="shared" ref="E49:Q49" si="13">SUM(E15+E16+E21+E22+E24+E30+E31+E36+E37+E39+E41)</f>
        <v>#VALUE!</v>
      </c>
      <c r="F49" s="42">
        <f t="shared" si="13"/>
        <v>125</v>
      </c>
      <c r="G49" s="42">
        <f t="shared" si="13"/>
        <v>55</v>
      </c>
      <c r="H49" s="42">
        <f t="shared" si="13"/>
        <v>161</v>
      </c>
      <c r="I49" s="42">
        <f t="shared" si="13"/>
        <v>165</v>
      </c>
      <c r="J49" s="42">
        <f t="shared" si="13"/>
        <v>214</v>
      </c>
      <c r="K49" s="42">
        <f t="shared" si="13"/>
        <v>226</v>
      </c>
      <c r="L49" s="42">
        <f t="shared" si="13"/>
        <v>288</v>
      </c>
      <c r="M49" s="42">
        <f t="shared" si="13"/>
        <v>122</v>
      </c>
      <c r="N49" s="42">
        <f t="shared" si="13"/>
        <v>247</v>
      </c>
      <c r="O49" s="42">
        <f t="shared" si="13"/>
        <v>155</v>
      </c>
      <c r="P49" s="42">
        <f t="shared" si="13"/>
        <v>140</v>
      </c>
      <c r="Q49" s="42" t="e">
        <f t="shared" si="13"/>
        <v>#VALUE!</v>
      </c>
      <c r="R49" s="43" t="e">
        <f>SUM(F49:Q49)</f>
        <v>#VALUE!</v>
      </c>
      <c r="S49" s="41">
        <f>AVERAGE(F49:N49)</f>
        <v>178.11111111111111</v>
      </c>
      <c r="T49" s="44" t="e">
        <f>U49/S49</f>
        <v>#VALUE!</v>
      </c>
      <c r="U49" s="45" t="e">
        <f>SUM(E49-R49)</f>
        <v>#VALUE!</v>
      </c>
    </row>
  </sheetData>
  <mergeCells count="1">
    <mergeCell ref="C1:R1"/>
  </mergeCells>
  <phoneticPr fontId="0" type="noConversion"/>
  <pageMargins left="0.25" right="0.25" top="0.75" bottom="0.75" header="0.3" footer="0.3"/>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C36" sqref="C36"/>
    </sheetView>
  </sheetViews>
  <sheetFormatPr defaultRowHeight="12.75" x14ac:dyDescent="0.2"/>
  <sheetData/>
  <phoneticPr fontId="8"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2"/>
  <sheetViews>
    <sheetView topLeftCell="A7" zoomScale="85" zoomScaleNormal="85" workbookViewId="0">
      <selection activeCell="A23" sqref="A23"/>
    </sheetView>
  </sheetViews>
  <sheetFormatPr defaultRowHeight="12.75" x14ac:dyDescent="0.2"/>
  <cols>
    <col min="3" max="3" width="16.5703125" bestFit="1" customWidth="1"/>
    <col min="5" max="5" width="12" customWidth="1"/>
    <col min="10" max="10" width="10" bestFit="1" customWidth="1"/>
    <col min="21" max="21" width="12.5703125" customWidth="1"/>
    <col min="24" max="24" width="9.5703125" customWidth="1"/>
  </cols>
  <sheetData>
    <row r="1" spans="1:25" x14ac:dyDescent="0.2">
      <c r="J1" t="s">
        <v>48</v>
      </c>
      <c r="K1" t="s">
        <v>49</v>
      </c>
    </row>
    <row r="2" spans="1:25" ht="27" customHeight="1" x14ac:dyDescent="0.2">
      <c r="D2" s="71" t="s">
        <v>50</v>
      </c>
      <c r="E2" s="86" t="s">
        <v>51</v>
      </c>
      <c r="J2" t="s">
        <v>52</v>
      </c>
      <c r="K2">
        <v>9200</v>
      </c>
      <c r="L2" t="s">
        <v>53</v>
      </c>
      <c r="M2" t="s">
        <v>54</v>
      </c>
    </row>
    <row r="3" spans="1:25" ht="27" customHeight="1" x14ac:dyDescent="0.2">
      <c r="D3" s="71" t="s">
        <v>55</v>
      </c>
      <c r="E3" s="86" t="s">
        <v>56</v>
      </c>
      <c r="J3" t="s">
        <v>57</v>
      </c>
      <c r="K3">
        <v>11087</v>
      </c>
      <c r="L3" t="s">
        <v>53</v>
      </c>
      <c r="M3" t="s">
        <v>58</v>
      </c>
    </row>
    <row r="4" spans="1:25" ht="15.75" x14ac:dyDescent="0.2">
      <c r="E4" s="86" t="s">
        <v>59</v>
      </c>
    </row>
    <row r="6" spans="1:25" ht="13.5" thickBot="1" x14ac:dyDescent="0.25"/>
    <row r="7" spans="1:25" ht="21" thickBot="1" x14ac:dyDescent="0.35">
      <c r="A7" s="82"/>
      <c r="B7" s="52" t="s">
        <v>0</v>
      </c>
      <c r="C7" s="53"/>
      <c r="D7" s="53"/>
      <c r="E7" s="53"/>
      <c r="F7" s="53"/>
      <c r="G7" s="53"/>
      <c r="H7" s="53"/>
      <c r="I7" s="53"/>
      <c r="J7" s="53"/>
      <c r="K7" s="53"/>
      <c r="L7" s="53"/>
      <c r="M7" s="53"/>
      <c r="N7" s="53"/>
      <c r="O7" s="53"/>
      <c r="P7" s="53"/>
      <c r="Q7" s="53"/>
      <c r="R7" s="53"/>
      <c r="S7" s="53"/>
      <c r="T7" s="53"/>
      <c r="U7" s="54"/>
    </row>
    <row r="8" spans="1:25" ht="48" thickBot="1" x14ac:dyDescent="0.3">
      <c r="A8" s="248" t="s">
        <v>60</v>
      </c>
      <c r="B8" s="83" t="s">
        <v>3</v>
      </c>
      <c r="C8" s="55" t="s">
        <v>2</v>
      </c>
      <c r="D8" s="56" t="s">
        <v>61</v>
      </c>
      <c r="E8" s="57" t="s">
        <v>62</v>
      </c>
      <c r="F8" s="58" t="s">
        <v>4</v>
      </c>
      <c r="G8" s="58" t="s">
        <v>5</v>
      </c>
      <c r="H8" s="58" t="s">
        <v>6</v>
      </c>
      <c r="I8" s="58" t="s">
        <v>7</v>
      </c>
      <c r="J8" s="58" t="s">
        <v>8</v>
      </c>
      <c r="K8" s="58" t="s">
        <v>9</v>
      </c>
      <c r="L8" s="58" t="s">
        <v>10</v>
      </c>
      <c r="M8" s="58" t="s">
        <v>11</v>
      </c>
      <c r="N8" s="58" t="s">
        <v>12</v>
      </c>
      <c r="O8" s="58" t="s">
        <v>13</v>
      </c>
      <c r="P8" s="58" t="s">
        <v>14</v>
      </c>
      <c r="Q8" s="58" t="s">
        <v>15</v>
      </c>
      <c r="R8" s="59" t="s">
        <v>16</v>
      </c>
      <c r="S8" s="60" t="s">
        <v>63</v>
      </c>
      <c r="T8" s="57" t="s">
        <v>19</v>
      </c>
      <c r="U8" s="61" t="s">
        <v>41</v>
      </c>
      <c r="X8" s="87" t="s">
        <v>64</v>
      </c>
      <c r="Y8" s="88" t="s">
        <v>16</v>
      </c>
    </row>
    <row r="9" spans="1:25" x14ac:dyDescent="0.2">
      <c r="A9" s="241"/>
      <c r="B9" s="84">
        <v>2009</v>
      </c>
      <c r="C9" s="241" t="s">
        <v>21</v>
      </c>
      <c r="D9" s="321">
        <v>22</v>
      </c>
      <c r="E9" s="329">
        <v>21</v>
      </c>
      <c r="F9" s="241">
        <v>21</v>
      </c>
      <c r="G9" s="241">
        <v>0</v>
      </c>
      <c r="H9" s="319"/>
      <c r="I9" s="319"/>
      <c r="J9" s="319"/>
      <c r="K9" s="319"/>
      <c r="L9" s="328"/>
      <c r="M9" s="319"/>
      <c r="N9" s="319"/>
      <c r="O9" s="319"/>
      <c r="P9" s="319"/>
      <c r="Q9" s="319"/>
      <c r="R9" s="320">
        <f>SUM(F9:Q9)</f>
        <v>21</v>
      </c>
      <c r="S9" s="321">
        <f>AVERAGE(F9:Q9)</f>
        <v>10.5</v>
      </c>
      <c r="T9" s="325">
        <f>U9/S9</f>
        <v>0</v>
      </c>
      <c r="U9" s="33">
        <f>SUM(E9-R9)</f>
        <v>0</v>
      </c>
    </row>
    <row r="10" spans="1:25" x14ac:dyDescent="0.2">
      <c r="A10" s="241"/>
      <c r="B10" s="84">
        <v>2009</v>
      </c>
      <c r="C10" s="241" t="s">
        <v>23</v>
      </c>
      <c r="D10" s="321">
        <v>29</v>
      </c>
      <c r="E10" s="329">
        <v>118</v>
      </c>
      <c r="F10" s="241">
        <v>23</v>
      </c>
      <c r="G10" s="241">
        <v>17</v>
      </c>
      <c r="H10" s="241">
        <v>14</v>
      </c>
      <c r="I10" s="241">
        <v>34</v>
      </c>
      <c r="J10" s="241">
        <v>28</v>
      </c>
      <c r="K10" s="241">
        <v>2</v>
      </c>
      <c r="L10" s="319"/>
      <c r="M10" s="319"/>
      <c r="N10" s="319"/>
      <c r="O10" s="319"/>
      <c r="P10" s="319"/>
      <c r="Q10" s="319"/>
      <c r="R10" s="320">
        <f>SUM(F10:Q10)</f>
        <v>118</v>
      </c>
      <c r="S10" s="321">
        <f>AVERAGE(F10:Q10)</f>
        <v>19.666666666666668</v>
      </c>
      <c r="T10" s="325">
        <f>U10/S10</f>
        <v>0</v>
      </c>
      <c r="U10" s="33">
        <f>SUM(E10-R10)</f>
        <v>0</v>
      </c>
    </row>
    <row r="11" spans="1:25" x14ac:dyDescent="0.2">
      <c r="A11" s="241"/>
      <c r="B11" s="84">
        <v>2009</v>
      </c>
      <c r="C11" s="241" t="s">
        <v>26</v>
      </c>
      <c r="D11" s="321">
        <v>16</v>
      </c>
      <c r="E11" s="329">
        <v>13</v>
      </c>
      <c r="F11" s="241">
        <v>13</v>
      </c>
      <c r="G11" s="241">
        <v>0</v>
      </c>
      <c r="H11" s="319"/>
      <c r="I11" s="319"/>
      <c r="J11" s="319"/>
      <c r="K11" s="319"/>
      <c r="L11" s="319"/>
      <c r="M11" s="319"/>
      <c r="N11" s="319"/>
      <c r="O11" s="319"/>
      <c r="P11" s="319"/>
      <c r="Q11" s="319"/>
      <c r="R11" s="320">
        <f>SUM(F11:Q11)</f>
        <v>13</v>
      </c>
      <c r="S11" s="321">
        <f>AVERAGE(F11:Q11)</f>
        <v>6.5</v>
      </c>
      <c r="T11" s="325">
        <f>U11/S11</f>
        <v>0</v>
      </c>
      <c r="U11" s="33">
        <f>SUM(E11-R11)</f>
        <v>0</v>
      </c>
    </row>
    <row r="12" spans="1:25" x14ac:dyDescent="0.2">
      <c r="A12" s="294"/>
      <c r="B12" s="75"/>
      <c r="C12" s="345"/>
      <c r="D12" s="346"/>
      <c r="E12" s="345"/>
      <c r="F12" s="345"/>
      <c r="G12" s="345"/>
      <c r="H12" s="345"/>
      <c r="I12" s="345"/>
      <c r="J12" s="345"/>
      <c r="K12" s="345"/>
      <c r="L12" s="345"/>
      <c r="M12" s="345"/>
      <c r="N12" s="345"/>
      <c r="O12" s="345"/>
      <c r="P12" s="345"/>
      <c r="Q12" s="345"/>
      <c r="R12" s="345"/>
      <c r="S12" s="346"/>
      <c r="T12" s="347"/>
      <c r="U12" s="35"/>
    </row>
    <row r="13" spans="1:25" x14ac:dyDescent="0.2">
      <c r="A13" s="241">
        <v>57630</v>
      </c>
      <c r="B13" s="74">
        <v>2010</v>
      </c>
      <c r="C13" s="241" t="s">
        <v>25</v>
      </c>
      <c r="D13" s="343">
        <v>38</v>
      </c>
      <c r="E13" s="241">
        <v>255</v>
      </c>
      <c r="F13" s="342">
        <v>25</v>
      </c>
      <c r="G13" s="342">
        <v>29</v>
      </c>
      <c r="H13" s="342">
        <v>26</v>
      </c>
      <c r="I13" s="342">
        <v>38</v>
      </c>
      <c r="J13" s="342">
        <v>35</v>
      </c>
      <c r="K13" s="342">
        <v>35</v>
      </c>
      <c r="L13" s="342">
        <v>48</v>
      </c>
      <c r="M13" s="342">
        <v>19</v>
      </c>
      <c r="N13" s="311"/>
      <c r="O13" s="395"/>
      <c r="P13" s="311"/>
      <c r="Q13" s="311"/>
      <c r="R13" s="320">
        <f t="shared" ref="R13:R21" si="0">SUM(F13:Q13)</f>
        <v>255</v>
      </c>
      <c r="S13" s="321">
        <f t="shared" ref="S13:S21" si="1">AVERAGE(F13:Q13)</f>
        <v>31.875</v>
      </c>
      <c r="T13" s="325">
        <f t="shared" ref="T13:T21" si="2">U13/S13</f>
        <v>0</v>
      </c>
      <c r="U13" s="33">
        <f t="shared" ref="U13:U21" si="3">SUM(E13-R13)</f>
        <v>0</v>
      </c>
    </row>
    <row r="14" spans="1:25" x14ac:dyDescent="0.2">
      <c r="A14" s="241">
        <v>65560</v>
      </c>
      <c r="B14" s="74">
        <v>2010</v>
      </c>
      <c r="C14" s="342" t="s">
        <v>65</v>
      </c>
      <c r="D14" s="343">
        <v>30</v>
      </c>
      <c r="E14" s="241">
        <v>84</v>
      </c>
      <c r="F14" s="342">
        <v>11</v>
      </c>
      <c r="G14" s="342">
        <v>10</v>
      </c>
      <c r="H14" s="342">
        <v>9</v>
      </c>
      <c r="I14" s="342">
        <v>17</v>
      </c>
      <c r="J14" s="396">
        <v>21</v>
      </c>
      <c r="K14" s="289"/>
      <c r="L14" s="328"/>
      <c r="M14" s="328"/>
      <c r="N14" s="397"/>
      <c r="O14" s="397"/>
      <c r="P14" s="397"/>
      <c r="Q14" s="397"/>
      <c r="R14" s="320">
        <f>SUM(F14:Q14)</f>
        <v>68</v>
      </c>
      <c r="S14" s="321">
        <f>AVERAGE(F14:Q14)</f>
        <v>13.6</v>
      </c>
      <c r="T14" s="325">
        <f>U14/S14</f>
        <v>0</v>
      </c>
      <c r="U14" s="33">
        <v>0</v>
      </c>
      <c r="V14" s="71" t="s">
        <v>35</v>
      </c>
    </row>
    <row r="15" spans="1:25" x14ac:dyDescent="0.2">
      <c r="A15" s="241">
        <v>57632</v>
      </c>
      <c r="B15" s="74">
        <v>2010</v>
      </c>
      <c r="C15" s="241" t="s">
        <v>31</v>
      </c>
      <c r="D15" s="343">
        <v>31</v>
      </c>
      <c r="E15" s="241">
        <v>151</v>
      </c>
      <c r="F15" s="342">
        <v>19</v>
      </c>
      <c r="G15" s="342">
        <v>18</v>
      </c>
      <c r="H15" s="342">
        <v>16</v>
      </c>
      <c r="I15" s="342">
        <v>62</v>
      </c>
      <c r="J15" s="342">
        <v>36</v>
      </c>
      <c r="K15" s="289"/>
      <c r="L15" s="328"/>
      <c r="M15" s="328"/>
      <c r="N15" s="328"/>
      <c r="O15" s="328"/>
      <c r="P15" s="328"/>
      <c r="Q15" s="328"/>
      <c r="R15" s="320">
        <f t="shared" si="0"/>
        <v>151</v>
      </c>
      <c r="S15" s="321">
        <f>AVERAGE(F15:Q15)</f>
        <v>30.2</v>
      </c>
      <c r="T15" s="325">
        <f t="shared" si="2"/>
        <v>0</v>
      </c>
      <c r="U15" s="33">
        <f>SUM(E15-R15)</f>
        <v>0</v>
      </c>
    </row>
    <row r="16" spans="1:25" x14ac:dyDescent="0.2">
      <c r="A16" s="241">
        <v>22382</v>
      </c>
      <c r="B16" s="74">
        <v>2010</v>
      </c>
      <c r="C16" s="342" t="s">
        <v>23</v>
      </c>
      <c r="D16" s="343">
        <v>29</v>
      </c>
      <c r="E16" s="241">
        <v>283</v>
      </c>
      <c r="F16" s="398">
        <v>13</v>
      </c>
      <c r="G16" s="398">
        <v>6</v>
      </c>
      <c r="H16" s="398">
        <v>4</v>
      </c>
      <c r="I16" s="398">
        <v>0</v>
      </c>
      <c r="J16" s="398">
        <v>0</v>
      </c>
      <c r="K16" s="396">
        <v>30</v>
      </c>
      <c r="L16" s="396">
        <v>34</v>
      </c>
      <c r="M16" s="396">
        <v>28</v>
      </c>
      <c r="N16" s="396">
        <v>44</v>
      </c>
      <c r="O16" s="396">
        <v>42</v>
      </c>
      <c r="P16" s="396">
        <v>24</v>
      </c>
      <c r="Q16" s="396">
        <v>22</v>
      </c>
      <c r="R16" s="320">
        <f t="shared" si="0"/>
        <v>247</v>
      </c>
      <c r="S16" s="321">
        <f t="shared" si="1"/>
        <v>20.583333333333332</v>
      </c>
      <c r="T16" s="325">
        <f t="shared" si="2"/>
        <v>1.7489878542510122</v>
      </c>
      <c r="U16" s="33">
        <f t="shared" si="3"/>
        <v>36</v>
      </c>
      <c r="X16">
        <v>3</v>
      </c>
      <c r="Y16" s="89">
        <f>U16+X16</f>
        <v>39</v>
      </c>
    </row>
    <row r="17" spans="1:25" x14ac:dyDescent="0.2">
      <c r="A17" s="241">
        <v>22834</v>
      </c>
      <c r="B17" s="74">
        <v>2010</v>
      </c>
      <c r="C17" s="342" t="s">
        <v>26</v>
      </c>
      <c r="D17" s="343">
        <v>16</v>
      </c>
      <c r="E17" s="241">
        <v>308</v>
      </c>
      <c r="F17" s="399">
        <v>2</v>
      </c>
      <c r="G17" s="342">
        <v>12</v>
      </c>
      <c r="H17" s="342">
        <v>12</v>
      </c>
      <c r="I17" s="342">
        <v>6</v>
      </c>
      <c r="J17" s="342">
        <v>30</v>
      </c>
      <c r="K17" s="342">
        <v>14</v>
      </c>
      <c r="L17" s="342">
        <v>20</v>
      </c>
      <c r="M17" s="342">
        <v>3</v>
      </c>
      <c r="N17" s="342">
        <v>19</v>
      </c>
      <c r="O17" s="342">
        <v>33</v>
      </c>
      <c r="P17" s="342">
        <v>22</v>
      </c>
      <c r="Q17" s="342">
        <v>59</v>
      </c>
      <c r="R17" s="320">
        <f t="shared" si="0"/>
        <v>232</v>
      </c>
      <c r="S17" s="321">
        <f t="shared" si="1"/>
        <v>19.333333333333332</v>
      </c>
      <c r="T17" s="325">
        <f t="shared" si="2"/>
        <v>3.931034482758621</v>
      </c>
      <c r="U17" s="33">
        <f t="shared" si="3"/>
        <v>76</v>
      </c>
      <c r="X17">
        <v>4</v>
      </c>
      <c r="Y17" s="89">
        <f t="shared" ref="Y17:Y50" si="4">U17+X17</f>
        <v>80</v>
      </c>
    </row>
    <row r="18" spans="1:25" x14ac:dyDescent="0.2">
      <c r="A18" s="241">
        <v>28361</v>
      </c>
      <c r="B18" s="74">
        <v>2010</v>
      </c>
      <c r="C18" s="342" t="s">
        <v>24</v>
      </c>
      <c r="D18" s="343">
        <v>25</v>
      </c>
      <c r="E18" s="241">
        <v>238</v>
      </c>
      <c r="F18" s="342">
        <v>16</v>
      </c>
      <c r="G18" s="342">
        <v>15</v>
      </c>
      <c r="H18" s="342">
        <v>18</v>
      </c>
      <c r="I18" s="342">
        <v>22</v>
      </c>
      <c r="J18" s="342">
        <v>25</v>
      </c>
      <c r="K18" s="342">
        <v>18</v>
      </c>
      <c r="L18" s="342">
        <v>21</v>
      </c>
      <c r="M18" s="342">
        <v>19</v>
      </c>
      <c r="N18" s="342">
        <v>30</v>
      </c>
      <c r="O18" s="342">
        <v>35</v>
      </c>
      <c r="P18" s="342">
        <v>13</v>
      </c>
      <c r="Q18" s="400">
        <v>6</v>
      </c>
      <c r="R18" s="320">
        <f t="shared" si="0"/>
        <v>238</v>
      </c>
      <c r="S18" s="321">
        <f t="shared" si="1"/>
        <v>19.833333333333332</v>
      </c>
      <c r="T18" s="325">
        <f t="shared" si="2"/>
        <v>0</v>
      </c>
      <c r="U18" s="33">
        <f t="shared" si="3"/>
        <v>0</v>
      </c>
      <c r="Y18" s="89">
        <f t="shared" si="4"/>
        <v>0</v>
      </c>
    </row>
    <row r="19" spans="1:25" x14ac:dyDescent="0.2">
      <c r="A19" s="241">
        <v>27736</v>
      </c>
      <c r="B19" s="74">
        <v>2010</v>
      </c>
      <c r="C19" s="342" t="s">
        <v>27</v>
      </c>
      <c r="D19" s="343">
        <v>21</v>
      </c>
      <c r="E19" s="241">
        <v>301</v>
      </c>
      <c r="F19" s="342">
        <v>23</v>
      </c>
      <c r="G19" s="342">
        <v>22</v>
      </c>
      <c r="H19" s="342">
        <v>15</v>
      </c>
      <c r="I19" s="342">
        <v>15</v>
      </c>
      <c r="J19" s="342">
        <v>45</v>
      </c>
      <c r="K19" s="342">
        <v>25</v>
      </c>
      <c r="L19" s="342">
        <v>27</v>
      </c>
      <c r="M19" s="342">
        <v>23</v>
      </c>
      <c r="N19" s="342">
        <v>38</v>
      </c>
      <c r="O19" s="342">
        <v>39</v>
      </c>
      <c r="P19" s="342">
        <v>20</v>
      </c>
      <c r="Q19" s="342">
        <v>9</v>
      </c>
      <c r="R19" s="320">
        <f t="shared" si="0"/>
        <v>301</v>
      </c>
      <c r="S19" s="321">
        <f t="shared" si="1"/>
        <v>25.083333333333332</v>
      </c>
      <c r="T19" s="325">
        <f t="shared" si="2"/>
        <v>0</v>
      </c>
      <c r="U19" s="33">
        <f t="shared" si="3"/>
        <v>0</v>
      </c>
      <c r="Y19" s="89">
        <f t="shared" si="4"/>
        <v>0</v>
      </c>
    </row>
    <row r="20" spans="1:25" x14ac:dyDescent="0.2">
      <c r="A20">
        <v>18004</v>
      </c>
      <c r="B20" s="74">
        <v>2010</v>
      </c>
      <c r="C20" s="241" t="s">
        <v>29</v>
      </c>
      <c r="D20" s="343">
        <v>12</v>
      </c>
      <c r="E20" s="241">
        <v>168</v>
      </c>
      <c r="F20" s="342">
        <v>16</v>
      </c>
      <c r="G20" s="342">
        <v>8</v>
      </c>
      <c r="H20" s="342">
        <v>7</v>
      </c>
      <c r="I20" s="342">
        <v>12</v>
      </c>
      <c r="J20" s="342">
        <v>11</v>
      </c>
      <c r="K20" s="342">
        <v>6</v>
      </c>
      <c r="L20" s="342">
        <v>12</v>
      </c>
      <c r="M20" s="342">
        <v>16</v>
      </c>
      <c r="N20" s="400">
        <v>13</v>
      </c>
      <c r="O20" s="342">
        <v>19</v>
      </c>
      <c r="P20" s="342">
        <v>8</v>
      </c>
      <c r="Q20" s="342">
        <v>8</v>
      </c>
      <c r="R20" s="320">
        <f t="shared" si="0"/>
        <v>136</v>
      </c>
      <c r="S20" s="321">
        <f t="shared" si="1"/>
        <v>11.333333333333334</v>
      </c>
      <c r="T20" s="325">
        <f t="shared" si="2"/>
        <v>2.8235294117647056</v>
      </c>
      <c r="U20" s="33">
        <f t="shared" si="3"/>
        <v>32</v>
      </c>
      <c r="V20" s="71" t="s">
        <v>35</v>
      </c>
      <c r="X20">
        <v>3</v>
      </c>
      <c r="Y20" s="89">
        <f t="shared" si="4"/>
        <v>35</v>
      </c>
    </row>
    <row r="21" spans="1:25" x14ac:dyDescent="0.2">
      <c r="A21" s="241">
        <v>34641</v>
      </c>
      <c r="B21" s="74">
        <v>2010</v>
      </c>
      <c r="C21" s="342" t="s">
        <v>66</v>
      </c>
      <c r="D21" s="343">
        <v>22</v>
      </c>
      <c r="E21" s="241">
        <v>573</v>
      </c>
      <c r="F21" s="399">
        <v>8</v>
      </c>
      <c r="G21" s="398">
        <v>24</v>
      </c>
      <c r="H21" s="342">
        <v>27</v>
      </c>
      <c r="I21" s="342">
        <v>20</v>
      </c>
      <c r="J21" s="342">
        <v>21</v>
      </c>
      <c r="K21" s="342">
        <v>20</v>
      </c>
      <c r="L21" s="342">
        <v>27</v>
      </c>
      <c r="M21" s="342">
        <v>21</v>
      </c>
      <c r="N21" s="400">
        <v>34</v>
      </c>
      <c r="O21" s="342">
        <v>53</v>
      </c>
      <c r="P21" s="400">
        <v>16</v>
      </c>
      <c r="Q21" s="400">
        <v>24</v>
      </c>
      <c r="R21" s="320">
        <f t="shared" si="0"/>
        <v>295</v>
      </c>
      <c r="S21" s="321">
        <f t="shared" si="1"/>
        <v>24.583333333333332</v>
      </c>
      <c r="T21" s="325">
        <f t="shared" si="2"/>
        <v>11.308474576271188</v>
      </c>
      <c r="U21" s="33">
        <f t="shared" si="3"/>
        <v>278</v>
      </c>
      <c r="V21" s="71" t="s">
        <v>35</v>
      </c>
      <c r="X21">
        <v>4</v>
      </c>
      <c r="Y21" s="89">
        <f t="shared" si="4"/>
        <v>282</v>
      </c>
    </row>
    <row r="22" spans="1:25" x14ac:dyDescent="0.2">
      <c r="A22" s="241">
        <v>22921</v>
      </c>
      <c r="B22" s="74">
        <v>2010</v>
      </c>
      <c r="C22" s="342" t="s">
        <v>67</v>
      </c>
      <c r="D22" s="343">
        <v>37</v>
      </c>
      <c r="E22" s="241">
        <v>396</v>
      </c>
      <c r="F22" s="400">
        <v>43</v>
      </c>
      <c r="G22" s="342">
        <v>21</v>
      </c>
      <c r="H22" s="342">
        <v>9</v>
      </c>
      <c r="I22" s="342">
        <v>24</v>
      </c>
      <c r="J22" s="342">
        <v>46</v>
      </c>
      <c r="K22" s="342">
        <v>0</v>
      </c>
      <c r="L22" s="342">
        <v>7</v>
      </c>
      <c r="M22" s="342">
        <v>10</v>
      </c>
      <c r="N22" s="400">
        <v>26</v>
      </c>
      <c r="O22" s="342">
        <v>47</v>
      </c>
      <c r="P22" s="400">
        <v>35</v>
      </c>
      <c r="Q22" s="400">
        <v>46</v>
      </c>
      <c r="R22" s="320">
        <f>SUM(F22:Q22)</f>
        <v>314</v>
      </c>
      <c r="S22" s="321">
        <f>AVERAGE(F22:Q22)</f>
        <v>26.166666666666668</v>
      </c>
      <c r="T22" s="325">
        <f>U22/S22</f>
        <v>3.1337579617834392</v>
      </c>
      <c r="U22" s="33">
        <f>SUM(E22-R22)</f>
        <v>82</v>
      </c>
      <c r="X22">
        <v>2</v>
      </c>
      <c r="Y22" s="89">
        <f t="shared" si="4"/>
        <v>84</v>
      </c>
    </row>
    <row r="23" spans="1:25" x14ac:dyDescent="0.2">
      <c r="A23" s="241">
        <v>38269</v>
      </c>
      <c r="B23" s="74">
        <v>2010</v>
      </c>
      <c r="C23" s="241" t="s">
        <v>45</v>
      </c>
      <c r="D23" s="343">
        <v>13</v>
      </c>
      <c r="E23" s="241">
        <v>210</v>
      </c>
      <c r="F23" s="400">
        <v>20</v>
      </c>
      <c r="G23" s="342">
        <v>6</v>
      </c>
      <c r="H23" s="342">
        <v>6</v>
      </c>
      <c r="I23" s="342">
        <v>14</v>
      </c>
      <c r="J23" s="342">
        <v>13</v>
      </c>
      <c r="K23" s="342">
        <v>13</v>
      </c>
      <c r="L23" s="342">
        <v>15</v>
      </c>
      <c r="M23" s="342">
        <v>3</v>
      </c>
      <c r="N23" s="342">
        <v>17</v>
      </c>
      <c r="O23" s="400">
        <v>16</v>
      </c>
      <c r="P23" s="400">
        <v>14</v>
      </c>
      <c r="Q23" s="400">
        <v>4</v>
      </c>
      <c r="R23" s="320">
        <f>SUM(F23:Q23)</f>
        <v>141</v>
      </c>
      <c r="S23" s="321">
        <f>AVERAGE(F23:Q23)</f>
        <v>11.75</v>
      </c>
      <c r="T23" s="325">
        <f>U23/S23</f>
        <v>5.8723404255319149</v>
      </c>
      <c r="U23" s="33">
        <f>SUM(E23-R23)</f>
        <v>69</v>
      </c>
      <c r="X23">
        <v>3</v>
      </c>
      <c r="Y23" s="89">
        <f t="shared" si="4"/>
        <v>72</v>
      </c>
    </row>
    <row r="24" spans="1:25" x14ac:dyDescent="0.2">
      <c r="A24" s="294"/>
      <c r="B24" s="75"/>
      <c r="C24" s="345"/>
      <c r="D24" s="345"/>
      <c r="E24" s="345"/>
      <c r="F24" s="401">
        <v>1</v>
      </c>
      <c r="G24" s="402"/>
      <c r="H24" s="402"/>
      <c r="I24" s="402"/>
      <c r="J24" s="402"/>
      <c r="K24" s="402"/>
      <c r="L24" s="402"/>
      <c r="M24" s="402"/>
      <c r="N24" s="402"/>
      <c r="O24" s="401"/>
      <c r="P24" s="401"/>
      <c r="Q24" s="401"/>
      <c r="R24" s="345"/>
      <c r="S24" s="346"/>
      <c r="T24" s="403"/>
      <c r="U24" s="76"/>
      <c r="Y24" s="89">
        <f t="shared" si="4"/>
        <v>0</v>
      </c>
    </row>
    <row r="25" spans="1:25" x14ac:dyDescent="0.2">
      <c r="A25" s="241">
        <v>11198</v>
      </c>
      <c r="B25" s="74">
        <v>2011</v>
      </c>
      <c r="C25" s="342" t="s">
        <v>46</v>
      </c>
      <c r="D25" s="343">
        <v>25</v>
      </c>
      <c r="E25" s="241">
        <v>281</v>
      </c>
      <c r="F25" s="400">
        <v>46</v>
      </c>
      <c r="G25" s="342">
        <v>25</v>
      </c>
      <c r="H25" s="342">
        <v>210</v>
      </c>
      <c r="I25" s="328"/>
      <c r="J25" s="328"/>
      <c r="K25" s="328"/>
      <c r="L25" s="328"/>
      <c r="M25" s="328"/>
      <c r="N25" s="328"/>
      <c r="O25" s="404"/>
      <c r="P25" s="404"/>
      <c r="Q25" s="404"/>
      <c r="R25" s="320">
        <f>SUM(F25:Q25)</f>
        <v>281</v>
      </c>
      <c r="S25" s="321">
        <f>AVERAGE(F25:Q25)</f>
        <v>93.666666666666671</v>
      </c>
      <c r="T25" s="325">
        <f>U25/S25</f>
        <v>0</v>
      </c>
      <c r="U25" s="33">
        <f>SUM(E25-R25)</f>
        <v>0</v>
      </c>
      <c r="Y25" s="89">
        <f t="shared" si="4"/>
        <v>0</v>
      </c>
    </row>
    <row r="26" spans="1:25" x14ac:dyDescent="0.2">
      <c r="A26">
        <v>57630</v>
      </c>
      <c r="B26" s="74">
        <v>2011</v>
      </c>
      <c r="C26" s="342" t="s">
        <v>25</v>
      </c>
      <c r="D26" s="343">
        <v>38</v>
      </c>
      <c r="E26" s="241">
        <v>535</v>
      </c>
      <c r="F26" s="398">
        <v>1</v>
      </c>
      <c r="G26" s="398">
        <v>0</v>
      </c>
      <c r="H26" s="398">
        <v>0</v>
      </c>
      <c r="I26" s="398">
        <v>4</v>
      </c>
      <c r="J26" s="398">
        <v>0</v>
      </c>
      <c r="K26" s="398">
        <v>0</v>
      </c>
      <c r="L26" s="398">
        <v>0</v>
      </c>
      <c r="M26" s="342">
        <v>0</v>
      </c>
      <c r="N26" s="342">
        <v>22</v>
      </c>
      <c r="O26" s="342">
        <v>24</v>
      </c>
      <c r="P26" s="342">
        <v>0</v>
      </c>
      <c r="Q26" s="342">
        <v>60</v>
      </c>
      <c r="R26" s="320">
        <f>SUM(F26:Q26)</f>
        <v>111</v>
      </c>
      <c r="S26" s="321">
        <f>AVERAGE(F26:Q26)</f>
        <v>9.25</v>
      </c>
      <c r="T26" s="325">
        <f>U26/S26</f>
        <v>45.837837837837839</v>
      </c>
      <c r="U26" s="33">
        <f>SUM(E26-R26)</f>
        <v>424</v>
      </c>
      <c r="V26">
        <v>65</v>
      </c>
      <c r="W26" t="s">
        <v>68</v>
      </c>
      <c r="X26">
        <v>6</v>
      </c>
      <c r="Y26" s="89">
        <f t="shared" si="4"/>
        <v>430</v>
      </c>
    </row>
    <row r="27" spans="1:25" x14ac:dyDescent="0.2">
      <c r="A27" s="241">
        <v>57632</v>
      </c>
      <c r="B27" s="74">
        <v>2011</v>
      </c>
      <c r="C27" s="241" t="s">
        <v>31</v>
      </c>
      <c r="D27" s="343">
        <v>31</v>
      </c>
      <c r="E27" s="241">
        <v>487</v>
      </c>
      <c r="F27" s="399">
        <v>1</v>
      </c>
      <c r="G27" s="398">
        <v>5</v>
      </c>
      <c r="H27" s="398">
        <v>3</v>
      </c>
      <c r="I27" s="398">
        <v>12</v>
      </c>
      <c r="J27" s="396">
        <v>18</v>
      </c>
      <c r="K27" s="396">
        <v>29</v>
      </c>
      <c r="L27" s="396">
        <v>41</v>
      </c>
      <c r="M27" s="396">
        <v>36</v>
      </c>
      <c r="N27" s="396">
        <v>143</v>
      </c>
      <c r="O27" s="405">
        <v>107</v>
      </c>
      <c r="P27" s="405">
        <v>0</v>
      </c>
      <c r="Q27" s="405">
        <v>0</v>
      </c>
      <c r="R27" s="320">
        <f t="shared" ref="R27:R48" si="5">SUM(F27:Q27)</f>
        <v>395</v>
      </c>
      <c r="S27" s="321">
        <f t="shared" ref="S27:S48" si="6">AVERAGE(F27:Q27)</f>
        <v>32.916666666666664</v>
      </c>
      <c r="T27" s="325">
        <f t="shared" ref="T27:T48" si="7">U27/S27</f>
        <v>2.7949367088607597</v>
      </c>
      <c r="U27" s="33">
        <f t="shared" ref="U27:U48" si="8">SUM(E27-R27)</f>
        <v>92</v>
      </c>
      <c r="Y27" s="89">
        <f t="shared" si="4"/>
        <v>92</v>
      </c>
    </row>
    <row r="28" spans="1:25" x14ac:dyDescent="0.2">
      <c r="A28">
        <v>57631</v>
      </c>
      <c r="B28" s="74">
        <v>2011</v>
      </c>
      <c r="C28" s="342" t="s">
        <v>33</v>
      </c>
      <c r="D28" s="343">
        <v>29</v>
      </c>
      <c r="E28" s="241">
        <v>147</v>
      </c>
      <c r="F28" s="399">
        <v>19</v>
      </c>
      <c r="G28" s="398">
        <v>0</v>
      </c>
      <c r="H28" s="398">
        <v>128</v>
      </c>
      <c r="I28" s="328"/>
      <c r="J28" s="328"/>
      <c r="K28" s="328"/>
      <c r="L28" s="328"/>
      <c r="M28" s="328"/>
      <c r="N28" s="328"/>
      <c r="O28" s="404"/>
      <c r="P28" s="404"/>
      <c r="Q28" s="404"/>
      <c r="R28" s="320">
        <f t="shared" si="5"/>
        <v>147</v>
      </c>
      <c r="S28" s="321">
        <f t="shared" si="6"/>
        <v>49</v>
      </c>
      <c r="T28" s="325">
        <f t="shared" si="7"/>
        <v>0</v>
      </c>
      <c r="U28" s="33">
        <f>SUM(E28-R28)</f>
        <v>0</v>
      </c>
      <c r="V28">
        <v>128</v>
      </c>
      <c r="W28" t="s">
        <v>69</v>
      </c>
      <c r="Y28" s="89">
        <f t="shared" si="4"/>
        <v>0</v>
      </c>
    </row>
    <row r="29" spans="1:25" x14ac:dyDescent="0.2">
      <c r="A29">
        <v>22384</v>
      </c>
      <c r="B29" s="74">
        <v>2011</v>
      </c>
      <c r="C29" s="342" t="s">
        <v>26</v>
      </c>
      <c r="D29" s="343">
        <v>16</v>
      </c>
      <c r="E29" s="241">
        <v>243</v>
      </c>
      <c r="F29" s="399">
        <v>2</v>
      </c>
      <c r="G29" s="398">
        <v>0</v>
      </c>
      <c r="H29" s="398">
        <v>0</v>
      </c>
      <c r="I29" s="398">
        <v>0</v>
      </c>
      <c r="J29" s="398">
        <v>0</v>
      </c>
      <c r="K29" s="398">
        <v>0</v>
      </c>
      <c r="L29" s="398">
        <v>0</v>
      </c>
      <c r="M29" s="398">
        <v>0</v>
      </c>
      <c r="N29" s="398">
        <v>0</v>
      </c>
      <c r="O29" s="399">
        <v>0</v>
      </c>
      <c r="P29" s="399"/>
      <c r="Q29" s="399"/>
      <c r="R29" s="320">
        <f t="shared" si="5"/>
        <v>2</v>
      </c>
      <c r="S29" s="321">
        <f t="shared" si="6"/>
        <v>0.2</v>
      </c>
      <c r="T29" s="325">
        <f t="shared" si="7"/>
        <v>1205</v>
      </c>
      <c r="U29" s="33">
        <f t="shared" si="8"/>
        <v>241</v>
      </c>
      <c r="Y29" s="89">
        <f t="shared" si="4"/>
        <v>241</v>
      </c>
    </row>
    <row r="30" spans="1:25" x14ac:dyDescent="0.2">
      <c r="A30">
        <v>22382</v>
      </c>
      <c r="B30" s="74">
        <v>2011</v>
      </c>
      <c r="C30" s="342" t="s">
        <v>23</v>
      </c>
      <c r="D30" s="343">
        <v>29</v>
      </c>
      <c r="E30" s="241">
        <v>179</v>
      </c>
      <c r="F30" s="399">
        <v>1</v>
      </c>
      <c r="G30" s="398">
        <v>0</v>
      </c>
      <c r="H30" s="398">
        <v>0</v>
      </c>
      <c r="I30" s="398">
        <v>0</v>
      </c>
      <c r="J30" s="398">
        <v>0</v>
      </c>
      <c r="K30" s="398">
        <v>0</v>
      </c>
      <c r="L30" s="398">
        <v>0</v>
      </c>
      <c r="M30" s="398">
        <v>0</v>
      </c>
      <c r="N30" s="398">
        <v>0</v>
      </c>
      <c r="O30" s="399">
        <v>0</v>
      </c>
      <c r="P30" s="399"/>
      <c r="Q30" s="399"/>
      <c r="R30" s="320">
        <f t="shared" si="5"/>
        <v>1</v>
      </c>
      <c r="S30" s="321">
        <f t="shared" si="6"/>
        <v>0.1</v>
      </c>
      <c r="T30" s="325">
        <f t="shared" si="7"/>
        <v>1780</v>
      </c>
      <c r="U30" s="33">
        <f t="shared" si="8"/>
        <v>178</v>
      </c>
      <c r="Y30" s="89">
        <f t="shared" si="4"/>
        <v>178</v>
      </c>
    </row>
    <row r="31" spans="1:25" x14ac:dyDescent="0.2">
      <c r="A31" s="241">
        <v>28361</v>
      </c>
      <c r="B31" s="74">
        <v>2011</v>
      </c>
      <c r="C31" s="241" t="s">
        <v>24</v>
      </c>
      <c r="D31" s="343">
        <v>25</v>
      </c>
      <c r="E31" s="241">
        <v>202</v>
      </c>
      <c r="F31" s="399">
        <v>5</v>
      </c>
      <c r="G31" s="398">
        <v>0</v>
      </c>
      <c r="H31" s="398">
        <v>3</v>
      </c>
      <c r="I31" s="398">
        <v>1</v>
      </c>
      <c r="J31" s="398">
        <v>3</v>
      </c>
      <c r="K31" s="398">
        <v>0</v>
      </c>
      <c r="L31" s="398">
        <v>0</v>
      </c>
      <c r="M31" s="398">
        <v>0</v>
      </c>
      <c r="N31" s="398">
        <v>0</v>
      </c>
      <c r="O31" s="399">
        <v>0</v>
      </c>
      <c r="P31" s="399"/>
      <c r="Q31" s="405">
        <v>16</v>
      </c>
      <c r="R31" s="320">
        <f t="shared" si="5"/>
        <v>28</v>
      </c>
      <c r="S31" s="321">
        <f t="shared" si="6"/>
        <v>2.5454545454545454</v>
      </c>
      <c r="T31" s="325">
        <f t="shared" si="7"/>
        <v>68.357142857142861</v>
      </c>
      <c r="U31" s="33">
        <f t="shared" si="8"/>
        <v>174</v>
      </c>
      <c r="X31">
        <v>1</v>
      </c>
      <c r="Y31" s="89">
        <f t="shared" si="4"/>
        <v>175</v>
      </c>
    </row>
    <row r="32" spans="1:25" x14ac:dyDescent="0.2">
      <c r="A32" s="241">
        <v>27736</v>
      </c>
      <c r="B32" s="74">
        <v>2011</v>
      </c>
      <c r="C32" s="241" t="s">
        <v>70</v>
      </c>
      <c r="D32" s="343">
        <v>21</v>
      </c>
      <c r="E32" s="241">
        <v>171</v>
      </c>
      <c r="F32" s="399">
        <v>2</v>
      </c>
      <c r="G32" s="398">
        <v>6</v>
      </c>
      <c r="H32" s="398">
        <v>0</v>
      </c>
      <c r="I32" s="398">
        <v>0</v>
      </c>
      <c r="J32" s="398">
        <v>0</v>
      </c>
      <c r="K32" s="398">
        <v>0</v>
      </c>
      <c r="L32" s="398">
        <v>0</v>
      </c>
      <c r="M32" s="398">
        <v>0</v>
      </c>
      <c r="N32" s="398">
        <v>0</v>
      </c>
      <c r="O32" s="399">
        <v>0</v>
      </c>
      <c r="P32" s="399"/>
      <c r="Q32" s="405">
        <v>10</v>
      </c>
      <c r="R32" s="320">
        <f t="shared" si="5"/>
        <v>18</v>
      </c>
      <c r="S32" s="321">
        <f t="shared" si="6"/>
        <v>1.6363636363636365</v>
      </c>
      <c r="T32" s="325">
        <f t="shared" si="7"/>
        <v>93.5</v>
      </c>
      <c r="U32" s="33">
        <f t="shared" si="8"/>
        <v>153</v>
      </c>
      <c r="X32">
        <v>4</v>
      </c>
      <c r="Y32" s="89">
        <f t="shared" si="4"/>
        <v>157</v>
      </c>
    </row>
    <row r="33" spans="1:25" x14ac:dyDescent="0.2">
      <c r="A33">
        <v>22921</v>
      </c>
      <c r="B33" s="74">
        <v>2011</v>
      </c>
      <c r="C33" s="241" t="s">
        <v>22</v>
      </c>
      <c r="D33" s="343">
        <v>37</v>
      </c>
      <c r="E33" s="241">
        <v>344</v>
      </c>
      <c r="F33" s="399">
        <v>1</v>
      </c>
      <c r="G33" s="398">
        <v>0</v>
      </c>
      <c r="H33" s="398">
        <v>11</v>
      </c>
      <c r="I33" s="398">
        <v>0</v>
      </c>
      <c r="J33" s="398">
        <v>0</v>
      </c>
      <c r="K33" s="398">
        <v>0</v>
      </c>
      <c r="L33" s="398">
        <v>0</v>
      </c>
      <c r="M33" s="398">
        <v>4</v>
      </c>
      <c r="N33" s="398">
        <v>0</v>
      </c>
      <c r="O33" s="399">
        <v>0</v>
      </c>
      <c r="P33" s="399"/>
      <c r="Q33" s="399"/>
      <c r="R33" s="320">
        <f t="shared" si="5"/>
        <v>16</v>
      </c>
      <c r="S33" s="321">
        <f t="shared" si="6"/>
        <v>1.6</v>
      </c>
      <c r="T33" s="325">
        <f t="shared" si="7"/>
        <v>205</v>
      </c>
      <c r="U33" s="33">
        <f t="shared" si="8"/>
        <v>328</v>
      </c>
      <c r="Y33" s="89">
        <f t="shared" si="4"/>
        <v>328</v>
      </c>
    </row>
    <row r="34" spans="1:25" ht="15.75" x14ac:dyDescent="0.25">
      <c r="A34" s="406">
        <v>26415</v>
      </c>
      <c r="B34" s="74">
        <v>2011</v>
      </c>
      <c r="C34" s="241" t="s">
        <v>71</v>
      </c>
      <c r="D34" s="343">
        <v>13</v>
      </c>
      <c r="E34" s="241">
        <v>359</v>
      </c>
      <c r="F34" s="399">
        <v>1</v>
      </c>
      <c r="G34" s="398">
        <v>4</v>
      </c>
      <c r="H34" s="398">
        <v>0</v>
      </c>
      <c r="I34" s="398">
        <v>0</v>
      </c>
      <c r="J34" s="398">
        <v>6</v>
      </c>
      <c r="K34" s="396">
        <v>14</v>
      </c>
      <c r="L34" s="396">
        <v>11</v>
      </c>
      <c r="M34" s="396">
        <v>13</v>
      </c>
      <c r="N34" s="396">
        <v>15</v>
      </c>
      <c r="O34" s="405">
        <v>16</v>
      </c>
      <c r="P34" s="405">
        <v>9</v>
      </c>
      <c r="Q34" s="405">
        <v>7</v>
      </c>
      <c r="R34" s="320">
        <f t="shared" si="5"/>
        <v>96</v>
      </c>
      <c r="S34" s="321">
        <f t="shared" si="6"/>
        <v>8</v>
      </c>
      <c r="T34" s="325">
        <f t="shared" si="7"/>
        <v>32.875</v>
      </c>
      <c r="U34" s="33">
        <f t="shared" si="8"/>
        <v>263</v>
      </c>
      <c r="X34">
        <v>3</v>
      </c>
      <c r="Y34" s="89">
        <f t="shared" si="4"/>
        <v>266</v>
      </c>
    </row>
    <row r="35" spans="1:25" x14ac:dyDescent="0.2">
      <c r="A35" s="294"/>
      <c r="B35" s="75"/>
      <c r="C35" s="345"/>
      <c r="D35" s="346"/>
      <c r="E35" s="345"/>
      <c r="F35" s="345"/>
      <c r="G35" s="345"/>
      <c r="H35" s="345"/>
      <c r="I35" s="345"/>
      <c r="J35" s="345"/>
      <c r="K35" s="345"/>
      <c r="L35" s="345"/>
      <c r="M35" s="345"/>
      <c r="N35" s="345"/>
      <c r="O35" s="345"/>
      <c r="P35" s="345"/>
      <c r="Q35" s="345"/>
      <c r="R35" s="345"/>
      <c r="S35" s="346"/>
      <c r="T35" s="403"/>
      <c r="U35" s="35"/>
      <c r="Y35" s="89">
        <f t="shared" si="4"/>
        <v>0</v>
      </c>
    </row>
    <row r="36" spans="1:25" x14ac:dyDescent="0.2">
      <c r="A36">
        <v>57631</v>
      </c>
      <c r="B36" s="74">
        <v>2012</v>
      </c>
      <c r="C36" s="241" t="s">
        <v>33</v>
      </c>
      <c r="D36" s="343"/>
      <c r="E36" s="241">
        <v>547</v>
      </c>
      <c r="F36" s="399"/>
      <c r="G36" s="398">
        <v>1</v>
      </c>
      <c r="H36" s="398">
        <v>89</v>
      </c>
      <c r="I36" s="398">
        <v>54</v>
      </c>
      <c r="J36" s="396">
        <v>64</v>
      </c>
      <c r="K36" s="396">
        <v>46</v>
      </c>
      <c r="L36" s="396">
        <v>72</v>
      </c>
      <c r="M36" s="396">
        <v>53</v>
      </c>
      <c r="N36" s="396">
        <v>66</v>
      </c>
      <c r="O36" s="405">
        <v>68</v>
      </c>
      <c r="P36" s="405">
        <v>34</v>
      </c>
      <c r="Q36" s="407"/>
      <c r="R36" s="320">
        <f t="shared" si="5"/>
        <v>547</v>
      </c>
      <c r="S36" s="321">
        <f t="shared" si="6"/>
        <v>54.7</v>
      </c>
      <c r="T36" s="325">
        <f t="shared" si="7"/>
        <v>0</v>
      </c>
      <c r="U36" s="33">
        <f t="shared" si="8"/>
        <v>0</v>
      </c>
      <c r="Y36" s="89">
        <f t="shared" si="4"/>
        <v>0</v>
      </c>
    </row>
    <row r="37" spans="1:25" x14ac:dyDescent="0.2">
      <c r="A37" s="241">
        <v>11198</v>
      </c>
      <c r="B37" s="74">
        <v>2012</v>
      </c>
      <c r="C37" s="241" t="s">
        <v>72</v>
      </c>
      <c r="D37" s="343"/>
      <c r="E37" s="241">
        <v>332</v>
      </c>
      <c r="F37" s="399"/>
      <c r="G37" s="398"/>
      <c r="H37" s="398"/>
      <c r="I37" s="398">
        <v>37</v>
      </c>
      <c r="J37" s="396">
        <v>29</v>
      </c>
      <c r="K37" s="396">
        <v>27</v>
      </c>
      <c r="L37" s="396">
        <v>32</v>
      </c>
      <c r="M37" s="396">
        <v>30</v>
      </c>
      <c r="N37" s="396">
        <v>33</v>
      </c>
      <c r="O37" s="405">
        <v>40</v>
      </c>
      <c r="P37" s="405">
        <v>21</v>
      </c>
      <c r="Q37" s="405">
        <v>13</v>
      </c>
      <c r="R37" s="320">
        <f t="shared" si="5"/>
        <v>262</v>
      </c>
      <c r="S37" s="321">
        <f t="shared" si="6"/>
        <v>29.111111111111111</v>
      </c>
      <c r="T37" s="325">
        <f t="shared" si="7"/>
        <v>2.4045801526717558</v>
      </c>
      <c r="U37" s="33">
        <f t="shared" si="8"/>
        <v>70</v>
      </c>
      <c r="X37">
        <v>4</v>
      </c>
      <c r="Y37" s="89">
        <f t="shared" si="4"/>
        <v>74</v>
      </c>
    </row>
    <row r="38" spans="1:25" x14ac:dyDescent="0.2">
      <c r="A38" s="241">
        <v>57632</v>
      </c>
      <c r="B38" s="74">
        <v>2012</v>
      </c>
      <c r="C38" s="342" t="s">
        <v>31</v>
      </c>
      <c r="D38" s="343"/>
      <c r="E38" s="241">
        <v>278</v>
      </c>
      <c r="F38" s="399"/>
      <c r="G38" s="398"/>
      <c r="H38" s="398"/>
      <c r="I38" s="398"/>
      <c r="J38" s="398"/>
      <c r="K38" s="398"/>
      <c r="L38" s="398"/>
      <c r="M38" s="398">
        <v>3</v>
      </c>
      <c r="N38" s="398">
        <v>0</v>
      </c>
      <c r="O38" s="399">
        <v>0</v>
      </c>
      <c r="P38" s="399"/>
      <c r="Q38" s="399"/>
      <c r="R38" s="320">
        <f t="shared" si="5"/>
        <v>3</v>
      </c>
      <c r="S38" s="321">
        <f t="shared" si="6"/>
        <v>1</v>
      </c>
      <c r="T38" s="325">
        <f t="shared" si="7"/>
        <v>275</v>
      </c>
      <c r="U38" s="33">
        <f t="shared" si="8"/>
        <v>275</v>
      </c>
      <c r="X38">
        <v>4</v>
      </c>
      <c r="Y38" s="89">
        <f t="shared" si="4"/>
        <v>279</v>
      </c>
    </row>
    <row r="39" spans="1:25" x14ac:dyDescent="0.2">
      <c r="A39">
        <v>57630</v>
      </c>
      <c r="B39" s="74">
        <v>2012</v>
      </c>
      <c r="C39" s="342" t="s">
        <v>25</v>
      </c>
      <c r="D39" s="343"/>
      <c r="E39" s="241">
        <v>334</v>
      </c>
      <c r="F39" s="399"/>
      <c r="G39" s="398"/>
      <c r="H39" s="398"/>
      <c r="I39" s="398"/>
      <c r="J39" s="398"/>
      <c r="K39" s="398"/>
      <c r="L39" s="398"/>
      <c r="M39" s="398">
        <v>1</v>
      </c>
      <c r="N39" s="398">
        <v>0</v>
      </c>
      <c r="O39" s="399">
        <v>0</v>
      </c>
      <c r="P39" s="399"/>
      <c r="Q39" s="399"/>
      <c r="R39" s="320">
        <f t="shared" si="5"/>
        <v>1</v>
      </c>
      <c r="S39" s="321">
        <f t="shared" si="6"/>
        <v>0.33333333333333331</v>
      </c>
      <c r="T39" s="325">
        <f t="shared" si="7"/>
        <v>999</v>
      </c>
      <c r="U39" s="33">
        <f t="shared" si="8"/>
        <v>333</v>
      </c>
      <c r="V39">
        <v>24</v>
      </c>
      <c r="W39" t="s">
        <v>68</v>
      </c>
      <c r="Y39" s="89">
        <f t="shared" si="4"/>
        <v>333</v>
      </c>
    </row>
    <row r="40" spans="1:25" x14ac:dyDescent="0.2">
      <c r="A40">
        <v>22384</v>
      </c>
      <c r="B40" s="74">
        <v>2012</v>
      </c>
      <c r="C40" s="342" t="s">
        <v>26</v>
      </c>
      <c r="D40" s="343"/>
      <c r="E40" s="241">
        <v>395</v>
      </c>
      <c r="F40" s="399"/>
      <c r="G40" s="398"/>
      <c r="H40" s="398"/>
      <c r="I40" s="398"/>
      <c r="J40" s="398"/>
      <c r="K40" s="398"/>
      <c r="L40" s="398"/>
      <c r="M40" s="398">
        <v>0</v>
      </c>
      <c r="N40" s="398">
        <v>0</v>
      </c>
      <c r="O40" s="399">
        <v>0</v>
      </c>
      <c r="P40" s="399"/>
      <c r="Q40" s="399"/>
      <c r="R40" s="320">
        <f t="shared" si="5"/>
        <v>0</v>
      </c>
      <c r="S40" s="321">
        <f t="shared" si="6"/>
        <v>0</v>
      </c>
      <c r="T40" s="325" t="e">
        <f t="shared" si="7"/>
        <v>#DIV/0!</v>
      </c>
      <c r="U40" s="33">
        <f t="shared" si="8"/>
        <v>395</v>
      </c>
      <c r="X40">
        <v>1</v>
      </c>
      <c r="Y40" s="89">
        <f t="shared" si="4"/>
        <v>396</v>
      </c>
    </row>
    <row r="41" spans="1:25" x14ac:dyDescent="0.2">
      <c r="A41">
        <v>22382</v>
      </c>
      <c r="B41" s="74">
        <v>2012</v>
      </c>
      <c r="C41" s="342" t="s">
        <v>23</v>
      </c>
      <c r="D41" s="343"/>
      <c r="E41" s="241">
        <v>449</v>
      </c>
      <c r="F41" s="399"/>
      <c r="G41" s="398"/>
      <c r="H41" s="398"/>
      <c r="I41" s="398"/>
      <c r="J41" s="398"/>
      <c r="K41" s="398"/>
      <c r="L41" s="398"/>
      <c r="M41" s="398">
        <v>0</v>
      </c>
      <c r="N41" s="398">
        <v>0</v>
      </c>
      <c r="O41" s="399">
        <v>0</v>
      </c>
      <c r="P41" s="399"/>
      <c r="Q41" s="399"/>
      <c r="R41" s="320">
        <f t="shared" si="5"/>
        <v>0</v>
      </c>
      <c r="S41" s="321">
        <f t="shared" si="6"/>
        <v>0</v>
      </c>
      <c r="T41" s="325" t="e">
        <f t="shared" si="7"/>
        <v>#DIV/0!</v>
      </c>
      <c r="U41" s="33">
        <f t="shared" si="8"/>
        <v>449</v>
      </c>
      <c r="Y41" s="89">
        <f t="shared" si="4"/>
        <v>449</v>
      </c>
    </row>
    <row r="42" spans="1:25" x14ac:dyDescent="0.2">
      <c r="A42">
        <v>27736</v>
      </c>
      <c r="B42" s="74">
        <v>2012</v>
      </c>
      <c r="C42" s="342" t="s">
        <v>70</v>
      </c>
      <c r="D42" s="343"/>
      <c r="E42" s="241">
        <v>392</v>
      </c>
      <c r="F42" s="399"/>
      <c r="G42" s="398"/>
      <c r="H42" s="398"/>
      <c r="I42" s="398"/>
      <c r="J42" s="398"/>
      <c r="K42" s="398"/>
      <c r="L42" s="398"/>
      <c r="M42" s="398">
        <v>0</v>
      </c>
      <c r="N42" s="398">
        <v>0</v>
      </c>
      <c r="O42" s="399">
        <v>0</v>
      </c>
      <c r="P42" s="399"/>
      <c r="Q42" s="399"/>
      <c r="R42" s="320">
        <f>SUM(F42:Q42)</f>
        <v>0</v>
      </c>
      <c r="S42" s="321">
        <f t="shared" si="6"/>
        <v>0</v>
      </c>
      <c r="T42" s="325" t="e">
        <f t="shared" si="7"/>
        <v>#DIV/0!</v>
      </c>
      <c r="U42" s="33">
        <f t="shared" si="8"/>
        <v>392</v>
      </c>
      <c r="X42">
        <v>1</v>
      </c>
      <c r="Y42" s="89">
        <f t="shared" si="4"/>
        <v>393</v>
      </c>
    </row>
    <row r="43" spans="1:25" x14ac:dyDescent="0.2">
      <c r="A43">
        <v>28361</v>
      </c>
      <c r="B43" s="74">
        <v>2012</v>
      </c>
      <c r="C43" s="342" t="s">
        <v>24</v>
      </c>
      <c r="D43" s="343"/>
      <c r="E43" s="241">
        <v>497</v>
      </c>
      <c r="F43" s="399"/>
      <c r="G43" s="398"/>
      <c r="H43" s="398"/>
      <c r="I43" s="398"/>
      <c r="J43" s="398"/>
      <c r="K43" s="398"/>
      <c r="L43" s="398"/>
      <c r="M43" s="398"/>
      <c r="N43" s="398"/>
      <c r="O43" s="399"/>
      <c r="P43" s="399"/>
      <c r="Q43" s="399"/>
      <c r="R43" s="320">
        <f>SUM(F43:Q43)</f>
        <v>0</v>
      </c>
      <c r="S43" s="321" t="e">
        <f>AVERAGE(F43:Q43)</f>
        <v>#DIV/0!</v>
      </c>
      <c r="T43" s="325" t="e">
        <f>U43/S43</f>
        <v>#DIV/0!</v>
      </c>
      <c r="U43" s="33">
        <f>SUM(E43-R43)</f>
        <v>497</v>
      </c>
      <c r="X43">
        <v>1</v>
      </c>
      <c r="Y43" s="89">
        <f t="shared" si="4"/>
        <v>498</v>
      </c>
    </row>
    <row r="44" spans="1:25" x14ac:dyDescent="0.2">
      <c r="A44">
        <v>22921</v>
      </c>
      <c r="B44" s="74">
        <v>2012</v>
      </c>
      <c r="C44" s="342" t="s">
        <v>22</v>
      </c>
      <c r="D44" s="343"/>
      <c r="E44" s="241">
        <v>579</v>
      </c>
      <c r="F44" s="399"/>
      <c r="G44" s="398"/>
      <c r="H44" s="398"/>
      <c r="I44" s="398"/>
      <c r="J44" s="398"/>
      <c r="K44" s="398"/>
      <c r="L44" s="398"/>
      <c r="M44" s="398"/>
      <c r="N44" s="398"/>
      <c r="O44" s="399"/>
      <c r="P44" s="399"/>
      <c r="Q44" s="399"/>
      <c r="R44" s="320">
        <f>SUM(F44:Q44)</f>
        <v>0</v>
      </c>
      <c r="S44" s="321" t="e">
        <f>AVERAGE(F44:Q44)</f>
        <v>#DIV/0!</v>
      </c>
      <c r="T44" s="325" t="e">
        <f>U44/S44</f>
        <v>#DIV/0!</v>
      </c>
      <c r="U44" s="33">
        <f>SUM(E44-R44)</f>
        <v>579</v>
      </c>
      <c r="Y44" s="89">
        <f t="shared" si="4"/>
        <v>579</v>
      </c>
    </row>
    <row r="45" spans="1:25" x14ac:dyDescent="0.2">
      <c r="A45" s="241">
        <v>34641</v>
      </c>
      <c r="B45" s="74">
        <v>2012</v>
      </c>
      <c r="C45" s="342" t="s">
        <v>21</v>
      </c>
      <c r="D45" s="343"/>
      <c r="E45" s="241">
        <v>294</v>
      </c>
      <c r="F45" s="399"/>
      <c r="G45" s="398"/>
      <c r="H45" s="398"/>
      <c r="I45" s="398"/>
      <c r="J45" s="398"/>
      <c r="K45" s="398"/>
      <c r="L45" s="398"/>
      <c r="M45" s="398"/>
      <c r="N45" s="398"/>
      <c r="O45" s="399"/>
      <c r="P45" s="399"/>
      <c r="Q45" s="399"/>
      <c r="R45" s="320">
        <f>SUM(F45:Q45)</f>
        <v>0</v>
      </c>
      <c r="S45" s="321" t="e">
        <f>AVERAGE(F45:Q45)</f>
        <v>#DIV/0!</v>
      </c>
      <c r="T45" s="325" t="e">
        <f>U45/S45</f>
        <v>#DIV/0!</v>
      </c>
      <c r="U45" s="33">
        <f>SUM(E45-R45)</f>
        <v>294</v>
      </c>
      <c r="X45">
        <v>1</v>
      </c>
      <c r="Y45" s="89">
        <f t="shared" si="4"/>
        <v>295</v>
      </c>
    </row>
    <row r="46" spans="1:25" x14ac:dyDescent="0.2">
      <c r="A46" s="241">
        <v>30306</v>
      </c>
      <c r="B46" s="74">
        <v>2012</v>
      </c>
      <c r="C46" s="342" t="s">
        <v>73</v>
      </c>
      <c r="D46" s="343"/>
      <c r="E46" s="241">
        <v>110</v>
      </c>
      <c r="F46" s="399"/>
      <c r="G46" s="398"/>
      <c r="H46" s="398"/>
      <c r="I46" s="398"/>
      <c r="J46" s="398"/>
      <c r="K46" s="398"/>
      <c r="L46" s="342">
        <v>10</v>
      </c>
      <c r="M46" s="342">
        <v>16</v>
      </c>
      <c r="N46" s="342">
        <v>14</v>
      </c>
      <c r="O46" s="400">
        <v>12</v>
      </c>
      <c r="P46" s="400">
        <v>10</v>
      </c>
      <c r="Q46" s="400">
        <v>7</v>
      </c>
      <c r="R46" s="320">
        <f>SUM(F46:Q46)</f>
        <v>69</v>
      </c>
      <c r="S46" s="321">
        <f>AVERAGE(F46:Q46)</f>
        <v>11.5</v>
      </c>
      <c r="T46" s="325">
        <f>U46/S46</f>
        <v>3.5652173913043477</v>
      </c>
      <c r="U46" s="33">
        <f>SUM(E46-R46)</f>
        <v>41</v>
      </c>
      <c r="Y46" s="89">
        <f t="shared" si="4"/>
        <v>41</v>
      </c>
    </row>
    <row r="47" spans="1:25" x14ac:dyDescent="0.2">
      <c r="A47" s="241"/>
      <c r="B47" s="74"/>
      <c r="C47" s="342" t="s">
        <v>74</v>
      </c>
      <c r="D47" s="343"/>
      <c r="E47" s="241"/>
      <c r="F47" s="399"/>
      <c r="G47" s="398"/>
      <c r="H47" s="398"/>
      <c r="I47" s="398"/>
      <c r="J47" s="398"/>
      <c r="K47" s="398"/>
      <c r="L47" s="342"/>
      <c r="M47" s="342"/>
      <c r="N47" s="342"/>
      <c r="O47" s="400"/>
      <c r="P47" s="400"/>
      <c r="Q47" s="400"/>
      <c r="R47" s="320"/>
      <c r="S47" s="321"/>
      <c r="T47" s="325"/>
      <c r="U47" s="33"/>
      <c r="Y47" s="89">
        <f t="shared" si="4"/>
        <v>0</v>
      </c>
    </row>
    <row r="48" spans="1:25" x14ac:dyDescent="0.2">
      <c r="A48" s="241"/>
      <c r="B48" s="74"/>
      <c r="C48" s="241" t="s">
        <v>75</v>
      </c>
      <c r="D48" s="343"/>
      <c r="E48" s="241">
        <v>100</v>
      </c>
      <c r="F48" s="400" t="s">
        <v>35</v>
      </c>
      <c r="G48" s="342"/>
      <c r="H48" s="342"/>
      <c r="I48" s="342"/>
      <c r="J48" s="342"/>
      <c r="K48" s="342"/>
      <c r="L48" s="342"/>
      <c r="M48" s="342"/>
      <c r="N48" s="342"/>
      <c r="O48" s="400"/>
      <c r="P48" s="400"/>
      <c r="Q48" s="400">
        <v>29</v>
      </c>
      <c r="R48" s="320">
        <f t="shared" si="5"/>
        <v>29</v>
      </c>
      <c r="S48" s="321">
        <f t="shared" si="6"/>
        <v>29</v>
      </c>
      <c r="T48" s="325">
        <f t="shared" si="7"/>
        <v>2.4482758620689653</v>
      </c>
      <c r="U48" s="33">
        <f t="shared" si="8"/>
        <v>71</v>
      </c>
      <c r="X48">
        <v>11</v>
      </c>
      <c r="Y48" s="89">
        <f t="shared" si="4"/>
        <v>82</v>
      </c>
    </row>
    <row r="49" spans="1:25" x14ac:dyDescent="0.2">
      <c r="A49" s="241"/>
      <c r="B49" s="74"/>
      <c r="C49" s="241" t="s">
        <v>76</v>
      </c>
      <c r="D49" s="343"/>
      <c r="E49" s="241">
        <v>15</v>
      </c>
      <c r="F49" s="400"/>
      <c r="G49" s="342"/>
      <c r="H49" s="342"/>
      <c r="I49" s="342"/>
      <c r="J49" s="342"/>
      <c r="K49" s="342"/>
      <c r="L49" s="342"/>
      <c r="M49" s="342"/>
      <c r="N49" s="342"/>
      <c r="O49" s="400"/>
      <c r="P49" s="400"/>
      <c r="Q49" s="400">
        <v>9</v>
      </c>
      <c r="R49" s="320">
        <f>SUM(F49:Q49)</f>
        <v>9</v>
      </c>
      <c r="S49" s="321">
        <f>AVERAGE(F49:Q49)</f>
        <v>9</v>
      </c>
      <c r="T49" s="325">
        <f>U49/S49</f>
        <v>0.66666666666666663</v>
      </c>
      <c r="U49" s="33">
        <f>SUM(E49-R49)</f>
        <v>6</v>
      </c>
      <c r="Y49" s="89">
        <f t="shared" si="4"/>
        <v>6</v>
      </c>
    </row>
    <row r="50" spans="1:25" x14ac:dyDescent="0.2">
      <c r="A50" s="241"/>
      <c r="B50" s="74"/>
      <c r="C50" s="241" t="s">
        <v>77</v>
      </c>
      <c r="D50" s="343"/>
      <c r="E50" s="241">
        <v>15</v>
      </c>
      <c r="F50" s="400"/>
      <c r="G50" s="342"/>
      <c r="H50" s="342"/>
      <c r="I50" s="342"/>
      <c r="J50" s="342"/>
      <c r="K50" s="342"/>
      <c r="L50" s="342"/>
      <c r="M50" s="342"/>
      <c r="N50" s="342"/>
      <c r="O50" s="400"/>
      <c r="P50" s="400"/>
      <c r="Q50" s="400">
        <v>1</v>
      </c>
      <c r="R50" s="320">
        <f>SUM(F50:Q50)</f>
        <v>1</v>
      </c>
      <c r="S50" s="321">
        <f>AVERAGE(F50:Q50)</f>
        <v>1</v>
      </c>
      <c r="T50" s="325">
        <f>U50/S50</f>
        <v>14</v>
      </c>
      <c r="U50" s="33">
        <f>SUM(E50-R50)</f>
        <v>14</v>
      </c>
      <c r="Y50" s="89">
        <f t="shared" si="4"/>
        <v>14</v>
      </c>
    </row>
    <row r="51" spans="1:25" x14ac:dyDescent="0.2">
      <c r="A51" s="294"/>
      <c r="B51" s="75"/>
      <c r="C51" s="345"/>
      <c r="D51" s="346"/>
      <c r="E51" s="345"/>
      <c r="F51" s="345"/>
      <c r="G51" s="345"/>
      <c r="H51" s="345"/>
      <c r="I51" s="345"/>
      <c r="J51" s="345"/>
      <c r="K51" s="345"/>
      <c r="L51" s="345"/>
      <c r="M51" s="345"/>
      <c r="N51" s="345"/>
      <c r="O51" s="345"/>
      <c r="P51" s="345"/>
      <c r="Q51" s="345"/>
      <c r="R51" s="345"/>
      <c r="S51" s="346"/>
      <c r="T51" s="403"/>
      <c r="U51" s="35"/>
    </row>
    <row r="52" spans="1:25" x14ac:dyDescent="0.2">
      <c r="A52" s="241"/>
      <c r="B52" s="74">
        <v>2009</v>
      </c>
      <c r="C52" s="241"/>
      <c r="D52" s="408"/>
      <c r="E52" s="321">
        <f t="shared" ref="E52:R52" si="9">SUM(E9:E11)</f>
        <v>152</v>
      </c>
      <c r="F52" s="321">
        <f t="shared" si="9"/>
        <v>57</v>
      </c>
      <c r="G52" s="321">
        <f t="shared" si="9"/>
        <v>17</v>
      </c>
      <c r="H52" s="321">
        <f t="shared" si="9"/>
        <v>14</v>
      </c>
      <c r="I52" s="321">
        <f t="shared" si="9"/>
        <v>34</v>
      </c>
      <c r="J52" s="321">
        <f t="shared" si="9"/>
        <v>28</v>
      </c>
      <c r="K52" s="321">
        <f t="shared" si="9"/>
        <v>2</v>
      </c>
      <c r="L52" s="321">
        <f t="shared" si="9"/>
        <v>0</v>
      </c>
      <c r="M52" s="321">
        <f t="shared" si="9"/>
        <v>0</v>
      </c>
      <c r="N52" s="321">
        <f t="shared" si="9"/>
        <v>0</v>
      </c>
      <c r="O52" s="321">
        <f t="shared" si="9"/>
        <v>0</v>
      </c>
      <c r="P52" s="321">
        <f t="shared" si="9"/>
        <v>0</v>
      </c>
      <c r="Q52" s="321">
        <f t="shared" si="9"/>
        <v>0</v>
      </c>
      <c r="R52" s="321">
        <f t="shared" si="9"/>
        <v>152</v>
      </c>
      <c r="S52" s="321">
        <f>AVERAGE(F52:Q52)</f>
        <v>12.666666666666666</v>
      </c>
      <c r="T52" s="325">
        <f>U52/S52</f>
        <v>0</v>
      </c>
      <c r="U52" s="350">
        <f>SUM(U9:U11)</f>
        <v>0</v>
      </c>
    </row>
    <row r="53" spans="1:25" x14ac:dyDescent="0.2">
      <c r="A53" s="241"/>
      <c r="B53" s="489">
        <v>2010</v>
      </c>
      <c r="C53" s="364"/>
      <c r="D53" s="409"/>
      <c r="E53" s="372">
        <f t="shared" ref="E53:R53" si="10">SUM(E13:E23)</f>
        <v>2967</v>
      </c>
      <c r="F53" s="372">
        <f t="shared" si="10"/>
        <v>196</v>
      </c>
      <c r="G53" s="372">
        <f t="shared" si="10"/>
        <v>171</v>
      </c>
      <c r="H53" s="372">
        <f t="shared" si="10"/>
        <v>149</v>
      </c>
      <c r="I53" s="372">
        <f t="shared" si="10"/>
        <v>230</v>
      </c>
      <c r="J53" s="372">
        <f t="shared" si="10"/>
        <v>283</v>
      </c>
      <c r="K53" s="372">
        <f t="shared" si="10"/>
        <v>161</v>
      </c>
      <c r="L53" s="372">
        <f t="shared" si="10"/>
        <v>211</v>
      </c>
      <c r="M53" s="372">
        <f t="shared" si="10"/>
        <v>142</v>
      </c>
      <c r="N53" s="372">
        <f t="shared" si="10"/>
        <v>221</v>
      </c>
      <c r="O53" s="372">
        <f t="shared" si="10"/>
        <v>284</v>
      </c>
      <c r="P53" s="372">
        <f t="shared" si="10"/>
        <v>152</v>
      </c>
      <c r="Q53" s="372">
        <f t="shared" si="10"/>
        <v>178</v>
      </c>
      <c r="R53" s="372">
        <f t="shared" si="10"/>
        <v>2378</v>
      </c>
      <c r="S53" s="372">
        <f>AVERAGE(F53:Q53)</f>
        <v>198.16666666666666</v>
      </c>
      <c r="T53" s="377">
        <f>U53/S53</f>
        <v>2.8915054667788058</v>
      </c>
      <c r="U53" s="488">
        <f>SUM(U13:U23)</f>
        <v>573</v>
      </c>
    </row>
    <row r="54" spans="1:25" x14ac:dyDescent="0.2">
      <c r="A54" s="241"/>
      <c r="B54" s="489">
        <v>2011</v>
      </c>
      <c r="C54" s="364"/>
      <c r="D54" s="409"/>
      <c r="E54" s="372">
        <f>SUM(E25:E34)</f>
        <v>2948</v>
      </c>
      <c r="F54" s="372">
        <f>SUM(F25:F34)</f>
        <v>79</v>
      </c>
      <c r="G54" s="372">
        <f>SUM(G25:G34)</f>
        <v>40</v>
      </c>
      <c r="H54" s="372">
        <f t="shared" ref="H54:Q54" si="11">SUM(H25:H34)</f>
        <v>355</v>
      </c>
      <c r="I54" s="372">
        <f t="shared" si="11"/>
        <v>17</v>
      </c>
      <c r="J54" s="372">
        <f t="shared" si="11"/>
        <v>27</v>
      </c>
      <c r="K54" s="372">
        <f t="shared" si="11"/>
        <v>43</v>
      </c>
      <c r="L54" s="372">
        <f t="shared" si="11"/>
        <v>52</v>
      </c>
      <c r="M54" s="372">
        <f t="shared" si="11"/>
        <v>53</v>
      </c>
      <c r="N54" s="372">
        <f t="shared" si="11"/>
        <v>180</v>
      </c>
      <c r="O54" s="372">
        <f t="shared" si="11"/>
        <v>147</v>
      </c>
      <c r="P54" s="372">
        <f t="shared" si="11"/>
        <v>9</v>
      </c>
      <c r="Q54" s="372">
        <f t="shared" si="11"/>
        <v>93</v>
      </c>
      <c r="R54" s="372">
        <f>SUM(R25:R34)</f>
        <v>1095</v>
      </c>
      <c r="S54" s="372">
        <f>AVERAGE(F54:Q54)</f>
        <v>91.25</v>
      </c>
      <c r="T54" s="377">
        <f>U54/S54</f>
        <v>20.306849315068494</v>
      </c>
      <c r="U54" s="488">
        <f>SUM(U25:U34)</f>
        <v>1853</v>
      </c>
    </row>
    <row r="55" spans="1:25" x14ac:dyDescent="0.2">
      <c r="A55" s="241"/>
      <c r="B55" s="74">
        <v>2012</v>
      </c>
      <c r="C55" s="241"/>
      <c r="D55" s="408"/>
      <c r="E55" s="372">
        <f>SUM(E36:E48)</f>
        <v>4307</v>
      </c>
      <c r="F55" s="372">
        <f>SUM(F36:F48)</f>
        <v>0</v>
      </c>
      <c r="G55" s="372">
        <f t="shared" ref="G55:Q55" si="12">SUM(G36:G48)</f>
        <v>1</v>
      </c>
      <c r="H55" s="372">
        <f t="shared" si="12"/>
        <v>89</v>
      </c>
      <c r="I55" s="372">
        <f t="shared" si="12"/>
        <v>91</v>
      </c>
      <c r="J55" s="372">
        <f t="shared" si="12"/>
        <v>93</v>
      </c>
      <c r="K55" s="372">
        <f t="shared" si="12"/>
        <v>73</v>
      </c>
      <c r="L55" s="372">
        <f t="shared" si="12"/>
        <v>114</v>
      </c>
      <c r="M55" s="372">
        <f t="shared" si="12"/>
        <v>103</v>
      </c>
      <c r="N55" s="372">
        <f t="shared" si="12"/>
        <v>113</v>
      </c>
      <c r="O55" s="372">
        <f t="shared" si="12"/>
        <v>120</v>
      </c>
      <c r="P55" s="372">
        <f t="shared" si="12"/>
        <v>65</v>
      </c>
      <c r="Q55" s="372">
        <f t="shared" si="12"/>
        <v>49</v>
      </c>
      <c r="R55" s="372">
        <f>SUM(R36:R48)</f>
        <v>911</v>
      </c>
      <c r="S55" s="372">
        <f>AVERAGE(F55:Q55)</f>
        <v>75.916666666666671</v>
      </c>
      <c r="T55" s="377">
        <f>U55/S55</f>
        <v>44.733260153677271</v>
      </c>
      <c r="U55" s="488">
        <f>SUM(U36:U48)</f>
        <v>3396</v>
      </c>
    </row>
    <row r="56" spans="1:25" x14ac:dyDescent="0.2">
      <c r="A56" s="241"/>
      <c r="B56" s="85" t="s">
        <v>78</v>
      </c>
      <c r="C56" s="241"/>
      <c r="D56" s="408"/>
      <c r="E56" s="321">
        <f t="shared" ref="E56:S56" si="13">SUM(E52:E55)</f>
        <v>10374</v>
      </c>
      <c r="F56" s="321">
        <f t="shared" si="13"/>
        <v>332</v>
      </c>
      <c r="G56" s="321">
        <f t="shared" si="13"/>
        <v>229</v>
      </c>
      <c r="H56" s="321">
        <f t="shared" si="13"/>
        <v>607</v>
      </c>
      <c r="I56" s="321">
        <f t="shared" si="13"/>
        <v>372</v>
      </c>
      <c r="J56" s="321">
        <f t="shared" si="13"/>
        <v>431</v>
      </c>
      <c r="K56" s="321">
        <f t="shared" si="13"/>
        <v>279</v>
      </c>
      <c r="L56" s="321">
        <f t="shared" si="13"/>
        <v>377</v>
      </c>
      <c r="M56" s="321">
        <f t="shared" si="13"/>
        <v>298</v>
      </c>
      <c r="N56" s="321">
        <f t="shared" si="13"/>
        <v>514</v>
      </c>
      <c r="O56" s="321">
        <f t="shared" si="13"/>
        <v>551</v>
      </c>
      <c r="P56" s="321">
        <f t="shared" si="13"/>
        <v>226</v>
      </c>
      <c r="Q56" s="321">
        <f t="shared" si="13"/>
        <v>320</v>
      </c>
      <c r="R56" s="321">
        <f t="shared" si="13"/>
        <v>4536</v>
      </c>
      <c r="S56" s="321">
        <f t="shared" si="13"/>
        <v>378</v>
      </c>
      <c r="T56" s="377">
        <f>U56/S56</f>
        <v>15.402116402116402</v>
      </c>
      <c r="U56" s="321">
        <f>SUM(U52:U55)</f>
        <v>5822</v>
      </c>
      <c r="Y56" s="89">
        <f>SUM(Y16:Y55)</f>
        <v>5898</v>
      </c>
    </row>
    <row r="57" spans="1:25" x14ac:dyDescent="0.2">
      <c r="A57" s="294"/>
      <c r="B57" s="78"/>
      <c r="C57" s="78"/>
      <c r="D57" s="79"/>
      <c r="E57" s="78"/>
      <c r="F57" s="78"/>
      <c r="G57" s="78"/>
      <c r="H57" s="78"/>
      <c r="I57" s="78"/>
      <c r="J57" s="78"/>
      <c r="K57" s="78"/>
      <c r="L57" s="78"/>
      <c r="M57" s="78"/>
      <c r="N57" s="78"/>
      <c r="O57" s="78"/>
      <c r="P57" s="78"/>
      <c r="Q57" s="78"/>
      <c r="R57" s="78"/>
      <c r="S57" s="79"/>
      <c r="T57" s="80"/>
      <c r="U57" s="81"/>
    </row>
    <row r="58" spans="1:25" ht="13.5" thickBot="1" x14ac:dyDescent="0.25"/>
    <row r="59" spans="1:25" ht="48" thickBot="1" x14ac:dyDescent="0.45">
      <c r="B59" s="62" t="s">
        <v>79</v>
      </c>
      <c r="C59" s="63"/>
      <c r="D59" s="63"/>
      <c r="E59" s="64" t="s">
        <v>80</v>
      </c>
      <c r="F59" s="566" t="s">
        <v>81</v>
      </c>
      <c r="G59" s="567"/>
      <c r="H59" s="567"/>
      <c r="I59" s="567"/>
      <c r="J59" s="567"/>
      <c r="K59" s="567"/>
      <c r="L59" s="567"/>
      <c r="M59" s="567"/>
      <c r="N59" s="567"/>
      <c r="O59" s="567"/>
      <c r="P59" s="567"/>
      <c r="Q59" s="567"/>
      <c r="R59" s="65" t="s">
        <v>82</v>
      </c>
      <c r="S59" s="66"/>
      <c r="T59" s="66"/>
      <c r="U59" s="66"/>
    </row>
    <row r="60" spans="1:25" x14ac:dyDescent="0.2">
      <c r="B60" s="9"/>
      <c r="C60" s="67"/>
      <c r="D60" s="9"/>
      <c r="E60" s="73"/>
      <c r="F60" s="9"/>
      <c r="G60" s="9"/>
      <c r="H60" s="9"/>
      <c r="I60" s="9"/>
      <c r="J60" s="9"/>
      <c r="K60" s="9"/>
      <c r="L60" s="9"/>
      <c r="M60" s="9"/>
      <c r="N60" s="9"/>
      <c r="O60" s="9"/>
      <c r="P60" s="9"/>
      <c r="Q60" s="69"/>
      <c r="R60" s="9"/>
    </row>
    <row r="61" spans="1:25" x14ac:dyDescent="0.2">
      <c r="B61" s="241"/>
      <c r="C61" s="342"/>
      <c r="D61" s="241"/>
      <c r="E61" s="9"/>
      <c r="F61" s="241"/>
      <c r="G61" s="241"/>
      <c r="H61" s="241"/>
      <c r="I61" s="241"/>
      <c r="J61" s="241"/>
      <c r="K61" s="241"/>
      <c r="L61" s="241"/>
      <c r="M61" s="241"/>
      <c r="N61" s="241"/>
      <c r="O61" s="241"/>
      <c r="P61" s="241"/>
      <c r="Q61" s="331"/>
      <c r="R61" s="241"/>
    </row>
    <row r="62" spans="1:25" x14ac:dyDescent="0.2">
      <c r="B62" s="345"/>
      <c r="C62" s="345"/>
      <c r="D62" s="345"/>
      <c r="E62" s="345"/>
      <c r="F62" s="345"/>
      <c r="G62" s="345"/>
      <c r="H62" s="345"/>
      <c r="I62" s="345"/>
      <c r="J62" s="345"/>
      <c r="K62" s="345"/>
      <c r="L62" s="345"/>
      <c r="M62" s="345"/>
      <c r="N62" s="345"/>
      <c r="O62" s="345"/>
      <c r="P62" s="345"/>
      <c r="Q62" s="410"/>
      <c r="R62" s="345"/>
    </row>
    <row r="63" spans="1:25" x14ac:dyDescent="0.2">
      <c r="B63" s="241"/>
      <c r="C63" s="342"/>
      <c r="D63" s="241"/>
      <c r="E63" s="241"/>
      <c r="F63" s="241"/>
      <c r="G63" s="241"/>
      <c r="H63" s="241"/>
      <c r="I63" s="241"/>
      <c r="J63" s="241"/>
      <c r="K63" s="241"/>
      <c r="L63" s="241"/>
      <c r="M63" s="241"/>
      <c r="N63" s="241"/>
      <c r="O63" s="241"/>
      <c r="P63" s="241"/>
      <c r="Q63" s="331"/>
      <c r="R63" s="241"/>
    </row>
    <row r="64" spans="1:25" x14ac:dyDescent="0.2">
      <c r="B64" s="241"/>
      <c r="C64" s="342"/>
      <c r="D64" s="241"/>
      <c r="E64" s="241"/>
      <c r="F64" s="241"/>
      <c r="G64" s="241"/>
      <c r="H64" s="241"/>
      <c r="I64" s="241"/>
      <c r="J64" s="241"/>
      <c r="K64" s="241"/>
      <c r="L64" s="241"/>
      <c r="M64" s="241"/>
      <c r="N64" s="241"/>
      <c r="O64" s="241"/>
      <c r="P64" s="241"/>
      <c r="Q64" s="331"/>
      <c r="R64" s="241"/>
    </row>
    <row r="65" spans="2:18" x14ac:dyDescent="0.2">
      <c r="B65" s="30"/>
      <c r="C65" s="70"/>
      <c r="D65" s="30"/>
      <c r="E65" s="30"/>
      <c r="F65" s="30"/>
      <c r="G65" s="30"/>
      <c r="H65" s="30"/>
      <c r="I65" s="30"/>
      <c r="J65" s="30"/>
      <c r="K65" s="30"/>
      <c r="L65" s="30"/>
      <c r="M65" s="30"/>
      <c r="N65" s="30"/>
      <c r="O65" s="30"/>
      <c r="P65" s="30"/>
      <c r="Q65" s="30"/>
      <c r="R65" s="345"/>
    </row>
    <row r="66" spans="2:18" ht="13.5" thickBot="1" x14ac:dyDescent="0.25">
      <c r="C66" s="71"/>
    </row>
    <row r="67" spans="2:18" ht="63.75" thickBot="1" x14ac:dyDescent="0.45">
      <c r="B67" s="568" t="s">
        <v>79</v>
      </c>
      <c r="C67" s="569"/>
      <c r="D67" s="570"/>
      <c r="E67" s="72" t="s">
        <v>83</v>
      </c>
      <c r="F67" s="566" t="s">
        <v>84</v>
      </c>
      <c r="G67" s="567"/>
      <c r="H67" s="567"/>
      <c r="I67" s="567"/>
      <c r="J67" s="567"/>
      <c r="K67" s="567"/>
      <c r="L67" s="567"/>
      <c r="M67" s="567"/>
      <c r="N67" s="567"/>
      <c r="O67" s="567"/>
      <c r="P67" s="567"/>
      <c r="Q67" s="571"/>
      <c r="R67" s="65" t="s">
        <v>85</v>
      </c>
    </row>
    <row r="68" spans="2:18" ht="15.75" x14ac:dyDescent="0.25">
      <c r="B68" s="9"/>
      <c r="C68" s="67"/>
      <c r="D68" s="9"/>
      <c r="E68" s="68"/>
      <c r="F68" s="9"/>
      <c r="G68" s="9"/>
      <c r="H68" s="9"/>
      <c r="I68" s="9"/>
      <c r="J68" s="9"/>
      <c r="K68" s="9"/>
      <c r="L68" s="9"/>
      <c r="M68" s="9"/>
      <c r="N68" s="9"/>
      <c r="O68" s="9"/>
      <c r="P68" s="9"/>
      <c r="Q68" s="9"/>
      <c r="R68" s="9"/>
    </row>
    <row r="69" spans="2:18" x14ac:dyDescent="0.2">
      <c r="B69" s="241"/>
      <c r="C69" s="342"/>
      <c r="D69" s="241"/>
      <c r="E69" s="9"/>
      <c r="F69" s="241"/>
      <c r="G69" s="241"/>
      <c r="H69" s="241"/>
      <c r="I69" s="241"/>
      <c r="J69" s="241"/>
      <c r="K69" s="241"/>
      <c r="L69" s="241"/>
      <c r="M69" s="241"/>
      <c r="N69" s="241"/>
      <c r="O69" s="241"/>
      <c r="P69" s="241"/>
      <c r="Q69" s="241"/>
      <c r="R69" s="241"/>
    </row>
    <row r="70" spans="2:18" x14ac:dyDescent="0.2">
      <c r="B70" s="345"/>
      <c r="C70" s="345"/>
      <c r="D70" s="345"/>
      <c r="E70" s="345"/>
      <c r="F70" s="345"/>
      <c r="G70" s="345"/>
      <c r="H70" s="345"/>
      <c r="I70" s="345"/>
      <c r="J70" s="345"/>
      <c r="K70" s="345"/>
      <c r="L70" s="345"/>
      <c r="M70" s="345"/>
      <c r="N70" s="345"/>
      <c r="O70" s="345"/>
      <c r="P70" s="345"/>
      <c r="Q70" s="345"/>
      <c r="R70" s="345"/>
    </row>
    <row r="71" spans="2:18" x14ac:dyDescent="0.2">
      <c r="B71" s="241"/>
      <c r="C71" s="342"/>
      <c r="D71" s="241"/>
      <c r="E71" s="241"/>
      <c r="F71" s="241"/>
      <c r="G71" s="241"/>
      <c r="H71" s="241"/>
      <c r="I71" s="241"/>
      <c r="J71" s="241"/>
      <c r="K71" s="241"/>
      <c r="L71" s="241"/>
      <c r="M71" s="241"/>
      <c r="N71" s="241"/>
      <c r="O71" s="241"/>
      <c r="P71" s="241"/>
      <c r="Q71" s="241"/>
      <c r="R71" s="241"/>
    </row>
    <row r="72" spans="2:18" x14ac:dyDescent="0.2">
      <c r="B72" s="241"/>
      <c r="C72" s="342"/>
      <c r="D72" s="241"/>
      <c r="E72" s="241"/>
      <c r="F72" s="241"/>
      <c r="G72" s="241"/>
      <c r="H72" s="241"/>
      <c r="I72" s="241"/>
      <c r="J72" s="241"/>
      <c r="K72" s="241"/>
      <c r="L72" s="241"/>
      <c r="M72" s="241"/>
      <c r="N72" s="241"/>
      <c r="O72" s="241"/>
      <c r="P72" s="241"/>
      <c r="Q72" s="241"/>
      <c r="R72" s="241"/>
    </row>
  </sheetData>
  <mergeCells count="3">
    <mergeCell ref="F59:Q59"/>
    <mergeCell ref="B67:D67"/>
    <mergeCell ref="F67:Q67"/>
  </mergeCells>
  <phoneticPr fontId="8" type="noConversion"/>
  <pageMargins left="0.75" right="0.75" top="1" bottom="1" header="0.5" footer="0.5"/>
  <pageSetup orientation="portrait" horizontalDpi="4294967295" verticalDpi="4294967295"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V63"/>
  <sheetViews>
    <sheetView zoomScale="115" zoomScaleNormal="106" workbookViewId="0">
      <selection activeCell="A18" sqref="A18"/>
    </sheetView>
  </sheetViews>
  <sheetFormatPr defaultRowHeight="12.75" x14ac:dyDescent="0.2"/>
  <cols>
    <col min="1" max="1" width="6.42578125" customWidth="1"/>
    <col min="2" max="2" width="1.5703125" customWidth="1"/>
    <col min="3" max="3" width="17.42578125" customWidth="1"/>
    <col min="4" max="4" width="9.5703125" customWidth="1"/>
    <col min="5" max="5" width="12.5703125" customWidth="1"/>
    <col min="6" max="9" width="6.5703125" customWidth="1"/>
    <col min="10" max="10" width="7" customWidth="1"/>
    <col min="11" max="11" width="6.5703125" customWidth="1"/>
    <col min="12" max="12" width="6.42578125" customWidth="1"/>
    <col min="13" max="13" width="7" customWidth="1"/>
    <col min="14" max="14" width="7.42578125" customWidth="1"/>
    <col min="15" max="15" width="6.5703125" customWidth="1"/>
    <col min="16" max="16" width="7" customWidth="1"/>
    <col min="17" max="17" width="6.5703125" customWidth="1"/>
    <col min="18" max="18" width="8.5703125" customWidth="1"/>
    <col min="19" max="19" width="10.5703125" customWidth="1"/>
    <col min="20" max="20" width="10.42578125" customWidth="1"/>
    <col min="21" max="21" width="13.42578125" customWidth="1"/>
  </cols>
  <sheetData>
    <row r="2" spans="1:22" ht="77.25" customHeight="1" x14ac:dyDescent="0.2"/>
    <row r="4" spans="1:22" ht="13.5" thickBot="1" x14ac:dyDescent="0.25"/>
    <row r="5" spans="1:22" ht="29.25" customHeight="1" thickBot="1" x14ac:dyDescent="0.35">
      <c r="A5" s="52" t="s">
        <v>0</v>
      </c>
      <c r="B5" s="53"/>
      <c r="C5" s="53"/>
      <c r="D5" s="53"/>
      <c r="E5" s="53"/>
      <c r="F5" s="53"/>
      <c r="G5" s="53"/>
      <c r="H5" s="53"/>
      <c r="I5" s="53"/>
      <c r="J5" s="53"/>
      <c r="K5" s="53"/>
      <c r="L5" s="53"/>
      <c r="M5" s="53"/>
      <c r="N5" s="53"/>
      <c r="O5" s="53"/>
      <c r="P5" s="53"/>
      <c r="Q5" s="53"/>
      <c r="R5" s="53"/>
      <c r="S5" s="53"/>
      <c r="T5" s="53"/>
      <c r="U5" s="54"/>
    </row>
    <row r="6" spans="1:22" ht="48" thickBot="1" x14ac:dyDescent="0.3">
      <c r="A6" s="18" t="s">
        <v>3</v>
      </c>
      <c r="C6" s="55" t="s">
        <v>2</v>
      </c>
      <c r="D6" s="56" t="s">
        <v>61</v>
      </c>
      <c r="E6" s="57" t="s">
        <v>86</v>
      </c>
      <c r="F6" s="58" t="s">
        <v>4</v>
      </c>
      <c r="G6" s="58" t="s">
        <v>5</v>
      </c>
      <c r="H6" s="58" t="s">
        <v>6</v>
      </c>
      <c r="I6" s="58" t="s">
        <v>7</v>
      </c>
      <c r="J6" s="58" t="s">
        <v>8</v>
      </c>
      <c r="K6" s="58" t="s">
        <v>9</v>
      </c>
      <c r="L6" s="58" t="s">
        <v>10</v>
      </c>
      <c r="M6" s="58" t="s">
        <v>11</v>
      </c>
      <c r="N6" s="58" t="s">
        <v>12</v>
      </c>
      <c r="O6" s="58" t="s">
        <v>13</v>
      </c>
      <c r="P6" s="58" t="s">
        <v>14</v>
      </c>
      <c r="Q6" s="58" t="s">
        <v>15</v>
      </c>
      <c r="R6" s="59" t="s">
        <v>16</v>
      </c>
      <c r="S6" s="60" t="s">
        <v>63</v>
      </c>
      <c r="T6" s="57" t="s">
        <v>19</v>
      </c>
      <c r="U6" s="61" t="s">
        <v>41</v>
      </c>
    </row>
    <row r="7" spans="1:22" x14ac:dyDescent="0.2">
      <c r="A7" s="36">
        <v>2009</v>
      </c>
      <c r="C7" s="241" t="s">
        <v>21</v>
      </c>
      <c r="D7" s="321">
        <v>22</v>
      </c>
      <c r="E7" s="329">
        <v>21</v>
      </c>
      <c r="F7" s="241">
        <v>21</v>
      </c>
      <c r="G7" s="241">
        <v>0</v>
      </c>
      <c r="H7" s="319"/>
      <c r="I7" s="319"/>
      <c r="J7" s="319"/>
      <c r="K7" s="319"/>
      <c r="L7" s="328"/>
      <c r="M7" s="319"/>
      <c r="N7" s="319"/>
      <c r="O7" s="319"/>
      <c r="P7" s="319"/>
      <c r="Q7" s="319"/>
      <c r="R7" s="320">
        <f>SUM(F7:Q7)</f>
        <v>21</v>
      </c>
      <c r="S7" s="321">
        <f>AVERAGE(F7:Q7)</f>
        <v>10.5</v>
      </c>
      <c r="T7" s="325">
        <f>U7/S7</f>
        <v>0</v>
      </c>
      <c r="U7" s="33">
        <f>SUM(E7-R7)</f>
        <v>0</v>
      </c>
    </row>
    <row r="8" spans="1:22" x14ac:dyDescent="0.2">
      <c r="A8" s="36">
        <v>2009</v>
      </c>
      <c r="C8" s="241" t="s">
        <v>23</v>
      </c>
      <c r="D8" s="321">
        <v>29</v>
      </c>
      <c r="E8" s="329">
        <v>118</v>
      </c>
      <c r="F8" s="241">
        <v>23</v>
      </c>
      <c r="G8" s="241">
        <v>17</v>
      </c>
      <c r="H8" s="241">
        <v>14</v>
      </c>
      <c r="I8" s="241">
        <v>34</v>
      </c>
      <c r="J8" s="241"/>
      <c r="K8" s="241"/>
      <c r="L8" s="319"/>
      <c r="M8" s="319"/>
      <c r="N8" s="319"/>
      <c r="O8" s="319"/>
      <c r="P8" s="319"/>
      <c r="Q8" s="319"/>
      <c r="R8" s="320">
        <f>SUM(F8:Q8)</f>
        <v>88</v>
      </c>
      <c r="S8" s="321">
        <f>AVERAGE(F8:Q8)</f>
        <v>22</v>
      </c>
      <c r="T8" s="325">
        <f>U8/S8</f>
        <v>1.3636363636363635</v>
      </c>
      <c r="U8" s="33">
        <f>SUM(E8-R8)</f>
        <v>30</v>
      </c>
    </row>
    <row r="9" spans="1:22" x14ac:dyDescent="0.2">
      <c r="A9" s="36">
        <v>2009</v>
      </c>
      <c r="C9" s="241" t="s">
        <v>26</v>
      </c>
      <c r="D9" s="321">
        <v>16</v>
      </c>
      <c r="E9" s="329">
        <v>13</v>
      </c>
      <c r="F9" s="241">
        <v>13</v>
      </c>
      <c r="G9" s="241">
        <v>0</v>
      </c>
      <c r="H9" s="319"/>
      <c r="I9" s="319"/>
      <c r="J9" s="319"/>
      <c r="K9" s="319"/>
      <c r="L9" s="319"/>
      <c r="M9" s="319"/>
      <c r="N9" s="319"/>
      <c r="O9" s="319"/>
      <c r="P9" s="319"/>
      <c r="Q9" s="319"/>
      <c r="R9" s="320">
        <f>SUM(F9:Q9)</f>
        <v>13</v>
      </c>
      <c r="S9" s="321">
        <f>AVERAGE(F9:Q9)</f>
        <v>6.5</v>
      </c>
      <c r="T9" s="325">
        <f>U9/S9</f>
        <v>0</v>
      </c>
      <c r="U9" s="33">
        <f>SUM(E9-R9)</f>
        <v>0</v>
      </c>
    </row>
    <row r="10" spans="1:22" x14ac:dyDescent="0.2">
      <c r="A10" s="34"/>
      <c r="B10" s="30"/>
      <c r="C10" s="345"/>
      <c r="D10" s="346"/>
      <c r="E10" s="345"/>
      <c r="F10" s="345"/>
      <c r="G10" s="345"/>
      <c r="H10" s="345"/>
      <c r="I10" s="345"/>
      <c r="J10" s="345"/>
      <c r="K10" s="345"/>
      <c r="L10" s="345"/>
      <c r="M10" s="345"/>
      <c r="N10" s="345"/>
      <c r="O10" s="345"/>
      <c r="P10" s="345"/>
      <c r="Q10" s="345"/>
      <c r="R10" s="345"/>
      <c r="S10" s="346"/>
      <c r="T10" s="347"/>
      <c r="U10" s="35"/>
    </row>
    <row r="11" spans="1:22" x14ac:dyDescent="0.2">
      <c r="A11" s="241">
        <v>2010</v>
      </c>
      <c r="C11" s="241" t="s">
        <v>25</v>
      </c>
      <c r="D11" s="343">
        <v>38</v>
      </c>
      <c r="E11" s="241">
        <v>255</v>
      </c>
      <c r="F11" s="342">
        <v>25</v>
      </c>
      <c r="G11" s="342">
        <v>29</v>
      </c>
      <c r="H11" s="342">
        <v>26</v>
      </c>
      <c r="I11" s="342">
        <v>38</v>
      </c>
      <c r="J11" s="342"/>
      <c r="K11" s="342"/>
      <c r="L11" s="342"/>
      <c r="M11" s="342"/>
      <c r="N11" s="342"/>
      <c r="O11" s="400"/>
      <c r="P11" s="342"/>
      <c r="Q11" s="342"/>
      <c r="R11" s="320">
        <f t="shared" ref="R11:R19" si="0">SUM(F11:Q11)</f>
        <v>118</v>
      </c>
      <c r="S11" s="321">
        <f t="shared" ref="S11:S19" si="1">AVERAGE(F11:Q11)</f>
        <v>29.5</v>
      </c>
      <c r="T11" s="325">
        <f t="shared" ref="T11:T19" si="2">U11/S11</f>
        <v>4.6440677966101696</v>
      </c>
      <c r="U11" s="33">
        <f t="shared" ref="U11:U19" si="3">SUM(E11-R11)</f>
        <v>137</v>
      </c>
    </row>
    <row r="12" spans="1:22" x14ac:dyDescent="0.2">
      <c r="A12" s="241">
        <v>2010</v>
      </c>
      <c r="C12" s="342" t="s">
        <v>65</v>
      </c>
      <c r="D12" s="343">
        <v>30</v>
      </c>
      <c r="E12" s="241">
        <v>84</v>
      </c>
      <c r="F12" s="342">
        <v>11</v>
      </c>
      <c r="G12" s="342">
        <v>10</v>
      </c>
      <c r="H12" s="342">
        <v>9</v>
      </c>
      <c r="I12" s="342">
        <v>17</v>
      </c>
      <c r="J12" s="328"/>
      <c r="K12" s="328"/>
      <c r="L12" s="328"/>
      <c r="M12" s="328"/>
      <c r="N12" s="328"/>
      <c r="O12" s="328"/>
      <c r="P12" s="328"/>
      <c r="Q12" s="328"/>
      <c r="R12" s="320">
        <f>SUM(F12:Q12)</f>
        <v>47</v>
      </c>
      <c r="S12" s="321">
        <f>AVERAGE(F12:Q12)</f>
        <v>11.75</v>
      </c>
      <c r="T12" s="325">
        <f>U12/S12</f>
        <v>3.1489361702127661</v>
      </c>
      <c r="U12" s="33">
        <f>SUM(E12-R12)</f>
        <v>37</v>
      </c>
      <c r="V12">
        <v>3</v>
      </c>
    </row>
    <row r="13" spans="1:22" x14ac:dyDescent="0.2">
      <c r="A13" s="241">
        <v>2010</v>
      </c>
      <c r="C13" s="241" t="s">
        <v>31</v>
      </c>
      <c r="D13" s="343">
        <v>31</v>
      </c>
      <c r="E13" s="241">
        <v>151</v>
      </c>
      <c r="F13" s="342">
        <v>19</v>
      </c>
      <c r="G13" s="342">
        <v>18</v>
      </c>
      <c r="H13" s="342">
        <v>16</v>
      </c>
      <c r="I13" s="342">
        <v>62</v>
      </c>
      <c r="J13" s="342"/>
      <c r="K13" s="342"/>
      <c r="L13" s="328"/>
      <c r="M13" s="328"/>
      <c r="N13" s="328"/>
      <c r="O13" s="328"/>
      <c r="P13" s="328"/>
      <c r="Q13" s="328"/>
      <c r="R13" s="320">
        <f t="shared" si="0"/>
        <v>115</v>
      </c>
      <c r="S13" s="321">
        <f>AVERAGE(F13:Q13)</f>
        <v>28.75</v>
      </c>
      <c r="T13" s="325">
        <f t="shared" si="2"/>
        <v>1.2521739130434784</v>
      </c>
      <c r="U13" s="33">
        <f>SUM(E13-R13)</f>
        <v>36</v>
      </c>
    </row>
    <row r="14" spans="1:22" x14ac:dyDescent="0.2">
      <c r="A14" s="241">
        <v>2010</v>
      </c>
      <c r="C14" s="342" t="s">
        <v>23</v>
      </c>
      <c r="D14" s="343">
        <v>29</v>
      </c>
      <c r="E14" s="241">
        <v>283</v>
      </c>
      <c r="F14" s="398">
        <v>13</v>
      </c>
      <c r="G14" s="398">
        <v>6</v>
      </c>
      <c r="H14" s="398">
        <v>4</v>
      </c>
      <c r="I14" s="398">
        <v>0</v>
      </c>
      <c r="J14" s="398"/>
      <c r="K14" s="398"/>
      <c r="L14" s="398"/>
      <c r="M14" s="398"/>
      <c r="N14" s="398"/>
      <c r="O14" s="398"/>
      <c r="P14" s="398"/>
      <c r="Q14" s="398"/>
      <c r="R14" s="320">
        <f t="shared" si="0"/>
        <v>23</v>
      </c>
      <c r="S14" s="321">
        <f t="shared" si="1"/>
        <v>5.75</v>
      </c>
      <c r="T14" s="325">
        <f t="shared" si="2"/>
        <v>45.217391304347828</v>
      </c>
      <c r="U14" s="33">
        <f t="shared" si="3"/>
        <v>260</v>
      </c>
    </row>
    <row r="15" spans="1:22" x14ac:dyDescent="0.2">
      <c r="A15" s="241">
        <v>2010</v>
      </c>
      <c r="C15" s="342" t="s">
        <v>26</v>
      </c>
      <c r="D15" s="343">
        <v>16</v>
      </c>
      <c r="E15" s="241">
        <v>308</v>
      </c>
      <c r="F15" s="399">
        <v>2</v>
      </c>
      <c r="G15" s="342">
        <v>12</v>
      </c>
      <c r="H15" s="342">
        <v>12</v>
      </c>
      <c r="I15" s="342">
        <v>6</v>
      </c>
      <c r="J15" s="342"/>
      <c r="K15" s="342"/>
      <c r="L15" s="342"/>
      <c r="M15" s="342"/>
      <c r="N15" s="342"/>
      <c r="O15" s="342"/>
      <c r="P15" s="342"/>
      <c r="Q15" s="342"/>
      <c r="R15" s="320">
        <f t="shared" si="0"/>
        <v>32</v>
      </c>
      <c r="S15" s="321">
        <f t="shared" si="1"/>
        <v>8</v>
      </c>
      <c r="T15" s="325">
        <f t="shared" si="2"/>
        <v>34.5</v>
      </c>
      <c r="U15" s="33">
        <f t="shared" si="3"/>
        <v>276</v>
      </c>
    </row>
    <row r="16" spans="1:22" x14ac:dyDescent="0.2">
      <c r="A16" s="241">
        <v>2010</v>
      </c>
      <c r="C16" s="342" t="s">
        <v>24</v>
      </c>
      <c r="D16" s="343">
        <v>25</v>
      </c>
      <c r="E16" s="241">
        <v>238</v>
      </c>
      <c r="F16" s="342">
        <v>16</v>
      </c>
      <c r="G16" s="342">
        <v>15</v>
      </c>
      <c r="H16" s="342">
        <v>18</v>
      </c>
      <c r="I16" s="342">
        <v>22</v>
      </c>
      <c r="J16" s="342"/>
      <c r="K16" s="342"/>
      <c r="L16" s="342"/>
      <c r="M16" s="342"/>
      <c r="N16" s="342"/>
      <c r="O16" s="342"/>
      <c r="P16" s="342"/>
      <c r="Q16" s="400"/>
      <c r="R16" s="320">
        <f t="shared" si="0"/>
        <v>71</v>
      </c>
      <c r="S16" s="321">
        <f t="shared" si="1"/>
        <v>17.75</v>
      </c>
      <c r="T16" s="325">
        <f t="shared" si="2"/>
        <v>9.408450704225352</v>
      </c>
      <c r="U16" s="33">
        <f t="shared" si="3"/>
        <v>167</v>
      </c>
    </row>
    <row r="17" spans="1:22" x14ac:dyDescent="0.2">
      <c r="A17" s="241">
        <v>2010</v>
      </c>
      <c r="C17" s="342" t="s">
        <v>27</v>
      </c>
      <c r="D17" s="343">
        <v>21</v>
      </c>
      <c r="E17" s="241">
        <v>301</v>
      </c>
      <c r="F17" s="342">
        <v>23</v>
      </c>
      <c r="G17" s="342">
        <v>22</v>
      </c>
      <c r="H17" s="342">
        <v>15</v>
      </c>
      <c r="I17" s="342">
        <v>15</v>
      </c>
      <c r="J17" s="342"/>
      <c r="K17" s="342"/>
      <c r="L17" s="342"/>
      <c r="M17" s="342"/>
      <c r="N17" s="342"/>
      <c r="O17" s="342"/>
      <c r="P17" s="342"/>
      <c r="Q17" s="342"/>
      <c r="R17" s="320">
        <f t="shared" si="0"/>
        <v>75</v>
      </c>
      <c r="S17" s="321">
        <f t="shared" si="1"/>
        <v>18.75</v>
      </c>
      <c r="T17" s="325">
        <f t="shared" si="2"/>
        <v>12.053333333333333</v>
      </c>
      <c r="U17" s="33">
        <f t="shared" si="3"/>
        <v>226</v>
      </c>
    </row>
    <row r="18" spans="1:22" x14ac:dyDescent="0.2">
      <c r="A18" s="241">
        <v>2010</v>
      </c>
      <c r="C18" s="241" t="s">
        <v>29</v>
      </c>
      <c r="D18" s="343">
        <v>12</v>
      </c>
      <c r="E18" s="241">
        <v>168</v>
      </c>
      <c r="F18" s="342">
        <v>16</v>
      </c>
      <c r="G18" s="342">
        <v>8</v>
      </c>
      <c r="H18" s="342">
        <v>7</v>
      </c>
      <c r="I18" s="342">
        <v>12</v>
      </c>
      <c r="J18" s="342"/>
      <c r="K18" s="342"/>
      <c r="L18" s="342"/>
      <c r="M18" s="342"/>
      <c r="N18" s="411"/>
      <c r="O18" s="342"/>
      <c r="P18" s="342"/>
      <c r="Q18" s="342"/>
      <c r="R18" s="320">
        <f t="shared" si="0"/>
        <v>43</v>
      </c>
      <c r="S18" s="321">
        <f t="shared" si="1"/>
        <v>10.75</v>
      </c>
      <c r="T18" s="325">
        <f t="shared" si="2"/>
        <v>11.627906976744185</v>
      </c>
      <c r="U18" s="33">
        <f t="shared" si="3"/>
        <v>125</v>
      </c>
      <c r="V18">
        <v>3</v>
      </c>
    </row>
    <row r="19" spans="1:22" x14ac:dyDescent="0.2">
      <c r="A19" s="241">
        <v>2010</v>
      </c>
      <c r="C19" s="342" t="s">
        <v>66</v>
      </c>
      <c r="D19" s="343">
        <v>22</v>
      </c>
      <c r="E19" s="241">
        <v>573</v>
      </c>
      <c r="F19" s="399">
        <v>8</v>
      </c>
      <c r="G19" s="398">
        <v>24</v>
      </c>
      <c r="H19" s="342">
        <v>27</v>
      </c>
      <c r="I19" s="342">
        <v>20</v>
      </c>
      <c r="J19" s="342"/>
      <c r="K19" s="342"/>
      <c r="L19" s="342"/>
      <c r="M19" s="342"/>
      <c r="N19" s="411"/>
      <c r="O19" s="342"/>
      <c r="P19" s="400"/>
      <c r="Q19" s="400"/>
      <c r="R19" s="320">
        <f t="shared" si="0"/>
        <v>79</v>
      </c>
      <c r="S19" s="321">
        <f t="shared" si="1"/>
        <v>19.75</v>
      </c>
      <c r="T19" s="325">
        <f t="shared" si="2"/>
        <v>25.0126582278481</v>
      </c>
      <c r="U19" s="33">
        <f t="shared" si="3"/>
        <v>494</v>
      </c>
      <c r="V19">
        <v>5</v>
      </c>
    </row>
    <row r="20" spans="1:22" x14ac:dyDescent="0.2">
      <c r="A20" s="241">
        <v>2010</v>
      </c>
      <c r="C20" s="342" t="s">
        <v>67</v>
      </c>
      <c r="D20" s="343">
        <v>37</v>
      </c>
      <c r="E20" s="241">
        <v>396</v>
      </c>
      <c r="F20" s="400">
        <v>43</v>
      </c>
      <c r="G20" s="342">
        <v>21</v>
      </c>
      <c r="H20" s="342">
        <v>9</v>
      </c>
      <c r="I20" s="342">
        <v>24</v>
      </c>
      <c r="J20" s="342"/>
      <c r="K20" s="342"/>
      <c r="L20" s="342"/>
      <c r="M20" s="342"/>
      <c r="N20" s="400"/>
      <c r="O20" s="342"/>
      <c r="P20" s="400"/>
      <c r="Q20" s="400"/>
      <c r="R20" s="320">
        <f>SUM(F20:Q20)</f>
        <v>97</v>
      </c>
      <c r="S20" s="321">
        <f>AVERAGE(F20:Q20)</f>
        <v>24.25</v>
      </c>
      <c r="T20" s="325">
        <f>U20/S20</f>
        <v>12.329896907216495</v>
      </c>
      <c r="U20" s="33">
        <f>SUM(E20-R20)</f>
        <v>299</v>
      </c>
    </row>
    <row r="21" spans="1:22" x14ac:dyDescent="0.2">
      <c r="A21" s="241">
        <v>2010</v>
      </c>
      <c r="C21" s="241" t="s">
        <v>45</v>
      </c>
      <c r="D21" s="343">
        <v>13</v>
      </c>
      <c r="E21" s="241">
        <v>210</v>
      </c>
      <c r="F21" s="400">
        <v>20</v>
      </c>
      <c r="G21" s="342">
        <v>6</v>
      </c>
      <c r="H21" s="342">
        <v>6</v>
      </c>
      <c r="I21" s="342">
        <v>14</v>
      </c>
      <c r="J21" s="342"/>
      <c r="K21" s="342"/>
      <c r="L21" s="342"/>
      <c r="M21" s="342"/>
      <c r="N21" s="342"/>
      <c r="O21" s="400"/>
      <c r="P21" s="400"/>
      <c r="Q21" s="400"/>
      <c r="R21" s="320">
        <f>SUM(F21:Q21)</f>
        <v>46</v>
      </c>
      <c r="S21" s="321">
        <f>AVERAGE(F21:Q21)</f>
        <v>11.5</v>
      </c>
      <c r="T21" s="325">
        <f>U21/S21</f>
        <v>14.260869565217391</v>
      </c>
      <c r="U21" s="33">
        <f>SUM(E21-R21)</f>
        <v>164</v>
      </c>
    </row>
    <row r="22" spans="1:22" x14ac:dyDescent="0.2">
      <c r="A22" s="75"/>
      <c r="B22" s="30"/>
      <c r="C22" s="345"/>
      <c r="D22" s="345"/>
      <c r="E22" s="345"/>
      <c r="F22" s="401">
        <v>1</v>
      </c>
      <c r="G22" s="402"/>
      <c r="H22" s="402"/>
      <c r="I22" s="402"/>
      <c r="J22" s="402"/>
      <c r="K22" s="402"/>
      <c r="L22" s="402"/>
      <c r="M22" s="402"/>
      <c r="N22" s="402"/>
      <c r="O22" s="401"/>
      <c r="P22" s="401"/>
      <c r="Q22" s="401"/>
      <c r="R22" s="345"/>
      <c r="S22" s="346"/>
      <c r="T22" s="403"/>
      <c r="U22" s="76"/>
    </row>
    <row r="23" spans="1:22" x14ac:dyDescent="0.2">
      <c r="A23" s="74">
        <v>2011</v>
      </c>
      <c r="C23" s="342" t="s">
        <v>46</v>
      </c>
      <c r="D23" s="343">
        <v>25</v>
      </c>
      <c r="E23" s="241">
        <v>281</v>
      </c>
      <c r="F23" s="400">
        <v>46</v>
      </c>
      <c r="G23" s="342">
        <v>25</v>
      </c>
      <c r="H23" s="342">
        <v>210</v>
      </c>
      <c r="I23" s="328"/>
      <c r="J23" s="328"/>
      <c r="K23" s="328"/>
      <c r="L23" s="328"/>
      <c r="M23" s="328"/>
      <c r="N23" s="328"/>
      <c r="O23" s="404"/>
      <c r="P23" s="404"/>
      <c r="Q23" s="404"/>
      <c r="R23" s="320">
        <f>SUM(F23:Q23)</f>
        <v>281</v>
      </c>
      <c r="S23" s="321">
        <f>AVERAGE(F23:Q23)</f>
        <v>93.666666666666671</v>
      </c>
      <c r="T23" s="325">
        <f>U23/S23</f>
        <v>0</v>
      </c>
      <c r="U23" s="33">
        <f>SUM(E23-R23)</f>
        <v>0</v>
      </c>
      <c r="V23" t="s">
        <v>87</v>
      </c>
    </row>
    <row r="24" spans="1:22" x14ac:dyDescent="0.2">
      <c r="A24" s="74">
        <v>2011</v>
      </c>
      <c r="C24" s="342" t="s">
        <v>25</v>
      </c>
      <c r="D24" s="343">
        <v>38</v>
      </c>
      <c r="E24" s="241">
        <v>535</v>
      </c>
      <c r="F24" s="400">
        <v>1</v>
      </c>
      <c r="G24" s="342">
        <v>0</v>
      </c>
      <c r="H24" s="342">
        <v>0</v>
      </c>
      <c r="I24" s="342">
        <v>4</v>
      </c>
      <c r="J24" s="342"/>
      <c r="K24" s="342"/>
      <c r="L24" s="342"/>
      <c r="M24" s="342"/>
      <c r="N24" s="342"/>
      <c r="O24" s="400"/>
      <c r="P24" s="400"/>
      <c r="Q24" s="400"/>
      <c r="R24" s="320">
        <f>SUM(F24:Q24)</f>
        <v>5</v>
      </c>
      <c r="S24" s="321">
        <f>AVERAGE(F24:Q24)</f>
        <v>1.25</v>
      </c>
      <c r="T24" s="325">
        <f>U24/S24</f>
        <v>424</v>
      </c>
      <c r="U24" s="33">
        <f>SUM(E24-R24)</f>
        <v>530</v>
      </c>
    </row>
    <row r="25" spans="1:22" x14ac:dyDescent="0.2">
      <c r="A25" s="74">
        <v>2011</v>
      </c>
      <c r="C25" s="241" t="s">
        <v>31</v>
      </c>
      <c r="D25" s="343">
        <v>31</v>
      </c>
      <c r="E25" s="241">
        <v>487</v>
      </c>
      <c r="F25" s="399">
        <v>1</v>
      </c>
      <c r="G25" s="398">
        <v>5</v>
      </c>
      <c r="H25" s="398">
        <v>3</v>
      </c>
      <c r="I25" s="398">
        <v>12</v>
      </c>
      <c r="J25" s="398"/>
      <c r="K25" s="398"/>
      <c r="L25" s="398"/>
      <c r="M25" s="398"/>
      <c r="N25" s="398"/>
      <c r="O25" s="399"/>
      <c r="P25" s="399"/>
      <c r="Q25" s="399"/>
      <c r="R25" s="320">
        <f t="shared" ref="R25:R41" si="4">SUM(F25:Q25)</f>
        <v>21</v>
      </c>
      <c r="S25" s="321">
        <f t="shared" ref="S25:S41" si="5">AVERAGE(F25:Q25)</f>
        <v>5.25</v>
      </c>
      <c r="T25" s="325">
        <f t="shared" ref="T25:T41" si="6">U25/S25</f>
        <v>88.761904761904759</v>
      </c>
      <c r="U25" s="33">
        <f t="shared" ref="U25:U41" si="7">SUM(E25-R25)</f>
        <v>466</v>
      </c>
    </row>
    <row r="26" spans="1:22" x14ac:dyDescent="0.2">
      <c r="A26" s="74">
        <v>2011</v>
      </c>
      <c r="C26" s="342" t="s">
        <v>33</v>
      </c>
      <c r="D26" s="343">
        <v>29</v>
      </c>
      <c r="E26" s="241">
        <v>147</v>
      </c>
      <c r="F26" s="399">
        <v>19</v>
      </c>
      <c r="G26" s="398">
        <v>0</v>
      </c>
      <c r="H26" s="398">
        <v>128</v>
      </c>
      <c r="I26" s="328"/>
      <c r="J26" s="328"/>
      <c r="K26" s="328"/>
      <c r="L26" s="328"/>
      <c r="M26" s="328"/>
      <c r="N26" s="328"/>
      <c r="O26" s="404"/>
      <c r="P26" s="404"/>
      <c r="Q26" s="404"/>
      <c r="R26" s="320">
        <f t="shared" si="4"/>
        <v>147</v>
      </c>
      <c r="S26" s="321">
        <f t="shared" si="5"/>
        <v>49</v>
      </c>
      <c r="T26" s="325">
        <f t="shared" si="6"/>
        <v>0</v>
      </c>
      <c r="U26" s="33">
        <f>SUM(E26-R26)</f>
        <v>0</v>
      </c>
      <c r="V26" t="s">
        <v>88</v>
      </c>
    </row>
    <row r="27" spans="1:22" x14ac:dyDescent="0.2">
      <c r="A27" s="74">
        <v>2011</v>
      </c>
      <c r="C27" s="342" t="s">
        <v>26</v>
      </c>
      <c r="D27" s="343">
        <v>16</v>
      </c>
      <c r="E27" s="241">
        <v>243</v>
      </c>
      <c r="F27" s="399">
        <v>2</v>
      </c>
      <c r="G27" s="398">
        <v>0</v>
      </c>
      <c r="H27" s="398">
        <v>0</v>
      </c>
      <c r="I27" s="398">
        <v>0</v>
      </c>
      <c r="J27" s="398"/>
      <c r="K27" s="398"/>
      <c r="L27" s="398"/>
      <c r="M27" s="398"/>
      <c r="N27" s="398"/>
      <c r="O27" s="399"/>
      <c r="P27" s="399"/>
      <c r="Q27" s="399"/>
      <c r="R27" s="320">
        <f t="shared" si="4"/>
        <v>2</v>
      </c>
      <c r="S27" s="321">
        <f t="shared" si="5"/>
        <v>0.5</v>
      </c>
      <c r="T27" s="325">
        <f t="shared" si="6"/>
        <v>482</v>
      </c>
      <c r="U27" s="33">
        <f t="shared" si="7"/>
        <v>241</v>
      </c>
    </row>
    <row r="28" spans="1:22" x14ac:dyDescent="0.2">
      <c r="A28" s="74">
        <v>2011</v>
      </c>
      <c r="C28" s="342" t="s">
        <v>23</v>
      </c>
      <c r="D28" s="343">
        <v>29</v>
      </c>
      <c r="E28" s="241">
        <v>179</v>
      </c>
      <c r="F28" s="399">
        <v>1</v>
      </c>
      <c r="G28" s="398">
        <v>0</v>
      </c>
      <c r="H28" s="398">
        <v>0</v>
      </c>
      <c r="I28" s="398">
        <v>0</v>
      </c>
      <c r="J28" s="398"/>
      <c r="K28" s="398"/>
      <c r="L28" s="398"/>
      <c r="M28" s="398"/>
      <c r="N28" s="398"/>
      <c r="O28" s="399"/>
      <c r="P28" s="399"/>
      <c r="Q28" s="399"/>
      <c r="R28" s="320">
        <f t="shared" si="4"/>
        <v>1</v>
      </c>
      <c r="S28" s="321">
        <f t="shared" si="5"/>
        <v>0.25</v>
      </c>
      <c r="T28" s="325">
        <f t="shared" si="6"/>
        <v>712</v>
      </c>
      <c r="U28" s="33">
        <f t="shared" si="7"/>
        <v>178</v>
      </c>
    </row>
    <row r="29" spans="1:22" x14ac:dyDescent="0.2">
      <c r="A29" s="74">
        <v>2011</v>
      </c>
      <c r="C29" s="241" t="s">
        <v>24</v>
      </c>
      <c r="D29" s="343">
        <v>25</v>
      </c>
      <c r="E29" s="241">
        <v>202</v>
      </c>
      <c r="F29" s="399">
        <v>5</v>
      </c>
      <c r="G29" s="398">
        <v>0</v>
      </c>
      <c r="H29" s="398">
        <v>3</v>
      </c>
      <c r="I29" s="398">
        <v>1</v>
      </c>
      <c r="J29" s="398"/>
      <c r="K29" s="398"/>
      <c r="L29" s="398"/>
      <c r="M29" s="398"/>
      <c r="N29" s="398"/>
      <c r="O29" s="399"/>
      <c r="P29" s="399"/>
      <c r="Q29" s="399"/>
      <c r="R29" s="320">
        <f t="shared" si="4"/>
        <v>9</v>
      </c>
      <c r="S29" s="321">
        <f t="shared" si="5"/>
        <v>2.25</v>
      </c>
      <c r="T29" s="325">
        <f t="shared" si="6"/>
        <v>85.777777777777771</v>
      </c>
      <c r="U29" s="33">
        <f t="shared" si="7"/>
        <v>193</v>
      </c>
    </row>
    <row r="30" spans="1:22" x14ac:dyDescent="0.2">
      <c r="A30" s="74">
        <v>2011</v>
      </c>
      <c r="C30" s="241" t="s">
        <v>70</v>
      </c>
      <c r="D30" s="343">
        <v>21</v>
      </c>
      <c r="E30" s="241">
        <v>171</v>
      </c>
      <c r="F30" s="399">
        <v>2</v>
      </c>
      <c r="G30" s="398">
        <v>6</v>
      </c>
      <c r="H30" s="398">
        <v>0</v>
      </c>
      <c r="I30" s="398">
        <v>0</v>
      </c>
      <c r="J30" s="398"/>
      <c r="K30" s="398"/>
      <c r="L30" s="398"/>
      <c r="M30" s="398"/>
      <c r="N30" s="398"/>
      <c r="O30" s="399"/>
      <c r="P30" s="399"/>
      <c r="Q30" s="399"/>
      <c r="R30" s="320">
        <f t="shared" si="4"/>
        <v>8</v>
      </c>
      <c r="S30" s="321">
        <f t="shared" si="5"/>
        <v>2</v>
      </c>
      <c r="T30" s="325">
        <f t="shared" si="6"/>
        <v>81.5</v>
      </c>
      <c r="U30" s="33">
        <f t="shared" si="7"/>
        <v>163</v>
      </c>
    </row>
    <row r="31" spans="1:22" x14ac:dyDescent="0.2">
      <c r="A31" s="74">
        <v>2011</v>
      </c>
      <c r="C31" s="241" t="s">
        <v>22</v>
      </c>
      <c r="D31" s="343">
        <v>37</v>
      </c>
      <c r="E31" s="241">
        <v>344</v>
      </c>
      <c r="F31" s="399">
        <v>1</v>
      </c>
      <c r="G31" s="398">
        <v>0</v>
      </c>
      <c r="H31" s="398">
        <v>11</v>
      </c>
      <c r="I31" s="398">
        <v>0</v>
      </c>
      <c r="J31" s="398"/>
      <c r="K31" s="398"/>
      <c r="L31" s="398"/>
      <c r="M31" s="398"/>
      <c r="N31" s="398"/>
      <c r="O31" s="399"/>
      <c r="P31" s="399"/>
      <c r="Q31" s="399"/>
      <c r="R31" s="320">
        <f t="shared" si="4"/>
        <v>12</v>
      </c>
      <c r="S31" s="321">
        <f t="shared" si="5"/>
        <v>3</v>
      </c>
      <c r="T31" s="325">
        <f t="shared" si="6"/>
        <v>110.66666666666667</v>
      </c>
      <c r="U31" s="33">
        <f t="shared" si="7"/>
        <v>332</v>
      </c>
    </row>
    <row r="32" spans="1:22" x14ac:dyDescent="0.2">
      <c r="A32" s="74">
        <v>2011</v>
      </c>
      <c r="C32" s="241" t="s">
        <v>71</v>
      </c>
      <c r="D32" s="343">
        <v>13</v>
      </c>
      <c r="E32" s="241">
        <v>359</v>
      </c>
      <c r="F32" s="399">
        <v>1</v>
      </c>
      <c r="G32" s="398">
        <v>4</v>
      </c>
      <c r="H32" s="398">
        <v>0</v>
      </c>
      <c r="I32" s="398">
        <v>0</v>
      </c>
      <c r="J32" s="398"/>
      <c r="K32" s="398"/>
      <c r="L32" s="398"/>
      <c r="M32" s="398"/>
      <c r="N32" s="398"/>
      <c r="O32" s="399"/>
      <c r="P32" s="399"/>
      <c r="Q32" s="399"/>
      <c r="R32" s="320">
        <f t="shared" si="4"/>
        <v>5</v>
      </c>
      <c r="S32" s="321">
        <f t="shared" si="5"/>
        <v>1.25</v>
      </c>
      <c r="T32" s="325">
        <f t="shared" si="6"/>
        <v>283.2</v>
      </c>
      <c r="U32" s="33">
        <f t="shared" si="7"/>
        <v>354</v>
      </c>
    </row>
    <row r="33" spans="1:21" x14ac:dyDescent="0.2">
      <c r="A33" s="34"/>
      <c r="B33" s="30"/>
      <c r="C33" s="345"/>
      <c r="D33" s="346"/>
      <c r="E33" s="345"/>
      <c r="F33" s="345"/>
      <c r="G33" s="345"/>
      <c r="H33" s="345"/>
      <c r="I33" s="345"/>
      <c r="J33" s="345"/>
      <c r="K33" s="345"/>
      <c r="L33" s="345"/>
      <c r="M33" s="345"/>
      <c r="N33" s="345"/>
      <c r="O33" s="345"/>
      <c r="P33" s="345"/>
      <c r="Q33" s="345"/>
      <c r="R33" s="345"/>
      <c r="S33" s="346"/>
      <c r="T33" s="403"/>
      <c r="U33" s="35"/>
    </row>
    <row r="34" spans="1:21" x14ac:dyDescent="0.2">
      <c r="A34" s="74">
        <v>2012</v>
      </c>
      <c r="C34" s="241" t="s">
        <v>33</v>
      </c>
      <c r="D34" s="343"/>
      <c r="E34" s="241">
        <v>547</v>
      </c>
      <c r="F34" s="399"/>
      <c r="G34" s="398">
        <v>1</v>
      </c>
      <c r="H34" s="398">
        <v>89</v>
      </c>
      <c r="I34" s="398">
        <v>54</v>
      </c>
      <c r="J34" s="398"/>
      <c r="K34" s="398"/>
      <c r="L34" s="398"/>
      <c r="M34" s="398"/>
      <c r="N34" s="398"/>
      <c r="O34" s="399"/>
      <c r="P34" s="399"/>
      <c r="Q34" s="399"/>
      <c r="R34" s="320">
        <f t="shared" si="4"/>
        <v>144</v>
      </c>
      <c r="S34" s="321">
        <f t="shared" si="5"/>
        <v>48</v>
      </c>
      <c r="T34" s="325">
        <f t="shared" si="6"/>
        <v>8.3958333333333339</v>
      </c>
      <c r="U34" s="33">
        <f t="shared" si="7"/>
        <v>403</v>
      </c>
    </row>
    <row r="35" spans="1:21" x14ac:dyDescent="0.2">
      <c r="A35" s="74">
        <v>2012</v>
      </c>
      <c r="C35" s="241" t="s">
        <v>72</v>
      </c>
      <c r="D35" s="343"/>
      <c r="E35" s="241">
        <v>332</v>
      </c>
      <c r="F35" s="399"/>
      <c r="G35" s="398"/>
      <c r="H35" s="398"/>
      <c r="I35" s="398">
        <v>37</v>
      </c>
      <c r="J35" s="398"/>
      <c r="K35" s="398"/>
      <c r="L35" s="398"/>
      <c r="M35" s="398"/>
      <c r="N35" s="398"/>
      <c r="O35" s="399"/>
      <c r="P35" s="399"/>
      <c r="Q35" s="399"/>
      <c r="R35" s="320">
        <f t="shared" si="4"/>
        <v>37</v>
      </c>
      <c r="S35" s="321">
        <f t="shared" si="5"/>
        <v>37</v>
      </c>
      <c r="T35" s="325">
        <f t="shared" si="6"/>
        <v>7.9729729729729728</v>
      </c>
      <c r="U35" s="33">
        <f t="shared" si="7"/>
        <v>295</v>
      </c>
    </row>
    <row r="36" spans="1:21" x14ac:dyDescent="0.2">
      <c r="A36" s="74"/>
      <c r="C36" s="241"/>
      <c r="D36" s="343"/>
      <c r="E36" s="241"/>
      <c r="F36" s="399"/>
      <c r="G36" s="398"/>
      <c r="H36" s="398"/>
      <c r="I36" s="398"/>
      <c r="J36" s="398"/>
      <c r="K36" s="398"/>
      <c r="L36" s="398"/>
      <c r="M36" s="398"/>
      <c r="N36" s="398"/>
      <c r="O36" s="399"/>
      <c r="P36" s="399"/>
      <c r="Q36" s="399"/>
      <c r="R36" s="320">
        <f t="shared" si="4"/>
        <v>0</v>
      </c>
      <c r="S36" s="321" t="e">
        <f t="shared" si="5"/>
        <v>#DIV/0!</v>
      </c>
      <c r="T36" s="325" t="e">
        <f t="shared" si="6"/>
        <v>#DIV/0!</v>
      </c>
      <c r="U36" s="33">
        <f t="shared" si="7"/>
        <v>0</v>
      </c>
    </row>
    <row r="37" spans="1:21" x14ac:dyDescent="0.2">
      <c r="A37" s="74"/>
      <c r="C37" s="241"/>
      <c r="D37" s="343"/>
      <c r="E37" s="241"/>
      <c r="F37" s="399"/>
      <c r="G37" s="398"/>
      <c r="H37" s="398"/>
      <c r="I37" s="398"/>
      <c r="J37" s="398"/>
      <c r="K37" s="398"/>
      <c r="L37" s="398"/>
      <c r="M37" s="398"/>
      <c r="N37" s="398"/>
      <c r="O37" s="399"/>
      <c r="P37" s="399"/>
      <c r="Q37" s="399"/>
      <c r="R37" s="320">
        <f t="shared" si="4"/>
        <v>0</v>
      </c>
      <c r="S37" s="321" t="e">
        <f t="shared" si="5"/>
        <v>#DIV/0!</v>
      </c>
      <c r="T37" s="325" t="e">
        <f t="shared" si="6"/>
        <v>#DIV/0!</v>
      </c>
      <c r="U37" s="33">
        <f t="shared" si="7"/>
        <v>0</v>
      </c>
    </row>
    <row r="38" spans="1:21" x14ac:dyDescent="0.2">
      <c r="A38" s="74"/>
      <c r="C38" s="241"/>
      <c r="D38" s="343"/>
      <c r="E38" s="241"/>
      <c r="F38" s="399"/>
      <c r="G38" s="398"/>
      <c r="H38" s="398"/>
      <c r="I38" s="398"/>
      <c r="J38" s="398"/>
      <c r="K38" s="398"/>
      <c r="L38" s="398"/>
      <c r="M38" s="398"/>
      <c r="N38" s="398"/>
      <c r="O38" s="399"/>
      <c r="P38" s="399"/>
      <c r="Q38" s="399"/>
      <c r="R38" s="320">
        <f t="shared" si="4"/>
        <v>0</v>
      </c>
      <c r="S38" s="321" t="e">
        <f t="shared" si="5"/>
        <v>#DIV/0!</v>
      </c>
      <c r="T38" s="325" t="e">
        <f t="shared" si="6"/>
        <v>#DIV/0!</v>
      </c>
      <c r="U38" s="33">
        <f t="shared" si="7"/>
        <v>0</v>
      </c>
    </row>
    <row r="39" spans="1:21" x14ac:dyDescent="0.2">
      <c r="A39" s="74"/>
      <c r="C39" s="241"/>
      <c r="D39" s="343"/>
      <c r="E39" s="241"/>
      <c r="F39" s="399"/>
      <c r="G39" s="398"/>
      <c r="H39" s="398"/>
      <c r="I39" s="398"/>
      <c r="J39" s="398"/>
      <c r="K39" s="398"/>
      <c r="L39" s="398"/>
      <c r="M39" s="398"/>
      <c r="N39" s="398"/>
      <c r="O39" s="399"/>
      <c r="P39" s="399"/>
      <c r="Q39" s="399"/>
      <c r="R39" s="320">
        <f t="shared" si="4"/>
        <v>0</v>
      </c>
      <c r="S39" s="321" t="e">
        <f t="shared" si="5"/>
        <v>#DIV/0!</v>
      </c>
      <c r="T39" s="325" t="e">
        <f t="shared" si="6"/>
        <v>#DIV/0!</v>
      </c>
      <c r="U39" s="33">
        <f t="shared" si="7"/>
        <v>0</v>
      </c>
    </row>
    <row r="40" spans="1:21" x14ac:dyDescent="0.2">
      <c r="A40" s="74"/>
      <c r="C40" s="241"/>
      <c r="D40" s="343"/>
      <c r="E40" s="241"/>
      <c r="F40" s="399"/>
      <c r="G40" s="398"/>
      <c r="H40" s="398"/>
      <c r="I40" s="398"/>
      <c r="J40" s="398"/>
      <c r="K40" s="398"/>
      <c r="L40" s="398"/>
      <c r="M40" s="398"/>
      <c r="N40" s="398"/>
      <c r="O40" s="399"/>
      <c r="P40" s="399"/>
      <c r="Q40" s="399"/>
      <c r="R40" s="320">
        <f t="shared" si="4"/>
        <v>0</v>
      </c>
      <c r="S40" s="321" t="e">
        <f t="shared" si="5"/>
        <v>#DIV/0!</v>
      </c>
      <c r="T40" s="325" t="e">
        <f t="shared" si="6"/>
        <v>#DIV/0!</v>
      </c>
      <c r="U40" s="33">
        <f t="shared" si="7"/>
        <v>0</v>
      </c>
    </row>
    <row r="41" spans="1:21" x14ac:dyDescent="0.2">
      <c r="A41" s="74"/>
      <c r="C41" s="241"/>
      <c r="D41" s="343"/>
      <c r="E41" s="241"/>
      <c r="F41" s="400" t="s">
        <v>35</v>
      </c>
      <c r="G41" s="342"/>
      <c r="H41" s="342"/>
      <c r="I41" s="342"/>
      <c r="J41" s="342"/>
      <c r="K41" s="342"/>
      <c r="L41" s="342"/>
      <c r="M41" s="342"/>
      <c r="N41" s="342"/>
      <c r="O41" s="400"/>
      <c r="P41" s="400"/>
      <c r="Q41" s="400"/>
      <c r="R41" s="320">
        <f t="shared" si="4"/>
        <v>0</v>
      </c>
      <c r="S41" s="321" t="e">
        <f t="shared" si="5"/>
        <v>#DIV/0!</v>
      </c>
      <c r="T41" s="325" t="e">
        <f t="shared" si="6"/>
        <v>#DIV/0!</v>
      </c>
      <c r="U41" s="33">
        <f t="shared" si="7"/>
        <v>0</v>
      </c>
    </row>
    <row r="42" spans="1:21" x14ac:dyDescent="0.2">
      <c r="A42" s="34"/>
      <c r="B42" s="30"/>
      <c r="C42" s="345"/>
      <c r="D42" s="346"/>
      <c r="E42" s="345"/>
      <c r="F42" s="345"/>
      <c r="G42" s="345"/>
      <c r="H42" s="345"/>
      <c r="I42" s="345"/>
      <c r="J42" s="345"/>
      <c r="K42" s="345"/>
      <c r="L42" s="345"/>
      <c r="M42" s="345"/>
      <c r="N42" s="345"/>
      <c r="O42" s="345"/>
      <c r="P42" s="345"/>
      <c r="Q42" s="345"/>
      <c r="R42" s="345"/>
      <c r="S42" s="346"/>
      <c r="T42" s="403"/>
      <c r="U42" s="35"/>
    </row>
    <row r="43" spans="1:21" x14ac:dyDescent="0.2">
      <c r="A43" s="32">
        <v>2009</v>
      </c>
      <c r="C43" s="241"/>
      <c r="D43" s="408"/>
      <c r="E43" s="321">
        <f t="shared" ref="E43:R43" si="8">SUM(E7:E9)</f>
        <v>152</v>
      </c>
      <c r="F43" s="321">
        <f t="shared" si="8"/>
        <v>57</v>
      </c>
      <c r="G43" s="321">
        <f t="shared" si="8"/>
        <v>17</v>
      </c>
      <c r="H43" s="321">
        <f t="shared" si="8"/>
        <v>14</v>
      </c>
      <c r="I43" s="321">
        <f t="shared" si="8"/>
        <v>34</v>
      </c>
      <c r="J43" s="321">
        <f t="shared" si="8"/>
        <v>0</v>
      </c>
      <c r="K43" s="321">
        <f t="shared" si="8"/>
        <v>0</v>
      </c>
      <c r="L43" s="321">
        <f t="shared" si="8"/>
        <v>0</v>
      </c>
      <c r="M43" s="321">
        <f t="shared" si="8"/>
        <v>0</v>
      </c>
      <c r="N43" s="321">
        <f t="shared" si="8"/>
        <v>0</v>
      </c>
      <c r="O43" s="321">
        <f t="shared" si="8"/>
        <v>0</v>
      </c>
      <c r="P43" s="321">
        <f t="shared" si="8"/>
        <v>0</v>
      </c>
      <c r="Q43" s="321">
        <f t="shared" si="8"/>
        <v>0</v>
      </c>
      <c r="R43" s="321">
        <f t="shared" si="8"/>
        <v>122</v>
      </c>
      <c r="S43" s="321">
        <f>AVERAGE(F43:Q43)</f>
        <v>10.166666666666666</v>
      </c>
      <c r="T43" s="325">
        <f>U43/S43</f>
        <v>2.9508196721311477</v>
      </c>
      <c r="U43" s="350">
        <f>SUM(U7:U9)</f>
        <v>30</v>
      </c>
    </row>
    <row r="44" spans="1:21" x14ac:dyDescent="0.2">
      <c r="A44" s="339">
        <v>2010</v>
      </c>
      <c r="C44" s="364"/>
      <c r="D44" s="409"/>
      <c r="E44" s="372">
        <f t="shared" ref="E44:R44" si="9">SUM(E11:E21)</f>
        <v>2967</v>
      </c>
      <c r="F44" s="372">
        <f t="shared" si="9"/>
        <v>196</v>
      </c>
      <c r="G44" s="372">
        <f t="shared" si="9"/>
        <v>171</v>
      </c>
      <c r="H44" s="372">
        <f t="shared" si="9"/>
        <v>149</v>
      </c>
      <c r="I44" s="372">
        <f t="shared" si="9"/>
        <v>230</v>
      </c>
      <c r="J44" s="372">
        <f t="shared" si="9"/>
        <v>0</v>
      </c>
      <c r="K44" s="372">
        <f t="shared" si="9"/>
        <v>0</v>
      </c>
      <c r="L44" s="372">
        <f t="shared" si="9"/>
        <v>0</v>
      </c>
      <c r="M44" s="372">
        <f t="shared" si="9"/>
        <v>0</v>
      </c>
      <c r="N44" s="372">
        <f t="shared" si="9"/>
        <v>0</v>
      </c>
      <c r="O44" s="372">
        <f t="shared" si="9"/>
        <v>0</v>
      </c>
      <c r="P44" s="372">
        <f t="shared" si="9"/>
        <v>0</v>
      </c>
      <c r="Q44" s="372">
        <f t="shared" si="9"/>
        <v>0</v>
      </c>
      <c r="R44" s="372">
        <f t="shared" si="9"/>
        <v>746</v>
      </c>
      <c r="S44" s="372">
        <f>AVERAGE(F44:Q44)</f>
        <v>62.166666666666664</v>
      </c>
      <c r="T44" s="377">
        <f>U44/S44</f>
        <v>35.726541554959788</v>
      </c>
      <c r="U44" s="488">
        <f>SUM(U11:U21)</f>
        <v>2221</v>
      </c>
    </row>
    <row r="45" spans="1:21" x14ac:dyDescent="0.2">
      <c r="A45" s="364">
        <v>2011</v>
      </c>
      <c r="B45" s="364"/>
      <c r="C45" s="364"/>
      <c r="D45" s="409"/>
      <c r="E45" s="372">
        <f>SUM(E23:E41)</f>
        <v>3827</v>
      </c>
      <c r="F45" s="372">
        <f>SUM(F23:F41)</f>
        <v>79</v>
      </c>
      <c r="G45" s="372">
        <f>SUM(G23:G41)</f>
        <v>41</v>
      </c>
      <c r="H45" s="372">
        <f>SUM(H23:H41)</f>
        <v>444</v>
      </c>
      <c r="I45" s="372">
        <f t="shared" ref="I45:Q45" si="10">SUM(I23:I41)</f>
        <v>108</v>
      </c>
      <c r="J45" s="372">
        <f t="shared" si="10"/>
        <v>0</v>
      </c>
      <c r="K45" s="372">
        <f t="shared" si="10"/>
        <v>0</v>
      </c>
      <c r="L45" s="372">
        <f t="shared" si="10"/>
        <v>0</v>
      </c>
      <c r="M45" s="372">
        <f t="shared" si="10"/>
        <v>0</v>
      </c>
      <c r="N45" s="372">
        <f t="shared" si="10"/>
        <v>0</v>
      </c>
      <c r="O45" s="372">
        <f t="shared" si="10"/>
        <v>0</v>
      </c>
      <c r="P45" s="372">
        <f t="shared" si="10"/>
        <v>0</v>
      </c>
      <c r="Q45" s="372">
        <f t="shared" si="10"/>
        <v>0</v>
      </c>
      <c r="R45" s="372">
        <f>SUM(R23:R41)</f>
        <v>672</v>
      </c>
      <c r="S45" s="372">
        <f>AVERAGE(F45:Q45)</f>
        <v>56</v>
      </c>
      <c r="T45" s="377">
        <f>U45/S45</f>
        <v>56.339285714285715</v>
      </c>
      <c r="U45" s="488">
        <f>SUM(U23:U41)</f>
        <v>3155</v>
      </c>
    </row>
    <row r="46" spans="1:21" x14ac:dyDescent="0.2">
      <c r="A46" s="241">
        <v>2012</v>
      </c>
      <c r="B46" s="241"/>
      <c r="C46" s="241"/>
      <c r="D46" s="408"/>
      <c r="E46" s="321"/>
      <c r="F46" s="321"/>
      <c r="G46" s="321"/>
      <c r="H46" s="321"/>
      <c r="I46" s="321"/>
      <c r="J46" s="321"/>
      <c r="K46" s="321"/>
      <c r="L46" s="321"/>
      <c r="M46" s="321"/>
      <c r="N46" s="321"/>
      <c r="O46" s="321"/>
      <c r="P46" s="321"/>
      <c r="Q46" s="321"/>
      <c r="R46" s="321"/>
      <c r="S46" s="321"/>
      <c r="T46" s="325"/>
      <c r="U46" s="321"/>
    </row>
    <row r="47" spans="1:21" x14ac:dyDescent="0.2">
      <c r="A47" s="412" t="s">
        <v>78</v>
      </c>
      <c r="B47" s="241"/>
      <c r="C47" s="241"/>
      <c r="D47" s="408"/>
      <c r="E47" s="321">
        <f t="shared" ref="E47:S47" si="11">SUM(E43:E46)</f>
        <v>6946</v>
      </c>
      <c r="F47" s="321">
        <f t="shared" si="11"/>
        <v>332</v>
      </c>
      <c r="G47" s="321">
        <f t="shared" si="11"/>
        <v>229</v>
      </c>
      <c r="H47" s="321">
        <f t="shared" si="11"/>
        <v>607</v>
      </c>
      <c r="I47" s="321">
        <f t="shared" si="11"/>
        <v>372</v>
      </c>
      <c r="J47" s="321">
        <f t="shared" si="11"/>
        <v>0</v>
      </c>
      <c r="K47" s="321">
        <f t="shared" si="11"/>
        <v>0</v>
      </c>
      <c r="L47" s="321">
        <f t="shared" si="11"/>
        <v>0</v>
      </c>
      <c r="M47" s="321">
        <f t="shared" si="11"/>
        <v>0</v>
      </c>
      <c r="N47" s="321">
        <f t="shared" si="11"/>
        <v>0</v>
      </c>
      <c r="O47" s="321">
        <f t="shared" si="11"/>
        <v>0</v>
      </c>
      <c r="P47" s="321">
        <f t="shared" si="11"/>
        <v>0</v>
      </c>
      <c r="Q47" s="321">
        <f t="shared" si="11"/>
        <v>0</v>
      </c>
      <c r="R47" s="321">
        <f t="shared" si="11"/>
        <v>1540</v>
      </c>
      <c r="S47" s="321">
        <f t="shared" si="11"/>
        <v>128.33333333333331</v>
      </c>
      <c r="T47" s="377">
        <f>U47/S47</f>
        <v>42.12467532467533</v>
      </c>
      <c r="U47" s="321">
        <f>SUM(U43:U46)</f>
        <v>5406</v>
      </c>
    </row>
    <row r="48" spans="1:21" x14ac:dyDescent="0.2">
      <c r="A48" s="77"/>
      <c r="B48" s="30"/>
      <c r="C48" s="78"/>
      <c r="D48" s="79"/>
      <c r="E48" s="78"/>
      <c r="F48" s="78"/>
      <c r="G48" s="78"/>
      <c r="H48" s="78"/>
      <c r="I48" s="78"/>
      <c r="J48" s="78"/>
      <c r="K48" s="78"/>
      <c r="L48" s="78"/>
      <c r="M48" s="78"/>
      <c r="N48" s="78"/>
      <c r="O48" s="78"/>
      <c r="P48" s="78"/>
      <c r="Q48" s="78"/>
      <c r="R48" s="78"/>
      <c r="S48" s="79"/>
      <c r="T48" s="80"/>
      <c r="U48" s="81"/>
    </row>
    <row r="49" spans="1:21" ht="13.5" thickBot="1" x14ac:dyDescent="0.25"/>
    <row r="50" spans="1:21" ht="39.75" customHeight="1" thickBot="1" x14ac:dyDescent="0.45">
      <c r="A50" s="62" t="s">
        <v>79</v>
      </c>
      <c r="B50" s="63"/>
      <c r="C50" s="63"/>
      <c r="D50" s="63"/>
      <c r="E50" s="64" t="s">
        <v>80</v>
      </c>
      <c r="F50" s="566" t="s">
        <v>81</v>
      </c>
      <c r="G50" s="567"/>
      <c r="H50" s="567"/>
      <c r="I50" s="567"/>
      <c r="J50" s="567"/>
      <c r="K50" s="567"/>
      <c r="L50" s="567"/>
      <c r="M50" s="567"/>
      <c r="N50" s="567"/>
      <c r="O50" s="567"/>
      <c r="P50" s="567"/>
      <c r="Q50" s="567"/>
      <c r="R50" s="65" t="s">
        <v>82</v>
      </c>
      <c r="S50" s="66"/>
      <c r="T50" s="66"/>
      <c r="U50" s="66"/>
    </row>
    <row r="51" spans="1:21" x14ac:dyDescent="0.2">
      <c r="A51" s="9"/>
      <c r="B51" s="9"/>
      <c r="C51" s="67"/>
      <c r="D51" s="9"/>
      <c r="E51" s="73"/>
      <c r="F51" s="9"/>
      <c r="G51" s="9"/>
      <c r="H51" s="9"/>
      <c r="I51" s="9"/>
      <c r="J51" s="9"/>
      <c r="K51" s="9"/>
      <c r="L51" s="9"/>
      <c r="M51" s="9"/>
      <c r="N51" s="9"/>
      <c r="O51" s="9"/>
      <c r="P51" s="9"/>
      <c r="Q51" s="69"/>
      <c r="R51" s="9"/>
    </row>
    <row r="52" spans="1:21" x14ac:dyDescent="0.2">
      <c r="A52" s="241"/>
      <c r="B52" s="241"/>
      <c r="C52" s="342"/>
      <c r="D52" s="241"/>
      <c r="E52" s="9"/>
      <c r="F52" s="241"/>
      <c r="G52" s="241"/>
      <c r="H52" s="241"/>
      <c r="I52" s="241"/>
      <c r="J52" s="241"/>
      <c r="K52" s="241"/>
      <c r="L52" s="241"/>
      <c r="M52" s="241"/>
      <c r="N52" s="241"/>
      <c r="O52" s="241"/>
      <c r="P52" s="241"/>
      <c r="Q52" s="331"/>
      <c r="R52" s="241"/>
    </row>
    <row r="53" spans="1:21" x14ac:dyDescent="0.2">
      <c r="A53" s="345"/>
      <c r="B53" s="345"/>
      <c r="C53" s="345"/>
      <c r="D53" s="345"/>
      <c r="E53" s="345"/>
      <c r="F53" s="345"/>
      <c r="G53" s="345"/>
      <c r="H53" s="345"/>
      <c r="I53" s="345"/>
      <c r="J53" s="345"/>
      <c r="K53" s="345"/>
      <c r="L53" s="345"/>
      <c r="M53" s="345"/>
      <c r="N53" s="345"/>
      <c r="O53" s="345"/>
      <c r="P53" s="345"/>
      <c r="Q53" s="410"/>
      <c r="R53" s="345"/>
    </row>
    <row r="54" spans="1:21" x14ac:dyDescent="0.2">
      <c r="A54" s="241"/>
      <c r="B54" s="241"/>
      <c r="C54" s="342"/>
      <c r="D54" s="241"/>
      <c r="E54" s="241"/>
      <c r="F54" s="241"/>
      <c r="G54" s="241"/>
      <c r="H54" s="241"/>
      <c r="I54" s="241"/>
      <c r="J54" s="241"/>
      <c r="K54" s="241"/>
      <c r="L54" s="241"/>
      <c r="M54" s="241"/>
      <c r="N54" s="241"/>
      <c r="O54" s="241"/>
      <c r="P54" s="241"/>
      <c r="Q54" s="331"/>
      <c r="R54" s="241"/>
    </row>
    <row r="55" spans="1:21" x14ac:dyDescent="0.2">
      <c r="A55" s="241"/>
      <c r="B55" s="241"/>
      <c r="C55" s="342"/>
      <c r="D55" s="241"/>
      <c r="E55" s="241"/>
      <c r="F55" s="241"/>
      <c r="G55" s="241"/>
      <c r="H55" s="241"/>
      <c r="I55" s="241"/>
      <c r="J55" s="241"/>
      <c r="K55" s="241"/>
      <c r="L55" s="241"/>
      <c r="M55" s="241"/>
      <c r="N55" s="241"/>
      <c r="O55" s="241"/>
      <c r="P55" s="241"/>
      <c r="Q55" s="331"/>
      <c r="R55" s="241"/>
    </row>
    <row r="56" spans="1:21" x14ac:dyDescent="0.2">
      <c r="A56" s="30"/>
      <c r="B56" s="30"/>
      <c r="C56" s="70"/>
      <c r="D56" s="30"/>
      <c r="E56" s="30"/>
      <c r="F56" s="30"/>
      <c r="G56" s="30"/>
      <c r="H56" s="30"/>
      <c r="I56" s="30"/>
      <c r="J56" s="30"/>
      <c r="K56" s="30"/>
      <c r="L56" s="30"/>
      <c r="M56" s="30"/>
      <c r="N56" s="30"/>
      <c r="O56" s="30"/>
      <c r="P56" s="30"/>
      <c r="Q56" s="30"/>
      <c r="R56" s="345"/>
    </row>
    <row r="57" spans="1:21" ht="12.75" customHeight="1" thickBot="1" x14ac:dyDescent="0.25">
      <c r="C57" s="71"/>
    </row>
    <row r="58" spans="1:21" ht="38.25" customHeight="1" thickBot="1" x14ac:dyDescent="0.45">
      <c r="A58" s="568" t="s">
        <v>79</v>
      </c>
      <c r="B58" s="569"/>
      <c r="C58" s="569"/>
      <c r="D58" s="570"/>
      <c r="E58" s="72" t="s">
        <v>83</v>
      </c>
      <c r="F58" s="566" t="s">
        <v>84</v>
      </c>
      <c r="G58" s="567"/>
      <c r="H58" s="567"/>
      <c r="I58" s="567"/>
      <c r="J58" s="567"/>
      <c r="K58" s="567"/>
      <c r="L58" s="567"/>
      <c r="M58" s="567"/>
      <c r="N58" s="567"/>
      <c r="O58" s="567"/>
      <c r="P58" s="567"/>
      <c r="Q58" s="571"/>
      <c r="R58" s="65" t="s">
        <v>85</v>
      </c>
    </row>
    <row r="59" spans="1:21" ht="15.75" x14ac:dyDescent="0.25">
      <c r="A59" s="9"/>
      <c r="B59" s="9"/>
      <c r="C59" s="67"/>
      <c r="D59" s="9"/>
      <c r="E59" s="68"/>
      <c r="F59" s="9"/>
      <c r="G59" s="9"/>
      <c r="H59" s="9"/>
      <c r="I59" s="9"/>
      <c r="J59" s="9"/>
      <c r="K59" s="9"/>
      <c r="L59" s="9"/>
      <c r="M59" s="9"/>
      <c r="N59" s="9"/>
      <c r="O59" s="9"/>
      <c r="P59" s="9"/>
      <c r="Q59" s="9"/>
      <c r="R59" s="9"/>
    </row>
    <row r="60" spans="1:21" x14ac:dyDescent="0.2">
      <c r="A60" s="241"/>
      <c r="B60" s="241"/>
      <c r="C60" s="342"/>
      <c r="D60" s="241"/>
      <c r="E60" s="9"/>
      <c r="F60" s="241"/>
      <c r="G60" s="241"/>
      <c r="H60" s="241"/>
      <c r="I60" s="241"/>
      <c r="J60" s="241"/>
      <c r="K60" s="241"/>
      <c r="L60" s="241"/>
      <c r="M60" s="241"/>
      <c r="N60" s="241"/>
      <c r="O60" s="241"/>
      <c r="P60" s="241"/>
      <c r="Q60" s="241"/>
      <c r="R60" s="241"/>
    </row>
    <row r="61" spans="1:21" x14ac:dyDescent="0.2">
      <c r="A61" s="345"/>
      <c r="B61" s="345"/>
      <c r="C61" s="345"/>
      <c r="D61" s="345"/>
      <c r="E61" s="345"/>
      <c r="F61" s="345"/>
      <c r="G61" s="345"/>
      <c r="H61" s="345"/>
      <c r="I61" s="345"/>
      <c r="J61" s="345"/>
      <c r="K61" s="345"/>
      <c r="L61" s="345"/>
      <c r="M61" s="345"/>
      <c r="N61" s="345"/>
      <c r="O61" s="345"/>
      <c r="P61" s="345"/>
      <c r="Q61" s="345"/>
      <c r="R61" s="345"/>
    </row>
    <row r="62" spans="1:21" x14ac:dyDescent="0.2">
      <c r="A62" s="241"/>
      <c r="B62" s="241"/>
      <c r="C62" s="342"/>
      <c r="D62" s="241"/>
      <c r="E62" s="241"/>
      <c r="F62" s="241"/>
      <c r="G62" s="241"/>
      <c r="H62" s="241"/>
      <c r="I62" s="241"/>
      <c r="J62" s="241"/>
      <c r="K62" s="241"/>
      <c r="L62" s="241"/>
      <c r="M62" s="241"/>
      <c r="N62" s="241"/>
      <c r="O62" s="241"/>
      <c r="P62" s="241"/>
      <c r="Q62" s="241"/>
      <c r="R62" s="241"/>
    </row>
    <row r="63" spans="1:21" x14ac:dyDescent="0.2">
      <c r="A63" s="241"/>
      <c r="B63" s="241"/>
      <c r="C63" s="342"/>
      <c r="D63" s="241"/>
      <c r="E63" s="241"/>
      <c r="F63" s="241"/>
      <c r="G63" s="241"/>
      <c r="H63" s="241"/>
      <c r="I63" s="241"/>
      <c r="J63" s="241"/>
      <c r="K63" s="241"/>
      <c r="L63" s="241"/>
      <c r="M63" s="241"/>
      <c r="N63" s="241"/>
      <c r="O63" s="241"/>
      <c r="P63" s="241"/>
      <c r="Q63" s="241"/>
      <c r="R63" s="241"/>
    </row>
  </sheetData>
  <mergeCells count="3">
    <mergeCell ref="F50:Q50"/>
    <mergeCell ref="A58:D58"/>
    <mergeCell ref="F58:Q58"/>
  </mergeCells>
  <phoneticPr fontId="0" type="noConversion"/>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Y72"/>
  <sheetViews>
    <sheetView topLeftCell="A62" zoomScale="110" zoomScaleNormal="110" workbookViewId="0">
      <selection activeCell="K44" sqref="K44"/>
    </sheetView>
  </sheetViews>
  <sheetFormatPr defaultRowHeight="12.75" x14ac:dyDescent="0.2"/>
  <cols>
    <col min="3" max="3" width="16.5703125" bestFit="1" customWidth="1"/>
    <col min="4" max="4" width="11" customWidth="1"/>
    <col min="5" max="5" width="11.5703125" style="90" customWidth="1"/>
    <col min="6" max="6" width="6.42578125" style="90" customWidth="1"/>
    <col min="7" max="9" width="5.42578125" style="90" bestFit="1" customWidth="1"/>
    <col min="10" max="10" width="5.5703125" style="90" bestFit="1" customWidth="1"/>
    <col min="11" max="11" width="5.42578125" style="90" bestFit="1" customWidth="1"/>
    <col min="12" max="12" width="4.5703125" style="90" bestFit="1" customWidth="1"/>
    <col min="13" max="13" width="5.5703125" style="90" bestFit="1" customWidth="1"/>
    <col min="14" max="14" width="7.42578125" style="90" customWidth="1"/>
    <col min="15" max="15" width="5" style="90" bestFit="1" customWidth="1"/>
    <col min="16" max="17" width="5.5703125" style="90" bestFit="1" customWidth="1"/>
    <col min="19" max="19" width="10.42578125" customWidth="1"/>
    <col min="21" max="21" width="12.5703125" customWidth="1"/>
  </cols>
  <sheetData>
    <row r="2" spans="1:25" ht="15.75" x14ac:dyDescent="0.2">
      <c r="D2" s="71"/>
      <c r="E2" s="91"/>
    </row>
    <row r="3" spans="1:25" ht="15.75" x14ac:dyDescent="0.2">
      <c r="D3" s="71"/>
      <c r="E3" s="91"/>
    </row>
    <row r="4" spans="1:25" ht="15.75" x14ac:dyDescent="0.2">
      <c r="E4" s="91"/>
    </row>
    <row r="6" spans="1:25" ht="13.5" thickBot="1" x14ac:dyDescent="0.25"/>
    <row r="7" spans="1:25" ht="21" thickBot="1" x14ac:dyDescent="0.35">
      <c r="A7" s="82"/>
      <c r="B7" s="52" t="s">
        <v>0</v>
      </c>
      <c r="C7" s="53"/>
      <c r="D7" s="53"/>
      <c r="E7" s="169"/>
      <c r="F7" s="169"/>
      <c r="G7" s="169"/>
      <c r="H7" s="169"/>
      <c r="I7" s="169"/>
      <c r="J7" s="169"/>
      <c r="K7" s="169"/>
      <c r="L7" s="169"/>
      <c r="M7" s="169"/>
      <c r="N7" s="169"/>
      <c r="O7" s="169"/>
      <c r="P7" s="169"/>
      <c r="Q7" s="169"/>
      <c r="R7" s="53"/>
      <c r="S7" s="53"/>
      <c r="T7" s="53"/>
      <c r="U7" s="54"/>
    </row>
    <row r="8" spans="1:25" ht="48" thickBot="1" x14ac:dyDescent="0.3">
      <c r="A8" s="248" t="s">
        <v>60</v>
      </c>
      <c r="B8" s="83" t="s">
        <v>3</v>
      </c>
      <c r="C8" s="55" t="s">
        <v>2</v>
      </c>
      <c r="D8" s="56" t="s">
        <v>89</v>
      </c>
      <c r="E8" s="57" t="s">
        <v>90</v>
      </c>
      <c r="F8" s="58" t="s">
        <v>4</v>
      </c>
      <c r="G8" s="58" t="s">
        <v>5</v>
      </c>
      <c r="H8" s="58" t="s">
        <v>6</v>
      </c>
      <c r="I8" s="58" t="s">
        <v>7</v>
      </c>
      <c r="J8" s="58" t="s">
        <v>8</v>
      </c>
      <c r="K8" s="58" t="s">
        <v>9</v>
      </c>
      <c r="L8" s="58" t="s">
        <v>10</v>
      </c>
      <c r="M8" s="58" t="s">
        <v>11</v>
      </c>
      <c r="N8" s="58" t="s">
        <v>12</v>
      </c>
      <c r="O8" s="58" t="s">
        <v>13</v>
      </c>
      <c r="P8" s="58" t="s">
        <v>14</v>
      </c>
      <c r="Q8" s="58" t="s">
        <v>15</v>
      </c>
      <c r="R8" s="59" t="s">
        <v>16</v>
      </c>
      <c r="S8" s="60" t="s">
        <v>91</v>
      </c>
      <c r="T8" s="57" t="s">
        <v>19</v>
      </c>
      <c r="U8" s="61" t="s">
        <v>41</v>
      </c>
      <c r="X8" s="87"/>
      <c r="Y8" s="88"/>
    </row>
    <row r="9" spans="1:25" x14ac:dyDescent="0.2">
      <c r="A9" s="294"/>
      <c r="B9" s="75"/>
      <c r="C9" s="345"/>
      <c r="D9" s="346"/>
      <c r="E9" s="413"/>
      <c r="F9" s="413"/>
      <c r="G9" s="413"/>
      <c r="H9" s="413"/>
      <c r="I9" s="413"/>
      <c r="J9" s="413"/>
      <c r="K9" s="413"/>
      <c r="L9" s="413"/>
      <c r="M9" s="413"/>
      <c r="N9" s="413"/>
      <c r="O9" s="413"/>
      <c r="P9" s="413"/>
      <c r="Q9" s="413"/>
      <c r="R9" s="345"/>
      <c r="S9" s="346"/>
      <c r="T9" s="347"/>
      <c r="U9" s="35"/>
    </row>
    <row r="10" spans="1:25" x14ac:dyDescent="0.2">
      <c r="A10" s="241">
        <v>22382</v>
      </c>
      <c r="B10" s="74">
        <v>2010</v>
      </c>
      <c r="C10" s="342" t="s">
        <v>23</v>
      </c>
      <c r="D10" s="343">
        <v>29</v>
      </c>
      <c r="E10" s="412">
        <v>36</v>
      </c>
      <c r="F10" s="414">
        <v>20</v>
      </c>
      <c r="G10" s="414">
        <v>16</v>
      </c>
      <c r="H10" s="415"/>
      <c r="I10" s="415"/>
      <c r="J10" s="415"/>
      <c r="K10" s="415"/>
      <c r="L10" s="415"/>
      <c r="M10" s="415"/>
      <c r="N10" s="415"/>
      <c r="O10" s="415"/>
      <c r="P10" s="415"/>
      <c r="Q10" s="415"/>
      <c r="R10" s="320">
        <f t="shared" ref="R10:R15" si="0">SUM(F10:Q10)</f>
        <v>36</v>
      </c>
      <c r="S10" s="321">
        <f t="shared" ref="S10:S15" si="1">AVERAGE(F10:Q10)</f>
        <v>18</v>
      </c>
      <c r="T10" s="325">
        <f t="shared" ref="T10:T15" si="2">U10/S10</f>
        <v>0</v>
      </c>
      <c r="U10" s="33">
        <f>SUM(E10-R10)</f>
        <v>0</v>
      </c>
      <c r="Y10" s="89"/>
    </row>
    <row r="11" spans="1:25" x14ac:dyDescent="0.2">
      <c r="A11" s="241">
        <v>22834</v>
      </c>
      <c r="B11" s="74">
        <v>2010</v>
      </c>
      <c r="C11" s="342" t="s">
        <v>26</v>
      </c>
      <c r="D11" s="343">
        <v>16</v>
      </c>
      <c r="E11" s="412">
        <v>137</v>
      </c>
      <c r="F11" s="414">
        <v>20</v>
      </c>
      <c r="G11" s="411">
        <v>20</v>
      </c>
      <c r="H11" s="411">
        <v>6</v>
      </c>
      <c r="I11" s="411">
        <v>9</v>
      </c>
      <c r="J11" s="411">
        <v>24</v>
      </c>
      <c r="K11" s="411">
        <v>17</v>
      </c>
      <c r="L11" s="411">
        <v>22</v>
      </c>
      <c r="M11" s="411">
        <v>10</v>
      </c>
      <c r="N11" s="415"/>
      <c r="O11" s="415"/>
      <c r="P11" s="415"/>
      <c r="Q11" s="415"/>
      <c r="R11" s="320">
        <f t="shared" si="0"/>
        <v>128</v>
      </c>
      <c r="S11" s="321">
        <f t="shared" si="1"/>
        <v>16</v>
      </c>
      <c r="T11" s="325">
        <f t="shared" si="2"/>
        <v>0</v>
      </c>
      <c r="U11" s="33">
        <v>0</v>
      </c>
      <c r="Y11" s="89"/>
    </row>
    <row r="12" spans="1:25" x14ac:dyDescent="0.2">
      <c r="A12">
        <v>18004</v>
      </c>
      <c r="B12" s="74">
        <v>2010</v>
      </c>
      <c r="C12" s="241" t="s">
        <v>29</v>
      </c>
      <c r="D12" s="343">
        <v>12</v>
      </c>
      <c r="E12" s="412">
        <v>32</v>
      </c>
      <c r="F12" s="411">
        <v>11</v>
      </c>
      <c r="G12" s="411">
        <v>21</v>
      </c>
      <c r="H12" s="415"/>
      <c r="I12" s="415"/>
      <c r="J12" s="415"/>
      <c r="K12" s="415"/>
      <c r="L12" s="415"/>
      <c r="M12" s="415"/>
      <c r="N12" s="415"/>
      <c r="O12" s="415"/>
      <c r="P12" s="415"/>
      <c r="Q12" s="415"/>
      <c r="R12" s="320">
        <f t="shared" si="0"/>
        <v>32</v>
      </c>
      <c r="S12" s="321">
        <f t="shared" si="1"/>
        <v>16</v>
      </c>
      <c r="T12" s="325">
        <f t="shared" si="2"/>
        <v>0</v>
      </c>
      <c r="U12" s="33">
        <f>SUM(E12-R12)</f>
        <v>0</v>
      </c>
      <c r="V12" s="71" t="s">
        <v>35</v>
      </c>
      <c r="Y12" s="89"/>
    </row>
    <row r="13" spans="1:25" x14ac:dyDescent="0.2">
      <c r="A13" s="241">
        <v>34641</v>
      </c>
      <c r="B13" s="74">
        <v>2010</v>
      </c>
      <c r="C13" s="342" t="s">
        <v>66</v>
      </c>
      <c r="D13" s="343">
        <v>22</v>
      </c>
      <c r="E13" s="412">
        <v>278</v>
      </c>
      <c r="F13" s="414">
        <v>9</v>
      </c>
      <c r="G13" s="414">
        <v>17</v>
      </c>
      <c r="H13" s="411">
        <v>22</v>
      </c>
      <c r="I13" s="411">
        <v>24</v>
      </c>
      <c r="J13" s="411">
        <v>23</v>
      </c>
      <c r="K13" s="411">
        <v>47</v>
      </c>
      <c r="L13" s="411">
        <v>29</v>
      </c>
      <c r="M13" s="411">
        <v>31</v>
      </c>
      <c r="N13" s="411">
        <v>28</v>
      </c>
      <c r="O13" s="411">
        <v>48</v>
      </c>
      <c r="P13" s="415"/>
      <c r="Q13" s="415"/>
      <c r="R13" s="320">
        <f t="shared" si="0"/>
        <v>278</v>
      </c>
      <c r="S13" s="321">
        <f t="shared" si="1"/>
        <v>27.8</v>
      </c>
      <c r="T13" s="325">
        <f t="shared" si="2"/>
        <v>0</v>
      </c>
      <c r="U13" s="33">
        <f>SUM(E13-R13)</f>
        <v>0</v>
      </c>
      <c r="V13" s="71" t="s">
        <v>35</v>
      </c>
      <c r="Y13" s="89"/>
    </row>
    <row r="14" spans="1:25" x14ac:dyDescent="0.2">
      <c r="A14" s="241">
        <v>22921</v>
      </c>
      <c r="B14" s="74">
        <v>2010</v>
      </c>
      <c r="C14" s="342" t="s">
        <v>67</v>
      </c>
      <c r="D14" s="343">
        <v>37</v>
      </c>
      <c r="E14" s="412">
        <v>150</v>
      </c>
      <c r="F14" s="411">
        <v>38</v>
      </c>
      <c r="G14" s="411">
        <v>59</v>
      </c>
      <c r="H14" s="411">
        <v>21</v>
      </c>
      <c r="I14" s="415">
        <v>12</v>
      </c>
      <c r="J14" s="415">
        <v>5</v>
      </c>
      <c r="K14" s="415">
        <v>15</v>
      </c>
      <c r="L14" s="415"/>
      <c r="M14" s="415"/>
      <c r="N14" s="415"/>
      <c r="O14" s="415"/>
      <c r="P14" s="415"/>
      <c r="Q14" s="415"/>
      <c r="R14" s="320">
        <f t="shared" si="0"/>
        <v>150</v>
      </c>
      <c r="S14" s="321">
        <f t="shared" si="1"/>
        <v>25</v>
      </c>
      <c r="T14" s="325">
        <f t="shared" si="2"/>
        <v>0</v>
      </c>
      <c r="U14" s="33">
        <f>SUM(E14-R14)</f>
        <v>0</v>
      </c>
      <c r="Y14" s="89"/>
    </row>
    <row r="15" spans="1:25" x14ac:dyDescent="0.2">
      <c r="A15" s="241">
        <v>38269</v>
      </c>
      <c r="B15" s="74">
        <v>2010</v>
      </c>
      <c r="C15" s="241" t="s">
        <v>45</v>
      </c>
      <c r="D15" s="343">
        <v>13</v>
      </c>
      <c r="E15" s="412">
        <v>69</v>
      </c>
      <c r="F15" s="411">
        <v>5</v>
      </c>
      <c r="G15" s="411">
        <v>0</v>
      </c>
      <c r="H15" s="411">
        <v>14</v>
      </c>
      <c r="I15" s="411">
        <v>9</v>
      </c>
      <c r="J15" s="411">
        <v>10</v>
      </c>
      <c r="K15" s="411">
        <v>16</v>
      </c>
      <c r="L15" s="411" t="s">
        <v>92</v>
      </c>
      <c r="M15" s="415"/>
      <c r="N15" s="415"/>
      <c r="O15" s="415"/>
      <c r="P15" s="415"/>
      <c r="Q15" s="415"/>
      <c r="R15" s="320">
        <f t="shared" si="0"/>
        <v>54</v>
      </c>
      <c r="S15" s="321">
        <f t="shared" si="1"/>
        <v>9</v>
      </c>
      <c r="T15" s="325">
        <f t="shared" si="2"/>
        <v>0</v>
      </c>
      <c r="U15" s="33">
        <v>0</v>
      </c>
      <c r="Y15" s="89"/>
    </row>
    <row r="16" spans="1:25" x14ac:dyDescent="0.2">
      <c r="A16" s="294"/>
      <c r="B16" s="75"/>
      <c r="C16" s="345"/>
      <c r="D16" s="345"/>
      <c r="E16" s="413"/>
      <c r="F16" s="416">
        <v>1</v>
      </c>
      <c r="G16" s="416"/>
      <c r="H16" s="416"/>
      <c r="I16" s="416"/>
      <c r="J16" s="416"/>
      <c r="K16" s="416"/>
      <c r="L16" s="416"/>
      <c r="M16" s="416"/>
      <c r="N16" s="416"/>
      <c r="O16" s="416"/>
      <c r="P16" s="416"/>
      <c r="Q16" s="416"/>
      <c r="R16" s="345"/>
      <c r="S16" s="346"/>
      <c r="T16" s="403"/>
      <c r="U16" s="76"/>
      <c r="Y16" s="89"/>
    </row>
    <row r="17" spans="1:25" x14ac:dyDescent="0.2">
      <c r="A17">
        <v>57630</v>
      </c>
      <c r="B17" s="74">
        <v>2011</v>
      </c>
      <c r="C17" s="342" t="s">
        <v>25</v>
      </c>
      <c r="D17" s="343">
        <v>38</v>
      </c>
      <c r="E17" s="412">
        <v>458</v>
      </c>
      <c r="F17" s="414">
        <v>1</v>
      </c>
      <c r="G17" s="414">
        <v>17</v>
      </c>
      <c r="H17" s="414">
        <v>21</v>
      </c>
      <c r="I17" s="414">
        <v>33</v>
      </c>
      <c r="J17" s="414">
        <v>34</v>
      </c>
      <c r="K17" s="414">
        <v>28</v>
      </c>
      <c r="L17" s="414">
        <v>29</v>
      </c>
      <c r="M17" s="411">
        <v>24</v>
      </c>
      <c r="N17" s="411">
        <v>60</v>
      </c>
      <c r="O17" s="411">
        <v>34</v>
      </c>
      <c r="P17" s="411">
        <v>76</v>
      </c>
      <c r="Q17" s="411">
        <v>21</v>
      </c>
      <c r="R17" s="320">
        <f>SUM(F17:Q17)</f>
        <v>378</v>
      </c>
      <c r="S17" s="321">
        <f>AVERAGE(F17:Q17)</f>
        <v>31.5</v>
      </c>
      <c r="T17" s="325">
        <f>U17/S17</f>
        <v>2.5396825396825395</v>
      </c>
      <c r="U17" s="33">
        <f>SUM(E17-R17)</f>
        <v>80</v>
      </c>
      <c r="V17" s="71" t="s">
        <v>35</v>
      </c>
      <c r="W17" s="71" t="s">
        <v>35</v>
      </c>
      <c r="Y17" s="89"/>
    </row>
    <row r="18" spans="1:25" x14ac:dyDescent="0.2">
      <c r="A18" s="241">
        <v>57632</v>
      </c>
      <c r="B18" s="74">
        <v>2011</v>
      </c>
      <c r="C18" s="241" t="s">
        <v>31</v>
      </c>
      <c r="D18" s="343">
        <v>31</v>
      </c>
      <c r="E18" s="412">
        <v>95</v>
      </c>
      <c r="F18" s="414">
        <v>1</v>
      </c>
      <c r="G18" s="414">
        <v>19</v>
      </c>
      <c r="H18" s="414">
        <v>18</v>
      </c>
      <c r="I18" s="414">
        <v>24</v>
      </c>
      <c r="J18" s="414">
        <v>33</v>
      </c>
      <c r="K18" s="415"/>
      <c r="L18" s="415"/>
      <c r="M18" s="415"/>
      <c r="N18" s="415"/>
      <c r="O18" s="415"/>
      <c r="P18" s="415"/>
      <c r="Q18" s="415"/>
      <c r="R18" s="320">
        <f t="shared" ref="R18:R36" si="3">SUM(F18:Q18)</f>
        <v>95</v>
      </c>
      <c r="S18" s="321">
        <f t="shared" ref="S18:S36" si="4">AVERAGE(F18:Q18)</f>
        <v>19</v>
      </c>
      <c r="T18" s="325">
        <f t="shared" ref="T18:T36" si="5">U18/S18</f>
        <v>0</v>
      </c>
      <c r="U18" s="33">
        <f t="shared" ref="U18:U31" si="6">SUM(E18-R18)</f>
        <v>0</v>
      </c>
      <c r="Y18" s="89"/>
    </row>
    <row r="19" spans="1:25" x14ac:dyDescent="0.2">
      <c r="A19">
        <v>22384</v>
      </c>
      <c r="B19" s="74">
        <v>2011</v>
      </c>
      <c r="C19" s="342" t="s">
        <v>26</v>
      </c>
      <c r="D19" s="343">
        <v>16</v>
      </c>
      <c r="E19" s="412">
        <v>241</v>
      </c>
      <c r="F19" s="417">
        <v>9</v>
      </c>
      <c r="G19" s="417">
        <v>1</v>
      </c>
      <c r="H19" s="417">
        <v>0</v>
      </c>
      <c r="I19" s="417">
        <v>0</v>
      </c>
      <c r="J19" s="417">
        <v>0</v>
      </c>
      <c r="K19" s="417">
        <v>7</v>
      </c>
      <c r="L19" s="417">
        <v>0</v>
      </c>
      <c r="M19" s="417">
        <v>0</v>
      </c>
      <c r="N19" s="411">
        <v>107</v>
      </c>
      <c r="O19" s="411">
        <v>36</v>
      </c>
      <c r="P19" s="411">
        <v>19</v>
      </c>
      <c r="Q19" s="411">
        <v>16</v>
      </c>
      <c r="R19" s="320">
        <f t="shared" si="3"/>
        <v>195</v>
      </c>
      <c r="S19" s="321">
        <f t="shared" si="4"/>
        <v>16.25</v>
      </c>
      <c r="T19" s="325">
        <f t="shared" si="5"/>
        <v>2.8307692307692309</v>
      </c>
      <c r="U19" s="33">
        <f t="shared" si="6"/>
        <v>46</v>
      </c>
      <c r="Y19" s="89"/>
    </row>
    <row r="20" spans="1:25" x14ac:dyDescent="0.2">
      <c r="A20">
        <v>22382</v>
      </c>
      <c r="B20" s="74">
        <v>2011</v>
      </c>
      <c r="C20" s="342" t="s">
        <v>23</v>
      </c>
      <c r="D20" s="343">
        <v>29</v>
      </c>
      <c r="E20" s="412">
        <v>179</v>
      </c>
      <c r="F20" s="417">
        <v>6</v>
      </c>
      <c r="G20" s="414">
        <v>19</v>
      </c>
      <c r="H20" s="414">
        <v>20</v>
      </c>
      <c r="I20" s="414">
        <v>25</v>
      </c>
      <c r="J20" s="414">
        <v>32</v>
      </c>
      <c r="K20" s="414">
        <v>16</v>
      </c>
      <c r="L20" s="414">
        <v>43</v>
      </c>
      <c r="M20" s="414">
        <v>18</v>
      </c>
      <c r="N20" s="418"/>
      <c r="O20" s="418"/>
      <c r="P20" s="418"/>
      <c r="Q20" s="418"/>
      <c r="R20" s="320">
        <f t="shared" si="3"/>
        <v>179</v>
      </c>
      <c r="S20" s="321">
        <f t="shared" si="4"/>
        <v>22.375</v>
      </c>
      <c r="T20" s="325">
        <f t="shared" si="5"/>
        <v>0</v>
      </c>
      <c r="U20" s="33">
        <f t="shared" si="6"/>
        <v>0</v>
      </c>
      <c r="Y20" s="89"/>
    </row>
    <row r="21" spans="1:25" x14ac:dyDescent="0.2">
      <c r="A21" s="241">
        <v>28361</v>
      </c>
      <c r="B21" s="74">
        <v>2011</v>
      </c>
      <c r="C21" s="241" t="s">
        <v>24</v>
      </c>
      <c r="D21" s="343">
        <v>25</v>
      </c>
      <c r="E21" s="412">
        <v>174</v>
      </c>
      <c r="F21" s="414">
        <v>11</v>
      </c>
      <c r="G21" s="414">
        <v>9</v>
      </c>
      <c r="H21" s="414">
        <v>18</v>
      </c>
      <c r="I21" s="414">
        <v>15</v>
      </c>
      <c r="J21" s="414">
        <v>25</v>
      </c>
      <c r="K21" s="414">
        <v>17</v>
      </c>
      <c r="L21" s="414">
        <v>24</v>
      </c>
      <c r="M21" s="414">
        <v>11</v>
      </c>
      <c r="N21" s="414">
        <v>21</v>
      </c>
      <c r="O21" s="414">
        <v>13</v>
      </c>
      <c r="P21" s="414">
        <v>10</v>
      </c>
      <c r="Q21" s="415"/>
      <c r="R21" s="320">
        <f t="shared" si="3"/>
        <v>174</v>
      </c>
      <c r="S21" s="321">
        <f t="shared" si="4"/>
        <v>15.818181818181818</v>
      </c>
      <c r="T21" s="325">
        <f t="shared" si="5"/>
        <v>0</v>
      </c>
      <c r="U21" s="33">
        <f t="shared" si="6"/>
        <v>0</v>
      </c>
      <c r="Y21" s="89"/>
    </row>
    <row r="22" spans="1:25" x14ac:dyDescent="0.2">
      <c r="A22" s="241">
        <v>27736</v>
      </c>
      <c r="B22" s="74">
        <v>2011</v>
      </c>
      <c r="C22" s="241" t="s">
        <v>70</v>
      </c>
      <c r="D22" s="343">
        <v>21</v>
      </c>
      <c r="E22" s="412">
        <v>153</v>
      </c>
      <c r="F22" s="414">
        <v>7</v>
      </c>
      <c r="G22" s="414">
        <v>13</v>
      </c>
      <c r="H22" s="414">
        <v>15</v>
      </c>
      <c r="I22" s="414">
        <v>17</v>
      </c>
      <c r="J22" s="414">
        <v>18</v>
      </c>
      <c r="K22" s="414">
        <v>15</v>
      </c>
      <c r="L22" s="414">
        <v>4</v>
      </c>
      <c r="M22" s="414">
        <v>8</v>
      </c>
      <c r="N22" s="414">
        <v>39</v>
      </c>
      <c r="O22" s="414">
        <v>17</v>
      </c>
      <c r="P22" s="415"/>
      <c r="Q22" s="415"/>
      <c r="R22" s="320">
        <f t="shared" si="3"/>
        <v>153</v>
      </c>
      <c r="S22" s="321">
        <f t="shared" si="4"/>
        <v>15.3</v>
      </c>
      <c r="T22" s="325">
        <f t="shared" si="5"/>
        <v>0</v>
      </c>
      <c r="U22" s="33">
        <f t="shared" si="6"/>
        <v>0</v>
      </c>
      <c r="Y22" s="89"/>
    </row>
    <row r="23" spans="1:25" x14ac:dyDescent="0.2">
      <c r="A23">
        <v>22921</v>
      </c>
      <c r="B23" s="74">
        <v>2011</v>
      </c>
      <c r="C23" s="241" t="s">
        <v>22</v>
      </c>
      <c r="D23" s="343">
        <v>37</v>
      </c>
      <c r="E23" s="412">
        <v>328</v>
      </c>
      <c r="F23" s="417">
        <v>1</v>
      </c>
      <c r="G23" s="417">
        <v>0</v>
      </c>
      <c r="H23" s="417">
        <v>9</v>
      </c>
      <c r="I23" s="417">
        <v>0</v>
      </c>
      <c r="J23" s="414">
        <v>25</v>
      </c>
      <c r="K23" s="414">
        <v>65</v>
      </c>
      <c r="L23" s="414">
        <v>37</v>
      </c>
      <c r="M23" s="414">
        <v>20</v>
      </c>
      <c r="N23" s="414">
        <v>38</v>
      </c>
      <c r="O23" s="414">
        <v>44</v>
      </c>
      <c r="P23" s="414">
        <v>26</v>
      </c>
      <c r="Q23" s="414">
        <v>29</v>
      </c>
      <c r="R23" s="320">
        <f t="shared" si="3"/>
        <v>294</v>
      </c>
      <c r="S23" s="321">
        <f t="shared" si="4"/>
        <v>24.5</v>
      </c>
      <c r="T23" s="325">
        <f t="shared" si="5"/>
        <v>1.3877551020408163</v>
      </c>
      <c r="U23" s="33">
        <f t="shared" si="6"/>
        <v>34</v>
      </c>
      <c r="Y23" s="89"/>
    </row>
    <row r="24" spans="1:25" ht="15" x14ac:dyDescent="0.25">
      <c r="A24" s="419">
        <v>26415</v>
      </c>
      <c r="B24" s="74">
        <v>2011</v>
      </c>
      <c r="C24" s="241" t="s">
        <v>71</v>
      </c>
      <c r="D24" s="343">
        <v>13</v>
      </c>
      <c r="E24" s="412">
        <v>263</v>
      </c>
      <c r="F24" s="414">
        <v>8</v>
      </c>
      <c r="G24" s="414">
        <v>9</v>
      </c>
      <c r="H24" s="414">
        <v>9</v>
      </c>
      <c r="I24" s="414">
        <v>33</v>
      </c>
      <c r="J24" s="414">
        <v>5</v>
      </c>
      <c r="K24" s="414">
        <v>0</v>
      </c>
      <c r="L24" s="414">
        <v>17</v>
      </c>
      <c r="M24" s="414">
        <v>9</v>
      </c>
      <c r="N24" s="414">
        <v>53</v>
      </c>
      <c r="O24" s="414">
        <v>0</v>
      </c>
      <c r="P24" s="414">
        <v>0</v>
      </c>
      <c r="Q24" s="414">
        <v>4</v>
      </c>
      <c r="R24" s="320">
        <f t="shared" si="3"/>
        <v>147</v>
      </c>
      <c r="S24" s="321">
        <f t="shared" si="4"/>
        <v>12.25</v>
      </c>
      <c r="T24" s="325">
        <f t="shared" si="5"/>
        <v>9.4693877551020407</v>
      </c>
      <c r="U24" s="33">
        <f t="shared" si="6"/>
        <v>116</v>
      </c>
      <c r="Y24" s="89"/>
    </row>
    <row r="25" spans="1:25" x14ac:dyDescent="0.2">
      <c r="A25" s="294"/>
      <c r="B25" s="75"/>
      <c r="C25" s="345"/>
      <c r="D25" s="346"/>
      <c r="E25" s="413"/>
      <c r="F25" s="413"/>
      <c r="G25" s="413"/>
      <c r="H25" s="413"/>
      <c r="I25" s="413"/>
      <c r="J25" s="413"/>
      <c r="K25" s="413"/>
      <c r="L25" s="413"/>
      <c r="M25" s="413"/>
      <c r="N25" s="413"/>
      <c r="O25" s="413"/>
      <c r="P25" s="413"/>
      <c r="Q25" s="413"/>
      <c r="R25" s="345"/>
      <c r="S25" s="346"/>
      <c r="T25" s="403"/>
      <c r="U25" s="35"/>
      <c r="Y25" s="89"/>
    </row>
    <row r="26" spans="1:25" x14ac:dyDescent="0.2">
      <c r="A26" s="241">
        <v>11198</v>
      </c>
      <c r="B26" s="74">
        <v>2012</v>
      </c>
      <c r="C26" s="241" t="s">
        <v>72</v>
      </c>
      <c r="D26" s="343"/>
      <c r="E26" s="412">
        <v>70</v>
      </c>
      <c r="F26" s="414">
        <v>14</v>
      </c>
      <c r="G26" s="414">
        <v>20</v>
      </c>
      <c r="H26" s="414">
        <v>19</v>
      </c>
      <c r="I26" s="414">
        <v>17</v>
      </c>
      <c r="J26" s="415"/>
      <c r="K26" s="415"/>
      <c r="L26" s="415"/>
      <c r="M26" s="415"/>
      <c r="N26" s="415"/>
      <c r="O26" s="415"/>
      <c r="P26" s="415"/>
      <c r="Q26" s="415"/>
      <c r="R26" s="320">
        <f t="shared" si="3"/>
        <v>70</v>
      </c>
      <c r="S26" s="321">
        <f t="shared" si="4"/>
        <v>17.5</v>
      </c>
      <c r="T26" s="325">
        <f t="shared" si="5"/>
        <v>0</v>
      </c>
      <c r="U26" s="33">
        <f t="shared" si="6"/>
        <v>0</v>
      </c>
      <c r="Y26" s="89"/>
    </row>
    <row r="27" spans="1:25" x14ac:dyDescent="0.2">
      <c r="A27" s="241">
        <v>57632</v>
      </c>
      <c r="B27" s="74">
        <v>2012</v>
      </c>
      <c r="C27" s="342" t="s">
        <v>31</v>
      </c>
      <c r="D27" s="343"/>
      <c r="E27" s="412">
        <v>275</v>
      </c>
      <c r="F27" s="417">
        <v>20</v>
      </c>
      <c r="G27" s="417">
        <v>0</v>
      </c>
      <c r="H27" s="417">
        <v>2</v>
      </c>
      <c r="I27" s="417">
        <v>0</v>
      </c>
      <c r="J27" s="414">
        <v>16</v>
      </c>
      <c r="K27" s="414">
        <v>43</v>
      </c>
      <c r="L27" s="414">
        <v>39</v>
      </c>
      <c r="M27" s="414">
        <v>38</v>
      </c>
      <c r="N27" s="414">
        <v>87</v>
      </c>
      <c r="O27" s="414">
        <v>30</v>
      </c>
      <c r="P27" s="415"/>
      <c r="Q27" s="415"/>
      <c r="R27" s="320">
        <f t="shared" si="3"/>
        <v>275</v>
      </c>
      <c r="S27" s="321">
        <f t="shared" si="4"/>
        <v>27.5</v>
      </c>
      <c r="T27" s="325">
        <f t="shared" si="5"/>
        <v>0</v>
      </c>
      <c r="U27" s="33">
        <f t="shared" si="6"/>
        <v>0</v>
      </c>
      <c r="Y27" s="89"/>
    </row>
    <row r="28" spans="1:25" x14ac:dyDescent="0.2">
      <c r="A28">
        <v>57630</v>
      </c>
      <c r="B28" s="74">
        <v>2012</v>
      </c>
      <c r="C28" s="342" t="s">
        <v>25</v>
      </c>
      <c r="D28" s="343"/>
      <c r="E28" s="412">
        <v>334</v>
      </c>
      <c r="F28" s="417">
        <v>28</v>
      </c>
      <c r="G28" s="417">
        <v>2</v>
      </c>
      <c r="H28" s="417">
        <v>0</v>
      </c>
      <c r="I28" s="417">
        <v>8</v>
      </c>
      <c r="J28" s="417">
        <v>0</v>
      </c>
      <c r="K28" s="417">
        <v>8</v>
      </c>
      <c r="L28" s="417">
        <v>10</v>
      </c>
      <c r="M28" s="417">
        <v>3</v>
      </c>
      <c r="N28" s="417">
        <v>22</v>
      </c>
      <c r="O28" s="417">
        <v>10</v>
      </c>
      <c r="P28" s="417">
        <v>0</v>
      </c>
      <c r="Q28" s="417">
        <v>23</v>
      </c>
      <c r="R28" s="320">
        <f t="shared" si="3"/>
        <v>114</v>
      </c>
      <c r="S28" s="321">
        <f t="shared" si="4"/>
        <v>9.5</v>
      </c>
      <c r="T28" s="325">
        <f t="shared" si="5"/>
        <v>23.157894736842106</v>
      </c>
      <c r="U28" s="33">
        <f t="shared" si="6"/>
        <v>220</v>
      </c>
      <c r="V28" s="71" t="s">
        <v>35</v>
      </c>
      <c r="W28" s="71" t="s">
        <v>35</v>
      </c>
      <c r="Y28" s="89"/>
    </row>
    <row r="29" spans="1:25" x14ac:dyDescent="0.2">
      <c r="A29">
        <v>22384</v>
      </c>
      <c r="B29" s="74">
        <v>2012</v>
      </c>
      <c r="C29" s="342" t="s">
        <v>26</v>
      </c>
      <c r="D29" s="343"/>
      <c r="E29" s="412">
        <v>395</v>
      </c>
      <c r="F29" s="417">
        <v>22</v>
      </c>
      <c r="G29" s="417">
        <v>0</v>
      </c>
      <c r="H29" s="417">
        <v>0</v>
      </c>
      <c r="I29" s="417">
        <v>0</v>
      </c>
      <c r="J29" s="417">
        <v>0</v>
      </c>
      <c r="K29" s="417">
        <v>0</v>
      </c>
      <c r="L29" s="417">
        <v>0</v>
      </c>
      <c r="M29" s="417">
        <v>0</v>
      </c>
      <c r="N29" s="417">
        <v>26</v>
      </c>
      <c r="O29" s="417">
        <v>0</v>
      </c>
      <c r="P29" s="417">
        <v>30</v>
      </c>
      <c r="Q29" s="417">
        <v>2</v>
      </c>
      <c r="R29" s="320">
        <f t="shared" si="3"/>
        <v>80</v>
      </c>
      <c r="S29" s="321">
        <f t="shared" si="4"/>
        <v>6.666666666666667</v>
      </c>
      <c r="T29" s="325">
        <f t="shared" si="5"/>
        <v>47.25</v>
      </c>
      <c r="U29" s="33">
        <f t="shared" si="6"/>
        <v>315</v>
      </c>
      <c r="Y29" s="89"/>
    </row>
    <row r="30" spans="1:25" x14ac:dyDescent="0.2">
      <c r="A30">
        <v>22382</v>
      </c>
      <c r="B30" s="74">
        <v>2012</v>
      </c>
      <c r="C30" s="342" t="s">
        <v>23</v>
      </c>
      <c r="D30" s="343"/>
      <c r="E30" s="412">
        <v>409</v>
      </c>
      <c r="F30" s="417">
        <v>23</v>
      </c>
      <c r="G30" s="417">
        <v>1</v>
      </c>
      <c r="H30" s="417">
        <v>2</v>
      </c>
      <c r="I30" s="417">
        <v>0</v>
      </c>
      <c r="J30" s="417">
        <v>0</v>
      </c>
      <c r="K30" s="417">
        <v>4</v>
      </c>
      <c r="L30" s="417">
        <v>0</v>
      </c>
      <c r="M30" s="417">
        <v>4</v>
      </c>
      <c r="N30" s="417">
        <v>0</v>
      </c>
      <c r="O30" s="411">
        <v>39</v>
      </c>
      <c r="P30" s="411">
        <v>32</v>
      </c>
      <c r="Q30" s="411">
        <v>19</v>
      </c>
      <c r="R30" s="320">
        <f t="shared" si="3"/>
        <v>124</v>
      </c>
      <c r="S30" s="321">
        <f t="shared" si="4"/>
        <v>10.333333333333334</v>
      </c>
      <c r="T30" s="325">
        <f t="shared" si="5"/>
        <v>27.58064516129032</v>
      </c>
      <c r="U30" s="33">
        <f t="shared" si="6"/>
        <v>285</v>
      </c>
      <c r="Y30" s="89"/>
    </row>
    <row r="31" spans="1:25" x14ac:dyDescent="0.2">
      <c r="A31">
        <v>27736</v>
      </c>
      <c r="B31" s="74">
        <v>2012</v>
      </c>
      <c r="C31" s="342" t="s">
        <v>70</v>
      </c>
      <c r="D31" s="343"/>
      <c r="E31" s="412">
        <v>292</v>
      </c>
      <c r="F31" s="417">
        <v>1</v>
      </c>
      <c r="G31" s="417">
        <v>6</v>
      </c>
      <c r="H31" s="417">
        <v>0</v>
      </c>
      <c r="I31" s="417">
        <v>0</v>
      </c>
      <c r="J31" s="417">
        <v>0</v>
      </c>
      <c r="K31" s="417">
        <v>0</v>
      </c>
      <c r="L31" s="417">
        <v>5</v>
      </c>
      <c r="M31" s="417">
        <v>4</v>
      </c>
      <c r="N31" s="417">
        <v>8</v>
      </c>
      <c r="O31" s="417">
        <v>8</v>
      </c>
      <c r="P31" s="414">
        <v>19</v>
      </c>
      <c r="Q31" s="414">
        <v>18</v>
      </c>
      <c r="R31" s="320">
        <f>SUM(F31:Q31)</f>
        <v>69</v>
      </c>
      <c r="S31" s="321">
        <f t="shared" si="4"/>
        <v>5.75</v>
      </c>
      <c r="T31" s="325">
        <f t="shared" si="5"/>
        <v>38.782608695652172</v>
      </c>
      <c r="U31" s="33">
        <f t="shared" si="6"/>
        <v>223</v>
      </c>
      <c r="Y31" s="89"/>
    </row>
    <row r="32" spans="1:25" x14ac:dyDescent="0.2">
      <c r="A32">
        <v>28361</v>
      </c>
      <c r="B32" s="74">
        <v>2012</v>
      </c>
      <c r="C32" s="342" t="s">
        <v>24</v>
      </c>
      <c r="D32" s="343"/>
      <c r="E32" s="412">
        <v>497</v>
      </c>
      <c r="F32" s="417">
        <v>28</v>
      </c>
      <c r="G32" s="417">
        <v>1</v>
      </c>
      <c r="H32" s="417">
        <v>0</v>
      </c>
      <c r="I32" s="417">
        <v>0</v>
      </c>
      <c r="J32" s="417">
        <v>0</v>
      </c>
      <c r="K32" s="417">
        <v>10</v>
      </c>
      <c r="L32" s="417">
        <v>7</v>
      </c>
      <c r="M32" s="417">
        <v>0</v>
      </c>
      <c r="N32" s="417">
        <v>0</v>
      </c>
      <c r="O32" s="417">
        <v>17</v>
      </c>
      <c r="P32" s="411">
        <v>9</v>
      </c>
      <c r="Q32" s="411">
        <v>19</v>
      </c>
      <c r="R32" s="320">
        <f>SUM(F32:Q32)</f>
        <v>91</v>
      </c>
      <c r="S32" s="321">
        <f>AVERAGE(F32:Q32)</f>
        <v>7.583333333333333</v>
      </c>
      <c r="T32" s="325">
        <f>U32/S32</f>
        <v>53.53846153846154</v>
      </c>
      <c r="U32" s="33">
        <f>SUM(E32-R32)</f>
        <v>406</v>
      </c>
      <c r="Y32" s="89"/>
    </row>
    <row r="33" spans="1:25" x14ac:dyDescent="0.2">
      <c r="A33">
        <v>22921</v>
      </c>
      <c r="B33" s="74">
        <v>2012</v>
      </c>
      <c r="C33" s="342" t="s">
        <v>22</v>
      </c>
      <c r="D33" s="343"/>
      <c r="E33" s="412">
        <v>579</v>
      </c>
      <c r="F33" s="417">
        <v>1</v>
      </c>
      <c r="G33" s="417">
        <v>4</v>
      </c>
      <c r="H33" s="417">
        <v>0</v>
      </c>
      <c r="I33" s="417">
        <v>0</v>
      </c>
      <c r="J33" s="417">
        <v>0</v>
      </c>
      <c r="K33" s="417">
        <v>23</v>
      </c>
      <c r="L33" s="417">
        <v>15</v>
      </c>
      <c r="M33" s="417">
        <v>6</v>
      </c>
      <c r="N33" s="417">
        <v>22</v>
      </c>
      <c r="O33" s="417">
        <v>55</v>
      </c>
      <c r="P33" s="414">
        <v>8</v>
      </c>
      <c r="Q33" s="414">
        <v>20</v>
      </c>
      <c r="R33" s="320">
        <f>SUM(F33:Q33)</f>
        <v>154</v>
      </c>
      <c r="S33" s="321">
        <f>AVERAGE(F33:Q33)</f>
        <v>12.833333333333334</v>
      </c>
      <c r="T33" s="325">
        <f>U33/S33</f>
        <v>33.116883116883116</v>
      </c>
      <c r="U33" s="33">
        <f>SUM(E33-R33)</f>
        <v>425</v>
      </c>
      <c r="Y33" s="89"/>
    </row>
    <row r="34" spans="1:25" x14ac:dyDescent="0.2">
      <c r="A34" s="241">
        <v>34641</v>
      </c>
      <c r="B34" s="74">
        <v>2012</v>
      </c>
      <c r="C34" s="342" t="s">
        <v>21</v>
      </c>
      <c r="D34" s="343"/>
      <c r="E34" s="412">
        <v>294</v>
      </c>
      <c r="F34" s="417">
        <v>4</v>
      </c>
      <c r="G34" s="417">
        <v>0</v>
      </c>
      <c r="H34" s="417">
        <v>10</v>
      </c>
      <c r="I34" s="417">
        <v>0</v>
      </c>
      <c r="J34" s="417">
        <v>0</v>
      </c>
      <c r="K34" s="417">
        <v>7</v>
      </c>
      <c r="L34" s="417">
        <v>17</v>
      </c>
      <c r="M34" s="417">
        <v>0</v>
      </c>
      <c r="N34" s="417">
        <v>6</v>
      </c>
      <c r="O34" s="417">
        <v>0</v>
      </c>
      <c r="P34" s="417">
        <v>11</v>
      </c>
      <c r="Q34" s="411">
        <v>33</v>
      </c>
      <c r="R34" s="320">
        <f>SUM(F34:Q34)</f>
        <v>88</v>
      </c>
      <c r="S34" s="321">
        <f>AVERAGE(F34:Q34)</f>
        <v>7.333333333333333</v>
      </c>
      <c r="T34" s="325">
        <f>U34/S34</f>
        <v>28.090909090909093</v>
      </c>
      <c r="U34" s="33">
        <f>SUM(E34-R34)</f>
        <v>206</v>
      </c>
      <c r="Y34" s="89"/>
    </row>
    <row r="35" spans="1:25" x14ac:dyDescent="0.2">
      <c r="A35" s="241">
        <v>30306</v>
      </c>
      <c r="B35" s="74">
        <v>2012</v>
      </c>
      <c r="C35" s="342" t="s">
        <v>73</v>
      </c>
      <c r="D35" s="343"/>
      <c r="E35" s="412">
        <v>41</v>
      </c>
      <c r="F35" s="414">
        <v>11</v>
      </c>
      <c r="G35" s="414">
        <v>9</v>
      </c>
      <c r="H35" s="414">
        <v>9</v>
      </c>
      <c r="I35" s="414">
        <v>5</v>
      </c>
      <c r="J35" s="414">
        <v>7</v>
      </c>
      <c r="K35" s="415"/>
      <c r="L35" s="415"/>
      <c r="M35" s="415"/>
      <c r="N35" s="415"/>
      <c r="O35" s="415"/>
      <c r="P35" s="415"/>
      <c r="Q35" s="415"/>
      <c r="R35" s="320">
        <f>SUM(F35:Q35)</f>
        <v>41</v>
      </c>
      <c r="S35" s="321">
        <f>AVERAGE(F35:Q35)</f>
        <v>8.1999999999999993</v>
      </c>
      <c r="T35" s="325">
        <f>U35/S35</f>
        <v>0</v>
      </c>
      <c r="U35" s="33">
        <f>SUM(E35-R35)</f>
        <v>0</v>
      </c>
      <c r="Y35" s="89"/>
    </row>
    <row r="36" spans="1:25" x14ac:dyDescent="0.2">
      <c r="A36" s="241"/>
      <c r="B36" s="74"/>
      <c r="C36" s="241" t="s">
        <v>76</v>
      </c>
      <c r="D36" s="343"/>
      <c r="E36" s="412">
        <v>15</v>
      </c>
      <c r="F36" s="411">
        <v>11</v>
      </c>
      <c r="G36" s="411">
        <v>1</v>
      </c>
      <c r="H36" s="411">
        <v>1</v>
      </c>
      <c r="I36" s="411">
        <v>0</v>
      </c>
      <c r="J36" s="411">
        <v>0</v>
      </c>
      <c r="K36" s="415"/>
      <c r="L36" s="415"/>
      <c r="M36" s="415"/>
      <c r="N36" s="415"/>
      <c r="O36" s="415"/>
      <c r="P36" s="415"/>
      <c r="Q36" s="415"/>
      <c r="R36" s="320">
        <f t="shared" si="3"/>
        <v>13</v>
      </c>
      <c r="S36" s="321">
        <f t="shared" si="4"/>
        <v>2.6</v>
      </c>
      <c r="T36" s="325">
        <f t="shared" si="5"/>
        <v>0</v>
      </c>
      <c r="U36" s="96">
        <v>0</v>
      </c>
      <c r="Y36" s="89"/>
    </row>
    <row r="37" spans="1:25" x14ac:dyDescent="0.2">
      <c r="A37" s="294"/>
      <c r="B37" s="294"/>
      <c r="C37" s="294"/>
      <c r="D37" s="294"/>
      <c r="E37" s="294"/>
      <c r="F37" s="294"/>
      <c r="G37" s="294"/>
      <c r="H37" s="294"/>
      <c r="I37" s="294"/>
      <c r="J37" s="294"/>
      <c r="K37" s="294"/>
      <c r="L37" s="294"/>
      <c r="M37" s="294"/>
      <c r="N37" s="294"/>
      <c r="O37" s="294"/>
      <c r="P37" s="294"/>
      <c r="Q37" s="294"/>
      <c r="R37" s="294"/>
      <c r="S37" s="294"/>
      <c r="T37" s="294"/>
      <c r="U37" s="294"/>
      <c r="Y37" s="89"/>
    </row>
    <row r="38" spans="1:25" x14ac:dyDescent="0.2">
      <c r="A38" s="241">
        <v>11198</v>
      </c>
      <c r="B38" s="74">
        <v>2013</v>
      </c>
      <c r="C38" s="241" t="s">
        <v>46</v>
      </c>
      <c r="D38" s="343"/>
      <c r="E38" s="412">
        <v>342</v>
      </c>
      <c r="F38" s="417"/>
      <c r="G38" s="417"/>
      <c r="H38" s="417">
        <v>1</v>
      </c>
      <c r="I38" s="414">
        <v>25</v>
      </c>
      <c r="J38" s="414">
        <v>56</v>
      </c>
      <c r="K38" s="414">
        <v>35</v>
      </c>
      <c r="L38" s="414">
        <v>48</v>
      </c>
      <c r="M38" s="414">
        <v>19</v>
      </c>
      <c r="N38" s="414">
        <v>40</v>
      </c>
      <c r="O38" s="414">
        <v>31</v>
      </c>
      <c r="P38" s="414">
        <v>23</v>
      </c>
      <c r="Q38" s="414">
        <v>16</v>
      </c>
      <c r="R38" s="320">
        <f t="shared" ref="R38:R45" si="7">SUM(F38:Q38)</f>
        <v>294</v>
      </c>
      <c r="S38" s="321">
        <f t="shared" ref="S38:S45" si="8">AVERAGE(F38:Q38)</f>
        <v>29.4</v>
      </c>
      <c r="T38" s="325">
        <f t="shared" ref="T38:T45" si="9">U38/S38</f>
        <v>1.6326530612244898</v>
      </c>
      <c r="U38" s="33">
        <f t="shared" ref="U38:U45" si="10">SUM(E38-R38)</f>
        <v>48</v>
      </c>
      <c r="Y38" s="89"/>
    </row>
    <row r="39" spans="1:25" x14ac:dyDescent="0.2">
      <c r="A39" s="241">
        <v>57631</v>
      </c>
      <c r="B39" s="74">
        <v>2013</v>
      </c>
      <c r="C39" s="241" t="s">
        <v>33</v>
      </c>
      <c r="D39" s="343"/>
      <c r="E39" s="412">
        <v>358</v>
      </c>
      <c r="F39" s="417"/>
      <c r="G39" s="417"/>
      <c r="H39" s="417">
        <v>1</v>
      </c>
      <c r="I39" s="414">
        <v>60</v>
      </c>
      <c r="J39" s="414">
        <v>68</v>
      </c>
      <c r="K39" s="414">
        <v>35</v>
      </c>
      <c r="L39" s="414">
        <v>48</v>
      </c>
      <c r="M39" s="414">
        <v>24</v>
      </c>
      <c r="N39" s="414">
        <v>38</v>
      </c>
      <c r="O39" s="414">
        <v>35</v>
      </c>
      <c r="P39" s="414">
        <v>23</v>
      </c>
      <c r="Q39" s="414">
        <v>17</v>
      </c>
      <c r="R39" s="320">
        <f t="shared" si="7"/>
        <v>349</v>
      </c>
      <c r="S39" s="321">
        <f t="shared" si="8"/>
        <v>34.9</v>
      </c>
      <c r="T39" s="325">
        <f t="shared" si="9"/>
        <v>0.25787965616045844</v>
      </c>
      <c r="U39" s="33">
        <f t="shared" si="10"/>
        <v>9</v>
      </c>
      <c r="Y39" s="89"/>
    </row>
    <row r="40" spans="1:25" x14ac:dyDescent="0.2">
      <c r="A40" s="241">
        <v>57632</v>
      </c>
      <c r="B40" s="74">
        <v>2013</v>
      </c>
      <c r="C40" s="241" t="s">
        <v>31</v>
      </c>
      <c r="D40" s="343"/>
      <c r="E40" s="412">
        <v>589</v>
      </c>
      <c r="F40" s="417"/>
      <c r="G40" s="417"/>
      <c r="H40" s="417"/>
      <c r="I40" s="417"/>
      <c r="J40" s="417">
        <v>1</v>
      </c>
      <c r="K40" s="417"/>
      <c r="L40" s="417">
        <v>22</v>
      </c>
      <c r="M40" s="417">
        <v>9</v>
      </c>
      <c r="N40" s="417">
        <v>9</v>
      </c>
      <c r="O40" s="417">
        <v>30</v>
      </c>
      <c r="P40" s="414">
        <v>76</v>
      </c>
      <c r="Q40" s="414">
        <v>19</v>
      </c>
      <c r="R40" s="320">
        <f t="shared" si="7"/>
        <v>166</v>
      </c>
      <c r="S40" s="321">
        <f t="shared" si="8"/>
        <v>23.714285714285715</v>
      </c>
      <c r="T40" s="325">
        <f t="shared" si="9"/>
        <v>17.837349397590362</v>
      </c>
      <c r="U40" s="33">
        <f t="shared" si="10"/>
        <v>423</v>
      </c>
      <c r="Y40" s="89"/>
    </row>
    <row r="41" spans="1:25" x14ac:dyDescent="0.2">
      <c r="A41" s="241">
        <v>57630</v>
      </c>
      <c r="B41" s="74">
        <v>2013</v>
      </c>
      <c r="C41" s="241" t="s">
        <v>25</v>
      </c>
      <c r="D41" s="343"/>
      <c r="E41" s="412">
        <v>608</v>
      </c>
      <c r="F41" s="417"/>
      <c r="G41" s="417"/>
      <c r="H41" s="417"/>
      <c r="I41" s="417"/>
      <c r="J41" s="417"/>
      <c r="K41" s="417">
        <v>1</v>
      </c>
      <c r="L41" s="417">
        <v>5</v>
      </c>
      <c r="M41" s="417">
        <v>0</v>
      </c>
      <c r="N41" s="417">
        <v>22</v>
      </c>
      <c r="O41" s="417">
        <v>2</v>
      </c>
      <c r="P41" s="417">
        <v>12</v>
      </c>
      <c r="Q41" s="417">
        <v>10</v>
      </c>
      <c r="R41" s="320">
        <f t="shared" si="7"/>
        <v>52</v>
      </c>
      <c r="S41" s="321">
        <f t="shared" si="8"/>
        <v>7.4285714285714288</v>
      </c>
      <c r="T41" s="325">
        <f t="shared" si="9"/>
        <v>74.84615384615384</v>
      </c>
      <c r="U41" s="33">
        <f t="shared" si="10"/>
        <v>556</v>
      </c>
      <c r="Y41" s="89"/>
    </row>
    <row r="42" spans="1:25" x14ac:dyDescent="0.2">
      <c r="A42" s="241">
        <v>22382</v>
      </c>
      <c r="B42" s="74">
        <v>2013</v>
      </c>
      <c r="C42" s="241" t="s">
        <v>23</v>
      </c>
      <c r="D42" s="343"/>
      <c r="E42" s="412">
        <v>343</v>
      </c>
      <c r="F42" s="417"/>
      <c r="G42" s="417"/>
      <c r="H42" s="417"/>
      <c r="I42" s="417"/>
      <c r="J42" s="417"/>
      <c r="K42" s="417"/>
      <c r="L42" s="417">
        <v>1</v>
      </c>
      <c r="M42" s="417">
        <v>0</v>
      </c>
      <c r="N42" s="417">
        <v>9</v>
      </c>
      <c r="O42" s="417">
        <v>9</v>
      </c>
      <c r="P42" s="417">
        <v>12</v>
      </c>
      <c r="Q42" s="417">
        <v>9</v>
      </c>
      <c r="R42" s="320">
        <f t="shared" si="7"/>
        <v>40</v>
      </c>
      <c r="S42" s="321">
        <f t="shared" si="8"/>
        <v>6.666666666666667</v>
      </c>
      <c r="T42" s="325">
        <f t="shared" si="9"/>
        <v>45.449999999999996</v>
      </c>
      <c r="U42" s="33">
        <f t="shared" si="10"/>
        <v>303</v>
      </c>
      <c r="Y42" s="89"/>
    </row>
    <row r="43" spans="1:25" x14ac:dyDescent="0.2">
      <c r="A43" s="241"/>
      <c r="B43" s="74">
        <v>2013</v>
      </c>
      <c r="C43" s="241" t="s">
        <v>93</v>
      </c>
      <c r="D43" s="343"/>
      <c r="E43" s="412">
        <v>280</v>
      </c>
      <c r="F43" s="417"/>
      <c r="G43" s="417"/>
      <c r="H43" s="417"/>
      <c r="I43" s="417"/>
      <c r="J43" s="417"/>
      <c r="K43" s="417"/>
      <c r="L43" s="417"/>
      <c r="M43" s="417">
        <v>1</v>
      </c>
      <c r="N43" s="417">
        <v>24</v>
      </c>
      <c r="O43" s="417">
        <v>13</v>
      </c>
      <c r="P43" s="417">
        <v>11</v>
      </c>
      <c r="Q43" s="417">
        <v>29</v>
      </c>
      <c r="R43" s="320">
        <f t="shared" si="7"/>
        <v>78</v>
      </c>
      <c r="S43" s="321">
        <f t="shared" si="8"/>
        <v>15.6</v>
      </c>
      <c r="T43" s="325">
        <f t="shared" si="9"/>
        <v>12.948717948717949</v>
      </c>
      <c r="U43" s="33">
        <f t="shared" si="10"/>
        <v>202</v>
      </c>
      <c r="Y43" s="89"/>
    </row>
    <row r="44" spans="1:25" x14ac:dyDescent="0.2">
      <c r="A44" s="241">
        <v>22384</v>
      </c>
      <c r="B44" s="74">
        <v>2013</v>
      </c>
      <c r="C44" s="241" t="s">
        <v>26</v>
      </c>
      <c r="D44" s="343"/>
      <c r="E44" s="412">
        <v>290</v>
      </c>
      <c r="F44" s="417"/>
      <c r="G44" s="417"/>
      <c r="H44" s="417"/>
      <c r="I44" s="417"/>
      <c r="J44" s="417"/>
      <c r="K44" s="417"/>
      <c r="L44" s="417">
        <v>1</v>
      </c>
      <c r="M44" s="417">
        <v>0</v>
      </c>
      <c r="N44" s="417">
        <v>9</v>
      </c>
      <c r="O44" s="417">
        <v>11</v>
      </c>
      <c r="P44" s="417">
        <v>13</v>
      </c>
      <c r="Q44" s="417">
        <v>0</v>
      </c>
      <c r="R44" s="320">
        <f t="shared" si="7"/>
        <v>34</v>
      </c>
      <c r="S44" s="321">
        <f t="shared" si="8"/>
        <v>5.666666666666667</v>
      </c>
      <c r="T44" s="325">
        <f t="shared" si="9"/>
        <v>45.17647058823529</v>
      </c>
      <c r="U44" s="33">
        <f t="shared" si="10"/>
        <v>256</v>
      </c>
      <c r="Y44" s="89"/>
    </row>
    <row r="45" spans="1:25" x14ac:dyDescent="0.2">
      <c r="A45" s="241">
        <v>27736</v>
      </c>
      <c r="B45" s="74">
        <v>2013</v>
      </c>
      <c r="C45" s="241" t="s">
        <v>70</v>
      </c>
      <c r="D45" s="343"/>
      <c r="E45" s="412">
        <v>395</v>
      </c>
      <c r="F45" s="417"/>
      <c r="G45" s="417"/>
      <c r="H45" s="417"/>
      <c r="I45" s="417"/>
      <c r="J45" s="417"/>
      <c r="K45" s="417"/>
      <c r="L45" s="417"/>
      <c r="M45" s="417">
        <v>1</v>
      </c>
      <c r="N45" s="417">
        <v>19</v>
      </c>
      <c r="O45" s="417">
        <v>9</v>
      </c>
      <c r="P45" s="417">
        <v>2</v>
      </c>
      <c r="Q45" s="417">
        <v>13</v>
      </c>
      <c r="R45" s="320">
        <f t="shared" si="7"/>
        <v>44</v>
      </c>
      <c r="S45" s="321">
        <f t="shared" si="8"/>
        <v>8.8000000000000007</v>
      </c>
      <c r="T45" s="325">
        <f t="shared" si="9"/>
        <v>39.886363636363633</v>
      </c>
      <c r="U45" s="33">
        <f t="shared" si="10"/>
        <v>351</v>
      </c>
      <c r="Y45" s="89"/>
    </row>
    <row r="46" spans="1:25" x14ac:dyDescent="0.2">
      <c r="A46" s="241">
        <v>28361</v>
      </c>
      <c r="B46" s="74">
        <v>2013</v>
      </c>
      <c r="C46" s="241" t="s">
        <v>24</v>
      </c>
      <c r="D46" s="343"/>
      <c r="E46" s="412">
        <v>282</v>
      </c>
      <c r="F46" s="417"/>
      <c r="G46" s="417"/>
      <c r="H46" s="417"/>
      <c r="I46" s="417"/>
      <c r="J46" s="417"/>
      <c r="K46" s="417"/>
      <c r="L46" s="417"/>
      <c r="M46" s="417"/>
      <c r="N46" s="417"/>
      <c r="O46" s="417"/>
      <c r="P46" s="417"/>
      <c r="Q46" s="417">
        <v>1</v>
      </c>
      <c r="R46" s="320">
        <f>SUM(F46:Q46)</f>
        <v>1</v>
      </c>
      <c r="S46" s="321">
        <f>AVERAGE(F46:Q46)</f>
        <v>1</v>
      </c>
      <c r="T46" s="325">
        <f>U46/S46</f>
        <v>281</v>
      </c>
      <c r="U46" s="33">
        <f>SUM(E46-R46)</f>
        <v>281</v>
      </c>
      <c r="Y46" s="89"/>
    </row>
    <row r="47" spans="1:25" x14ac:dyDescent="0.2">
      <c r="A47" s="241">
        <v>22921</v>
      </c>
      <c r="B47" s="74">
        <v>2013</v>
      </c>
      <c r="C47" s="241" t="s">
        <v>22</v>
      </c>
      <c r="D47" s="343"/>
      <c r="E47" s="412">
        <v>717</v>
      </c>
      <c r="F47" s="417"/>
      <c r="G47" s="417"/>
      <c r="H47" s="417"/>
      <c r="I47" s="417"/>
      <c r="J47" s="417"/>
      <c r="K47" s="417"/>
      <c r="L47" s="417"/>
      <c r="M47" s="417"/>
      <c r="N47" s="417"/>
      <c r="O47" s="417"/>
      <c r="P47" s="417"/>
      <c r="Q47" s="417">
        <v>1</v>
      </c>
      <c r="R47" s="320">
        <f>SUM(F47:Q47)</f>
        <v>1</v>
      </c>
      <c r="S47" s="321">
        <f>AVERAGE(F47:Q47)</f>
        <v>1</v>
      </c>
      <c r="T47" s="325">
        <f>U47/S47</f>
        <v>716</v>
      </c>
      <c r="U47" s="33">
        <f>SUM(E47-R47)</f>
        <v>716</v>
      </c>
      <c r="Y47" s="89"/>
    </row>
    <row r="48" spans="1:25" x14ac:dyDescent="0.2">
      <c r="A48" s="241">
        <v>34641</v>
      </c>
      <c r="B48" s="74">
        <v>2013</v>
      </c>
      <c r="C48" s="241" t="s">
        <v>66</v>
      </c>
      <c r="D48" s="343"/>
      <c r="E48" s="412">
        <v>427</v>
      </c>
      <c r="F48" s="417"/>
      <c r="G48" s="417"/>
      <c r="H48" s="417"/>
      <c r="I48" s="417"/>
      <c r="J48" s="417"/>
      <c r="K48" s="417"/>
      <c r="L48" s="417"/>
      <c r="M48" s="417"/>
      <c r="N48" s="417"/>
      <c r="O48" s="417"/>
      <c r="P48" s="417"/>
      <c r="Q48" s="417">
        <v>1</v>
      </c>
      <c r="R48" s="320">
        <f>SUM(F48:Q48)</f>
        <v>1</v>
      </c>
      <c r="S48" s="321">
        <f>AVERAGE(F48:Q48)</f>
        <v>1</v>
      </c>
      <c r="T48" s="325">
        <f>U48/S48</f>
        <v>426</v>
      </c>
      <c r="U48" s="33">
        <f>SUM(E48-R48)</f>
        <v>426</v>
      </c>
      <c r="Y48" s="89"/>
    </row>
    <row r="49" spans="1:25" x14ac:dyDescent="0.2">
      <c r="A49" s="241"/>
      <c r="B49" s="74">
        <v>2013</v>
      </c>
      <c r="C49" s="241" t="s">
        <v>94</v>
      </c>
      <c r="D49" s="343"/>
      <c r="E49" s="412">
        <v>134</v>
      </c>
      <c r="F49" s="417"/>
      <c r="G49" s="417"/>
      <c r="H49" s="417"/>
      <c r="I49" s="417"/>
      <c r="J49" s="417"/>
      <c r="K49" s="417"/>
      <c r="L49" s="417"/>
      <c r="M49" s="417"/>
      <c r="N49" s="417"/>
      <c r="O49" s="417"/>
      <c r="P49" s="417"/>
      <c r="Q49" s="417">
        <v>1</v>
      </c>
      <c r="R49" s="320">
        <f>SUM(F49:Q49)</f>
        <v>1</v>
      </c>
      <c r="S49" s="321">
        <f>AVERAGE(F49:Q49)</f>
        <v>1</v>
      </c>
      <c r="T49" s="325">
        <f>U49/S49</f>
        <v>133</v>
      </c>
      <c r="U49" s="33">
        <f>SUM(E49-R49)</f>
        <v>133</v>
      </c>
      <c r="Y49" s="89"/>
    </row>
    <row r="50" spans="1:25" x14ac:dyDescent="0.2">
      <c r="A50" s="241"/>
      <c r="B50" s="74">
        <v>2013</v>
      </c>
      <c r="C50" s="241" t="s">
        <v>95</v>
      </c>
      <c r="D50" s="343"/>
      <c r="E50" s="412">
        <v>69</v>
      </c>
      <c r="F50" s="417"/>
      <c r="G50" s="417"/>
      <c r="H50" s="417"/>
      <c r="I50" s="417"/>
      <c r="J50" s="417"/>
      <c r="K50" s="417"/>
      <c r="L50" s="417"/>
      <c r="M50" s="417"/>
      <c r="N50" s="417"/>
      <c r="O50" s="417"/>
      <c r="P50" s="417"/>
      <c r="Q50" s="417">
        <v>1</v>
      </c>
      <c r="R50" s="320">
        <f>SUM(F50:Q50)</f>
        <v>1</v>
      </c>
      <c r="S50" s="321">
        <f>AVERAGE(F50:Q50)</f>
        <v>1</v>
      </c>
      <c r="T50" s="325">
        <f>U50/S50</f>
        <v>68</v>
      </c>
      <c r="U50" s="33">
        <f>SUM(E50-R50)</f>
        <v>68</v>
      </c>
      <c r="Y50" s="89"/>
    </row>
    <row r="51" spans="1:25" x14ac:dyDescent="0.2">
      <c r="A51" s="294"/>
      <c r="B51" s="75"/>
      <c r="C51" s="345"/>
      <c r="D51" s="346"/>
      <c r="E51" s="413"/>
      <c r="F51" s="413"/>
      <c r="G51" s="413"/>
      <c r="H51" s="413"/>
      <c r="I51" s="413"/>
      <c r="J51" s="413"/>
      <c r="K51" s="413"/>
      <c r="L51" s="413"/>
      <c r="M51" s="413"/>
      <c r="N51" s="413"/>
      <c r="O51" s="413"/>
      <c r="P51" s="413"/>
      <c r="Q51" s="413"/>
      <c r="R51" s="345"/>
      <c r="S51" s="346"/>
      <c r="T51" s="403"/>
      <c r="U51" s="35"/>
    </row>
    <row r="52" spans="1:25" x14ac:dyDescent="0.2">
      <c r="A52" s="241"/>
      <c r="B52" s="489">
        <v>2010</v>
      </c>
      <c r="C52" s="364"/>
      <c r="D52" s="409"/>
      <c r="E52" s="394">
        <f t="shared" ref="E52:R52" si="11">SUM(E10:E15)</f>
        <v>702</v>
      </c>
      <c r="F52" s="394">
        <f t="shared" si="11"/>
        <v>103</v>
      </c>
      <c r="G52" s="394">
        <f t="shared" si="11"/>
        <v>133</v>
      </c>
      <c r="H52" s="394">
        <f t="shared" si="11"/>
        <v>63</v>
      </c>
      <c r="I52" s="394">
        <f t="shared" si="11"/>
        <v>54</v>
      </c>
      <c r="J52" s="394">
        <f t="shared" si="11"/>
        <v>62</v>
      </c>
      <c r="K52" s="394">
        <f t="shared" si="11"/>
        <v>95</v>
      </c>
      <c r="L52" s="394">
        <f t="shared" si="11"/>
        <v>51</v>
      </c>
      <c r="M52" s="394">
        <f t="shared" si="11"/>
        <v>41</v>
      </c>
      <c r="N52" s="394">
        <f t="shared" si="11"/>
        <v>28</v>
      </c>
      <c r="O52" s="394">
        <f t="shared" si="11"/>
        <v>48</v>
      </c>
      <c r="P52" s="394">
        <f t="shared" si="11"/>
        <v>0</v>
      </c>
      <c r="Q52" s="394">
        <f t="shared" si="11"/>
        <v>0</v>
      </c>
      <c r="R52" s="372">
        <f t="shared" si="11"/>
        <v>678</v>
      </c>
      <c r="S52" s="372">
        <f>AVERAGE(F52:Q52)</f>
        <v>56.5</v>
      </c>
      <c r="T52" s="377">
        <f>U52/S52</f>
        <v>0</v>
      </c>
      <c r="U52" s="488">
        <f>SUM(U10:U15)</f>
        <v>0</v>
      </c>
    </row>
    <row r="53" spans="1:25" x14ac:dyDescent="0.2">
      <c r="A53" s="241"/>
      <c r="B53" s="489">
        <v>2011</v>
      </c>
      <c r="C53" s="364"/>
      <c r="D53" s="409"/>
      <c r="E53" s="394">
        <f t="shared" ref="E53:R53" si="12">SUM(E17:E24)</f>
        <v>1891</v>
      </c>
      <c r="F53" s="394">
        <f t="shared" si="12"/>
        <v>44</v>
      </c>
      <c r="G53" s="394">
        <f t="shared" si="12"/>
        <v>87</v>
      </c>
      <c r="H53" s="394">
        <f t="shared" si="12"/>
        <v>110</v>
      </c>
      <c r="I53" s="394">
        <f t="shared" si="12"/>
        <v>147</v>
      </c>
      <c r="J53" s="394">
        <f t="shared" si="12"/>
        <v>172</v>
      </c>
      <c r="K53" s="394">
        <f t="shared" si="12"/>
        <v>148</v>
      </c>
      <c r="L53" s="394">
        <f t="shared" si="12"/>
        <v>154</v>
      </c>
      <c r="M53" s="394">
        <f t="shared" si="12"/>
        <v>90</v>
      </c>
      <c r="N53" s="394">
        <f t="shared" si="12"/>
        <v>318</v>
      </c>
      <c r="O53" s="394">
        <f t="shared" si="12"/>
        <v>144</v>
      </c>
      <c r="P53" s="394">
        <f t="shared" si="12"/>
        <v>131</v>
      </c>
      <c r="Q53" s="394">
        <f t="shared" si="12"/>
        <v>70</v>
      </c>
      <c r="R53" s="372">
        <f t="shared" si="12"/>
        <v>1615</v>
      </c>
      <c r="S53" s="372">
        <f>AVERAGE(F53:Q53)</f>
        <v>134.58333333333334</v>
      </c>
      <c r="T53" s="377">
        <f>U53/S53</f>
        <v>2.0507739938080496</v>
      </c>
      <c r="U53" s="488">
        <f>SUM(U17:U24)</f>
        <v>276</v>
      </c>
    </row>
    <row r="54" spans="1:25" x14ac:dyDescent="0.2">
      <c r="A54" s="241"/>
      <c r="B54" s="74">
        <v>2012</v>
      </c>
      <c r="C54" s="241"/>
      <c r="D54" s="408"/>
      <c r="E54" s="394">
        <f t="shared" ref="E54:R54" si="13">SUM(E26:E35)</f>
        <v>3186</v>
      </c>
      <c r="F54" s="394">
        <f t="shared" si="13"/>
        <v>152</v>
      </c>
      <c r="G54" s="394">
        <f t="shared" si="13"/>
        <v>43</v>
      </c>
      <c r="H54" s="394">
        <f t="shared" si="13"/>
        <v>42</v>
      </c>
      <c r="I54" s="394">
        <f t="shared" si="13"/>
        <v>30</v>
      </c>
      <c r="J54" s="394">
        <f t="shared" si="13"/>
        <v>23</v>
      </c>
      <c r="K54" s="394">
        <f t="shared" si="13"/>
        <v>95</v>
      </c>
      <c r="L54" s="394">
        <f t="shared" si="13"/>
        <v>93</v>
      </c>
      <c r="M54" s="394">
        <f t="shared" si="13"/>
        <v>55</v>
      </c>
      <c r="N54" s="394">
        <f t="shared" si="13"/>
        <v>171</v>
      </c>
      <c r="O54" s="394">
        <f t="shared" si="13"/>
        <v>159</v>
      </c>
      <c r="P54" s="394">
        <f t="shared" si="13"/>
        <v>109</v>
      </c>
      <c r="Q54" s="394">
        <f t="shared" si="13"/>
        <v>134</v>
      </c>
      <c r="R54" s="372">
        <f t="shared" si="13"/>
        <v>1106</v>
      </c>
      <c r="S54" s="372">
        <f>AVERAGE(F54:Q54)</f>
        <v>92.166666666666671</v>
      </c>
      <c r="T54" s="377">
        <f>U54/S54</f>
        <v>22.56781193490054</v>
      </c>
      <c r="U54" s="488">
        <f>SUM(U26:U35)</f>
        <v>2080</v>
      </c>
    </row>
    <row r="55" spans="1:25" x14ac:dyDescent="0.2">
      <c r="A55" s="241"/>
      <c r="B55" s="74">
        <v>2013</v>
      </c>
      <c r="C55" s="241"/>
      <c r="D55" s="408"/>
      <c r="E55" s="394">
        <f>SUM(E38:E50)</f>
        <v>4834</v>
      </c>
      <c r="F55" s="394">
        <f t="shared" ref="F55:U55" si="14">SUM(F38:F50)</f>
        <v>0</v>
      </c>
      <c r="G55" s="394">
        <f t="shared" si="14"/>
        <v>0</v>
      </c>
      <c r="H55" s="394">
        <f t="shared" si="14"/>
        <v>2</v>
      </c>
      <c r="I55" s="394">
        <f t="shared" si="14"/>
        <v>85</v>
      </c>
      <c r="J55" s="394">
        <f t="shared" si="14"/>
        <v>125</v>
      </c>
      <c r="K55" s="394">
        <f t="shared" si="14"/>
        <v>71</v>
      </c>
      <c r="L55" s="394">
        <f t="shared" si="14"/>
        <v>125</v>
      </c>
      <c r="M55" s="394">
        <f t="shared" si="14"/>
        <v>54</v>
      </c>
      <c r="N55" s="394">
        <f t="shared" si="14"/>
        <v>170</v>
      </c>
      <c r="O55" s="394">
        <f t="shared" si="14"/>
        <v>140</v>
      </c>
      <c r="P55" s="394">
        <f t="shared" si="14"/>
        <v>172</v>
      </c>
      <c r="Q55" s="394">
        <f t="shared" si="14"/>
        <v>118</v>
      </c>
      <c r="R55" s="420">
        <f t="shared" si="14"/>
        <v>1062</v>
      </c>
      <c r="S55" s="420">
        <f>AVERAGE(F55:Q55)</f>
        <v>88.5</v>
      </c>
      <c r="T55" s="421">
        <f>U55/S55</f>
        <v>42.621468926553675</v>
      </c>
      <c r="U55" s="420">
        <f t="shared" si="14"/>
        <v>3772</v>
      </c>
    </row>
    <row r="56" spans="1:25" x14ac:dyDescent="0.2">
      <c r="A56" s="241"/>
      <c r="B56" s="85" t="s">
        <v>78</v>
      </c>
      <c r="C56" s="241"/>
      <c r="D56" s="408"/>
      <c r="E56" s="422">
        <f t="shared" ref="E56:Q56" si="15">SUM(E52:E54)</f>
        <v>5779</v>
      </c>
      <c r="F56" s="422">
        <f t="shared" si="15"/>
        <v>299</v>
      </c>
      <c r="G56" s="422">
        <f t="shared" si="15"/>
        <v>263</v>
      </c>
      <c r="H56" s="422">
        <f t="shared" si="15"/>
        <v>215</v>
      </c>
      <c r="I56" s="422">
        <f t="shared" si="15"/>
        <v>231</v>
      </c>
      <c r="J56" s="422">
        <f t="shared" si="15"/>
        <v>257</v>
      </c>
      <c r="K56" s="422">
        <f t="shared" si="15"/>
        <v>338</v>
      </c>
      <c r="L56" s="422">
        <f t="shared" si="15"/>
        <v>298</v>
      </c>
      <c r="M56" s="422">
        <f t="shared" si="15"/>
        <v>186</v>
      </c>
      <c r="N56" s="422">
        <f t="shared" si="15"/>
        <v>517</v>
      </c>
      <c r="O56" s="422">
        <f t="shared" si="15"/>
        <v>351</v>
      </c>
      <c r="P56" s="422">
        <f t="shared" si="15"/>
        <v>240</v>
      </c>
      <c r="Q56" s="422">
        <f t="shared" si="15"/>
        <v>204</v>
      </c>
      <c r="R56" s="321">
        <f>SUM(R52:R55)</f>
        <v>4461</v>
      </c>
      <c r="S56" s="321">
        <f>SUM(S52:S55)</f>
        <v>371.75</v>
      </c>
      <c r="T56" s="377">
        <f>U56/S56</f>
        <v>16.484196368527236</v>
      </c>
      <c r="U56" s="321">
        <f>SUM(U52:U55)</f>
        <v>6128</v>
      </c>
      <c r="Y56" s="89"/>
    </row>
    <row r="57" spans="1:25" x14ac:dyDescent="0.2">
      <c r="A57" s="294"/>
      <c r="B57" s="78"/>
      <c r="C57" s="78"/>
      <c r="D57" s="79"/>
      <c r="E57" s="92"/>
      <c r="F57" s="92"/>
      <c r="G57" s="92"/>
      <c r="H57" s="92"/>
      <c r="I57" s="92"/>
      <c r="J57" s="92"/>
      <c r="K57" s="92"/>
      <c r="L57" s="92"/>
      <c r="M57" s="92"/>
      <c r="N57" s="92"/>
      <c r="O57" s="92"/>
      <c r="P57" s="92"/>
      <c r="Q57" s="92"/>
      <c r="R57" s="78"/>
      <c r="S57" s="79"/>
      <c r="T57" s="80"/>
      <c r="U57" s="81"/>
    </row>
    <row r="58" spans="1:25" ht="13.5" thickBot="1" x14ac:dyDescent="0.25"/>
    <row r="59" spans="1:25" ht="48" thickBot="1" x14ac:dyDescent="0.45">
      <c r="B59" s="62" t="s">
        <v>79</v>
      </c>
      <c r="C59" s="63"/>
      <c r="D59" s="63"/>
      <c r="E59" s="64" t="s">
        <v>80</v>
      </c>
      <c r="F59" s="566" t="s">
        <v>81</v>
      </c>
      <c r="G59" s="567"/>
      <c r="H59" s="567"/>
      <c r="I59" s="567"/>
      <c r="J59" s="567"/>
      <c r="K59" s="567"/>
      <c r="L59" s="567"/>
      <c r="M59" s="567"/>
      <c r="N59" s="567"/>
      <c r="O59" s="567"/>
      <c r="P59" s="567"/>
      <c r="Q59" s="567"/>
      <c r="R59" s="65" t="s">
        <v>82</v>
      </c>
      <c r="S59" s="66"/>
      <c r="T59" s="66"/>
      <c r="U59" s="66"/>
    </row>
    <row r="60" spans="1:25" x14ac:dyDescent="0.2">
      <c r="B60" s="9"/>
      <c r="C60" s="67"/>
      <c r="D60" s="9"/>
      <c r="E60" s="73"/>
      <c r="F60" s="93"/>
      <c r="G60" s="93"/>
      <c r="H60" s="93"/>
      <c r="I60" s="93"/>
      <c r="J60" s="93"/>
      <c r="K60" s="93"/>
      <c r="L60" s="93"/>
      <c r="M60" s="93"/>
      <c r="N60" s="93"/>
      <c r="O60" s="93"/>
      <c r="P60" s="93"/>
      <c r="Q60" s="94"/>
      <c r="R60" s="9"/>
    </row>
    <row r="61" spans="1:25" x14ac:dyDescent="0.2">
      <c r="B61" s="241"/>
      <c r="C61" s="342"/>
      <c r="D61" s="241"/>
      <c r="E61" s="93"/>
      <c r="F61" s="412"/>
      <c r="G61" s="412"/>
      <c r="H61" s="412"/>
      <c r="I61" s="412"/>
      <c r="J61" s="412"/>
      <c r="K61" s="412"/>
      <c r="L61" s="412"/>
      <c r="M61" s="412"/>
      <c r="N61" s="412"/>
      <c r="O61" s="412"/>
      <c r="P61" s="412"/>
      <c r="Q61" s="423"/>
      <c r="R61" s="241"/>
    </row>
    <row r="62" spans="1:25" x14ac:dyDescent="0.2">
      <c r="B62" s="345"/>
      <c r="C62" s="345"/>
      <c r="D62" s="345"/>
      <c r="E62" s="413"/>
      <c r="F62" s="413"/>
      <c r="G62" s="413"/>
      <c r="H62" s="413"/>
      <c r="I62" s="413"/>
      <c r="J62" s="413"/>
      <c r="K62" s="413"/>
      <c r="L62" s="413"/>
      <c r="M62" s="413"/>
      <c r="N62" s="413"/>
      <c r="O62" s="413"/>
      <c r="P62" s="413"/>
      <c r="Q62" s="424"/>
      <c r="R62" s="345"/>
    </row>
    <row r="63" spans="1:25" x14ac:dyDescent="0.2">
      <c r="B63" s="241"/>
      <c r="C63" s="342"/>
      <c r="D63" s="241"/>
      <c r="E63" s="412"/>
      <c r="F63" s="412"/>
      <c r="G63" s="412"/>
      <c r="H63" s="412"/>
      <c r="I63" s="412"/>
      <c r="J63" s="412"/>
      <c r="K63" s="412"/>
      <c r="L63" s="412"/>
      <c r="M63" s="412"/>
      <c r="N63" s="412"/>
      <c r="O63" s="412"/>
      <c r="P63" s="412"/>
      <c r="Q63" s="423"/>
      <c r="R63" s="241"/>
    </row>
    <row r="64" spans="1:25" x14ac:dyDescent="0.2">
      <c r="B64" s="241"/>
      <c r="C64" s="342"/>
      <c r="D64" s="241"/>
      <c r="E64" s="412"/>
      <c r="F64" s="412"/>
      <c r="G64" s="412"/>
      <c r="H64" s="412"/>
      <c r="I64" s="412"/>
      <c r="J64" s="412"/>
      <c r="K64" s="412"/>
      <c r="L64" s="412"/>
      <c r="M64" s="412"/>
      <c r="N64" s="412"/>
      <c r="O64" s="412"/>
      <c r="P64" s="412"/>
      <c r="Q64" s="423"/>
      <c r="R64" s="241"/>
    </row>
    <row r="65" spans="2:18" x14ac:dyDescent="0.2">
      <c r="B65" s="30"/>
      <c r="C65" s="70"/>
      <c r="D65" s="30"/>
      <c r="E65" s="95"/>
      <c r="F65" s="95"/>
      <c r="G65" s="95"/>
      <c r="H65" s="95"/>
      <c r="I65" s="95"/>
      <c r="J65" s="95"/>
      <c r="K65" s="95"/>
      <c r="L65" s="95"/>
      <c r="M65" s="95"/>
      <c r="N65" s="95"/>
      <c r="O65" s="95"/>
      <c r="P65" s="95"/>
      <c r="Q65" s="95"/>
      <c r="R65" s="345"/>
    </row>
    <row r="66" spans="2:18" ht="13.5" thickBot="1" x14ac:dyDescent="0.25">
      <c r="C66" s="71"/>
    </row>
    <row r="67" spans="2:18" ht="63.75" thickBot="1" x14ac:dyDescent="0.45">
      <c r="B67" s="568" t="s">
        <v>79</v>
      </c>
      <c r="C67" s="569"/>
      <c r="D67" s="570"/>
      <c r="E67" s="72" t="s">
        <v>83</v>
      </c>
      <c r="F67" s="566" t="s">
        <v>84</v>
      </c>
      <c r="G67" s="567"/>
      <c r="H67" s="567"/>
      <c r="I67" s="567"/>
      <c r="J67" s="567"/>
      <c r="K67" s="567"/>
      <c r="L67" s="567"/>
      <c r="M67" s="567"/>
      <c r="N67" s="567"/>
      <c r="O67" s="567"/>
      <c r="P67" s="567"/>
      <c r="Q67" s="571"/>
      <c r="R67" s="65" t="s">
        <v>85</v>
      </c>
    </row>
    <row r="68" spans="2:18" ht="15.75" x14ac:dyDescent="0.25">
      <c r="B68" s="9"/>
      <c r="C68" s="67"/>
      <c r="D68" s="9"/>
      <c r="E68" s="68"/>
      <c r="F68" s="93"/>
      <c r="G68" s="93"/>
      <c r="H68" s="93"/>
      <c r="I68" s="93"/>
      <c r="J68" s="93"/>
      <c r="K68" s="93"/>
      <c r="L68" s="93"/>
      <c r="M68" s="93"/>
      <c r="N68" s="93"/>
      <c r="O68" s="93"/>
      <c r="P68" s="93"/>
      <c r="Q68" s="93"/>
      <c r="R68" s="9"/>
    </row>
    <row r="69" spans="2:18" x14ac:dyDescent="0.2">
      <c r="B69" s="241"/>
      <c r="C69" s="342"/>
      <c r="D69" s="241"/>
      <c r="E69" s="93"/>
      <c r="F69" s="412"/>
      <c r="G69" s="412"/>
      <c r="H69" s="412"/>
      <c r="I69" s="412"/>
      <c r="J69" s="412"/>
      <c r="K69" s="412"/>
      <c r="L69" s="412"/>
      <c r="M69" s="412"/>
      <c r="N69" s="412"/>
      <c r="O69" s="412"/>
      <c r="P69" s="412"/>
      <c r="Q69" s="412"/>
      <c r="R69" s="241"/>
    </row>
    <row r="70" spans="2:18" x14ac:dyDescent="0.2">
      <c r="B70" s="345"/>
      <c r="C70" s="345"/>
      <c r="D70" s="345"/>
      <c r="E70" s="413"/>
      <c r="F70" s="413"/>
      <c r="G70" s="413"/>
      <c r="H70" s="413"/>
      <c r="I70" s="413"/>
      <c r="J70" s="413"/>
      <c r="K70" s="413"/>
      <c r="L70" s="413"/>
      <c r="M70" s="413"/>
      <c r="N70" s="413"/>
      <c r="O70" s="413"/>
      <c r="P70" s="413"/>
      <c r="Q70" s="413"/>
      <c r="R70" s="345"/>
    </row>
    <row r="71" spans="2:18" x14ac:dyDescent="0.2">
      <c r="B71" s="241"/>
      <c r="C71" s="342"/>
      <c r="D71" s="241"/>
      <c r="E71" s="412"/>
      <c r="F71" s="412"/>
      <c r="G71" s="412"/>
      <c r="H71" s="412"/>
      <c r="I71" s="412"/>
      <c r="J71" s="412"/>
      <c r="K71" s="412"/>
      <c r="L71" s="412"/>
      <c r="M71" s="412"/>
      <c r="N71" s="412"/>
      <c r="O71" s="412"/>
      <c r="P71" s="412"/>
      <c r="Q71" s="412"/>
      <c r="R71" s="241"/>
    </row>
    <row r="72" spans="2:18" x14ac:dyDescent="0.2">
      <c r="B72" s="241"/>
      <c r="C72" s="342"/>
      <c r="D72" s="241"/>
      <c r="E72" s="412"/>
      <c r="F72" s="412"/>
      <c r="G72" s="412"/>
      <c r="H72" s="412"/>
      <c r="I72" s="412"/>
      <c r="J72" s="412"/>
      <c r="K72" s="412"/>
      <c r="L72" s="412"/>
      <c r="M72" s="412"/>
      <c r="N72" s="412"/>
      <c r="O72" s="412"/>
      <c r="P72" s="412"/>
      <c r="Q72" s="412"/>
      <c r="R72" s="241"/>
    </row>
  </sheetData>
  <mergeCells count="3">
    <mergeCell ref="F59:Q59"/>
    <mergeCell ref="B67:D67"/>
    <mergeCell ref="F67:Q67"/>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3"/>
  <sheetViews>
    <sheetView topLeftCell="A8" zoomScale="90" zoomScaleNormal="90" workbookViewId="0">
      <selection activeCell="S23" sqref="S23:S35"/>
    </sheetView>
  </sheetViews>
  <sheetFormatPr defaultRowHeight="12.75" x14ac:dyDescent="0.2"/>
  <cols>
    <col min="3" max="3" width="16.5703125" bestFit="1" customWidth="1"/>
    <col min="4" max="4" width="9.5703125" customWidth="1"/>
    <col min="5" max="5" width="11.42578125" customWidth="1"/>
    <col min="15" max="16" width="9.42578125" style="90"/>
    <col min="19" max="19" width="10" customWidth="1"/>
  </cols>
  <sheetData>
    <row r="1" spans="1:21" x14ac:dyDescent="0.2">
      <c r="E1" s="90"/>
      <c r="F1" s="90"/>
      <c r="G1" s="90"/>
      <c r="H1" s="90"/>
      <c r="I1" s="90"/>
      <c r="J1" s="90"/>
      <c r="K1" s="90"/>
      <c r="L1" s="90"/>
      <c r="M1" s="90"/>
      <c r="N1" s="90"/>
      <c r="Q1" s="90"/>
    </row>
    <row r="2" spans="1:21" ht="15.75" x14ac:dyDescent="0.2">
      <c r="D2" s="71"/>
      <c r="E2" s="91"/>
      <c r="F2" s="90"/>
      <c r="G2" s="90"/>
      <c r="H2" s="90"/>
      <c r="I2" s="90"/>
      <c r="J2" s="90"/>
      <c r="K2" s="90"/>
      <c r="L2" s="90"/>
      <c r="M2" s="90"/>
      <c r="N2" s="90"/>
      <c r="Q2" s="90"/>
    </row>
    <row r="3" spans="1:21" ht="15.75" x14ac:dyDescent="0.2">
      <c r="D3" s="71"/>
      <c r="E3" s="91"/>
      <c r="F3" s="90"/>
      <c r="G3" s="90"/>
      <c r="H3" s="90"/>
      <c r="I3" s="90"/>
      <c r="J3" s="90"/>
      <c r="K3" s="90"/>
      <c r="L3" s="90"/>
      <c r="M3" s="90"/>
      <c r="N3" s="90"/>
      <c r="Q3" s="90"/>
    </row>
    <row r="4" spans="1:21" ht="15.75" x14ac:dyDescent="0.2">
      <c r="E4" s="91"/>
      <c r="F4" s="90"/>
      <c r="G4" s="90"/>
      <c r="H4" s="90"/>
      <c r="I4" s="90"/>
      <c r="J4" s="90"/>
      <c r="K4" s="90"/>
      <c r="L4" s="90"/>
      <c r="M4" s="90"/>
      <c r="N4" s="90"/>
      <c r="Q4" s="90"/>
    </row>
    <row r="5" spans="1:21" x14ac:dyDescent="0.2">
      <c r="E5" s="90"/>
      <c r="F5" s="90"/>
      <c r="G5" s="90"/>
      <c r="H5" s="90"/>
      <c r="I5" s="90"/>
      <c r="J5" s="90"/>
      <c r="K5" s="90"/>
      <c r="L5" s="90"/>
      <c r="M5" s="90"/>
      <c r="N5" s="90"/>
      <c r="Q5" s="90"/>
    </row>
    <row r="6" spans="1:21" ht="13.5" thickBot="1" x14ac:dyDescent="0.25">
      <c r="E6" s="90"/>
      <c r="F6" s="90"/>
      <c r="G6" s="90"/>
      <c r="H6" s="90"/>
      <c r="I6" s="90"/>
      <c r="J6" s="90"/>
      <c r="K6" s="90"/>
      <c r="L6" s="90"/>
      <c r="M6" s="90"/>
      <c r="N6" s="90"/>
      <c r="Q6" s="90"/>
    </row>
    <row r="7" spans="1:21" ht="21" thickBot="1" x14ac:dyDescent="0.35">
      <c r="A7" s="82"/>
      <c r="B7" s="52" t="s">
        <v>0</v>
      </c>
      <c r="C7" s="53"/>
      <c r="D7" s="53"/>
      <c r="E7" s="169"/>
      <c r="F7" s="169"/>
      <c r="G7" s="169"/>
      <c r="H7" s="169"/>
      <c r="I7" s="169"/>
      <c r="J7" s="169"/>
      <c r="K7" s="169"/>
      <c r="L7" s="169"/>
      <c r="M7" s="169"/>
      <c r="N7" s="169"/>
      <c r="O7" s="169"/>
      <c r="P7" s="169"/>
      <c r="Q7" s="169"/>
      <c r="R7" s="53"/>
      <c r="S7" s="53"/>
      <c r="T7" s="53"/>
      <c r="U7" s="54"/>
    </row>
    <row r="8" spans="1:21" ht="63.75" thickBot="1" x14ac:dyDescent="0.3">
      <c r="A8" s="248" t="s">
        <v>60</v>
      </c>
      <c r="B8" s="83" t="s">
        <v>3</v>
      </c>
      <c r="C8" s="55" t="s">
        <v>2</v>
      </c>
      <c r="D8" s="56" t="s">
        <v>91</v>
      </c>
      <c r="E8" s="57" t="s">
        <v>96</v>
      </c>
      <c r="F8" s="58" t="s">
        <v>4</v>
      </c>
      <c r="G8" s="58" t="s">
        <v>5</v>
      </c>
      <c r="H8" s="58" t="s">
        <v>6</v>
      </c>
      <c r="I8" s="58" t="s">
        <v>7</v>
      </c>
      <c r="J8" s="58" t="s">
        <v>8</v>
      </c>
      <c r="K8" s="58" t="s">
        <v>9</v>
      </c>
      <c r="L8" s="58" t="s">
        <v>10</v>
      </c>
      <c r="M8" s="58" t="s">
        <v>11</v>
      </c>
      <c r="N8" s="58" t="s">
        <v>12</v>
      </c>
      <c r="O8" s="58" t="s">
        <v>13</v>
      </c>
      <c r="P8" s="58" t="s">
        <v>14</v>
      </c>
      <c r="Q8" s="58" t="s">
        <v>15</v>
      </c>
      <c r="R8" s="59" t="s">
        <v>16</v>
      </c>
      <c r="S8" s="60" t="s">
        <v>97</v>
      </c>
      <c r="T8" s="57" t="s">
        <v>19</v>
      </c>
      <c r="U8" s="61" t="s">
        <v>41</v>
      </c>
    </row>
    <row r="9" spans="1:21" x14ac:dyDescent="0.2">
      <c r="A9" s="294"/>
      <c r="B9" s="75"/>
      <c r="C9" s="345"/>
      <c r="D9" s="345"/>
      <c r="E9" s="413"/>
      <c r="F9" s="416">
        <v>1</v>
      </c>
      <c r="G9" s="416"/>
      <c r="H9" s="416"/>
      <c r="I9" s="416"/>
      <c r="J9" s="416"/>
      <c r="K9" s="416"/>
      <c r="L9" s="416"/>
      <c r="M9" s="416"/>
      <c r="N9" s="416"/>
      <c r="O9" s="416"/>
      <c r="P9" s="416"/>
      <c r="Q9" s="416"/>
      <c r="R9" s="345"/>
      <c r="S9" s="346"/>
      <c r="T9" s="403"/>
      <c r="U9" s="76"/>
    </row>
    <row r="10" spans="1:21" x14ac:dyDescent="0.2">
      <c r="A10">
        <v>57630</v>
      </c>
      <c r="B10" s="74">
        <v>2011</v>
      </c>
      <c r="C10" s="342" t="s">
        <v>25</v>
      </c>
      <c r="D10" s="343">
        <v>32</v>
      </c>
      <c r="E10" s="412">
        <v>80</v>
      </c>
      <c r="F10" s="414">
        <v>34</v>
      </c>
      <c r="G10" s="414">
        <v>12</v>
      </c>
      <c r="H10" s="425">
        <v>15</v>
      </c>
      <c r="I10" s="414">
        <v>10</v>
      </c>
      <c r="J10" s="414">
        <v>9</v>
      </c>
      <c r="K10" s="415"/>
      <c r="L10" s="415"/>
      <c r="M10" s="415"/>
      <c r="N10" s="415"/>
      <c r="O10" s="415"/>
      <c r="P10" s="415"/>
      <c r="Q10" s="415"/>
      <c r="R10" s="320">
        <f>SUM(F10:Q10)</f>
        <v>80</v>
      </c>
      <c r="S10" s="321">
        <f>AVERAGE(F10:Q10)</f>
        <v>16</v>
      </c>
      <c r="T10" s="325">
        <f>U10/S10</f>
        <v>0</v>
      </c>
      <c r="U10" s="33">
        <f>SUM(E10-R10)</f>
        <v>0</v>
      </c>
    </row>
    <row r="11" spans="1:21" x14ac:dyDescent="0.2">
      <c r="A11">
        <v>22384</v>
      </c>
      <c r="B11" s="74">
        <v>2011</v>
      </c>
      <c r="C11" s="342" t="s">
        <v>26</v>
      </c>
      <c r="D11" s="343">
        <v>16</v>
      </c>
      <c r="E11" s="412">
        <v>46</v>
      </c>
      <c r="F11" s="414">
        <v>18</v>
      </c>
      <c r="G11" s="414">
        <v>11</v>
      </c>
      <c r="H11" s="414">
        <v>12</v>
      </c>
      <c r="I11" s="414">
        <v>5</v>
      </c>
      <c r="J11" s="415"/>
      <c r="K11" s="415"/>
      <c r="L11" s="415"/>
      <c r="M11" s="415"/>
      <c r="N11" s="415"/>
      <c r="O11" s="415"/>
      <c r="P11" s="415"/>
      <c r="Q11" s="415"/>
      <c r="R11" s="320">
        <f t="shared" ref="R11:R17" si="0">SUM(F11:Q11)</f>
        <v>46</v>
      </c>
      <c r="S11" s="321">
        <f t="shared" ref="S11:S18" si="1">AVERAGE(F11:Q11)</f>
        <v>11.5</v>
      </c>
      <c r="T11" s="325">
        <f t="shared" ref="T11:T18" si="2">U11/S11</f>
        <v>0</v>
      </c>
      <c r="U11" s="33">
        <f t="shared" ref="U11:U18" si="3">SUM(E11-R11)</f>
        <v>0</v>
      </c>
    </row>
    <row r="12" spans="1:21" x14ac:dyDescent="0.2">
      <c r="A12">
        <v>22921</v>
      </c>
      <c r="B12" s="74">
        <v>2011</v>
      </c>
      <c r="C12" s="241" t="s">
        <v>22</v>
      </c>
      <c r="D12" s="343">
        <v>25</v>
      </c>
      <c r="E12" s="412">
        <v>34</v>
      </c>
      <c r="F12" s="414">
        <v>25</v>
      </c>
      <c r="G12" s="414">
        <v>9</v>
      </c>
      <c r="H12" s="415"/>
      <c r="I12" s="415"/>
      <c r="J12" s="415"/>
      <c r="K12" s="415"/>
      <c r="L12" s="415"/>
      <c r="M12" s="415"/>
      <c r="N12" s="415"/>
      <c r="O12" s="415"/>
      <c r="P12" s="415"/>
      <c r="Q12" s="415"/>
      <c r="R12" s="320">
        <f t="shared" si="0"/>
        <v>34</v>
      </c>
      <c r="S12" s="321">
        <f t="shared" si="1"/>
        <v>17</v>
      </c>
      <c r="T12" s="325">
        <f t="shared" si="2"/>
        <v>0</v>
      </c>
      <c r="U12" s="33">
        <f t="shared" si="3"/>
        <v>0</v>
      </c>
    </row>
    <row r="13" spans="1:21" ht="15" x14ac:dyDescent="0.25">
      <c r="A13" s="419">
        <v>26415</v>
      </c>
      <c r="B13" s="74">
        <v>2011</v>
      </c>
      <c r="C13" s="241" t="s">
        <v>71</v>
      </c>
      <c r="D13" s="343">
        <v>12</v>
      </c>
      <c r="E13" s="412">
        <v>116</v>
      </c>
      <c r="F13" s="414">
        <v>13</v>
      </c>
      <c r="G13" s="414">
        <v>4</v>
      </c>
      <c r="H13" s="414">
        <v>19</v>
      </c>
      <c r="I13" s="414">
        <v>16</v>
      </c>
      <c r="J13" s="414">
        <v>15</v>
      </c>
      <c r="K13" s="414">
        <v>11</v>
      </c>
      <c r="L13" s="414">
        <v>22</v>
      </c>
      <c r="M13" s="414">
        <v>16</v>
      </c>
      <c r="N13" s="415"/>
      <c r="O13" s="415"/>
      <c r="P13" s="415"/>
      <c r="Q13" s="415"/>
      <c r="R13" s="320">
        <f t="shared" si="0"/>
        <v>116</v>
      </c>
      <c r="S13" s="321">
        <f t="shared" si="1"/>
        <v>14.5</v>
      </c>
      <c r="T13" s="325">
        <f t="shared" si="2"/>
        <v>0</v>
      </c>
      <c r="U13" s="33">
        <f t="shared" si="3"/>
        <v>0</v>
      </c>
    </row>
    <row r="14" spans="1:21" x14ac:dyDescent="0.2">
      <c r="A14" s="294"/>
      <c r="B14" s="75"/>
      <c r="C14" s="345"/>
      <c r="D14" s="346"/>
      <c r="E14" s="413"/>
      <c r="F14" s="413"/>
      <c r="G14" s="413"/>
      <c r="H14" s="413"/>
      <c r="I14" s="413"/>
      <c r="J14" s="413"/>
      <c r="K14" s="413"/>
      <c r="L14" s="413"/>
      <c r="M14" s="413"/>
      <c r="N14" s="413"/>
      <c r="O14" s="413"/>
      <c r="P14" s="413"/>
      <c r="Q14" s="413"/>
      <c r="R14" s="345"/>
      <c r="S14" s="346"/>
      <c r="T14" s="403"/>
      <c r="U14" s="35"/>
    </row>
    <row r="15" spans="1:21" x14ac:dyDescent="0.2">
      <c r="A15">
        <v>57630</v>
      </c>
      <c r="B15" s="74">
        <v>2012</v>
      </c>
      <c r="C15" s="342" t="s">
        <v>25</v>
      </c>
      <c r="D15" s="343">
        <v>45</v>
      </c>
      <c r="E15" s="412">
        <v>220</v>
      </c>
      <c r="F15" s="414">
        <v>6</v>
      </c>
      <c r="G15" s="414">
        <v>13</v>
      </c>
      <c r="H15" s="414">
        <v>5</v>
      </c>
      <c r="I15" s="414">
        <v>9</v>
      </c>
      <c r="J15" s="414">
        <v>13</v>
      </c>
      <c r="K15" s="414">
        <v>14</v>
      </c>
      <c r="L15" s="414">
        <v>48</v>
      </c>
      <c r="M15" s="414">
        <v>34</v>
      </c>
      <c r="N15" s="414">
        <v>36</v>
      </c>
      <c r="O15" s="414">
        <v>17</v>
      </c>
      <c r="P15" s="411">
        <v>2</v>
      </c>
      <c r="Q15" s="415"/>
      <c r="R15" s="320">
        <f t="shared" si="0"/>
        <v>197</v>
      </c>
      <c r="S15" s="321">
        <f t="shared" si="1"/>
        <v>17.90909090909091</v>
      </c>
      <c r="T15" s="325">
        <f t="shared" si="2"/>
        <v>1.2842639593908629</v>
      </c>
      <c r="U15" s="33">
        <f t="shared" si="3"/>
        <v>23</v>
      </c>
    </row>
    <row r="16" spans="1:21" x14ac:dyDescent="0.2">
      <c r="A16">
        <v>22384</v>
      </c>
      <c r="B16" s="74">
        <v>2012</v>
      </c>
      <c r="C16" s="342" t="s">
        <v>26</v>
      </c>
      <c r="D16" s="343">
        <v>36</v>
      </c>
      <c r="E16" s="412">
        <v>315</v>
      </c>
      <c r="F16" s="414">
        <v>3</v>
      </c>
      <c r="G16" s="414">
        <v>1</v>
      </c>
      <c r="H16" s="414">
        <v>2</v>
      </c>
      <c r="I16" s="414">
        <v>0</v>
      </c>
      <c r="J16" s="414">
        <v>0</v>
      </c>
      <c r="K16" s="414">
        <v>0</v>
      </c>
      <c r="L16" s="414">
        <v>6</v>
      </c>
      <c r="M16" s="414">
        <v>13</v>
      </c>
      <c r="N16" s="414">
        <v>18</v>
      </c>
      <c r="O16" s="414">
        <v>26</v>
      </c>
      <c r="P16" s="414">
        <v>24</v>
      </c>
      <c r="Q16" s="414">
        <v>17</v>
      </c>
      <c r="R16" s="320">
        <f t="shared" si="0"/>
        <v>110</v>
      </c>
      <c r="S16" s="321">
        <f t="shared" si="1"/>
        <v>9.1666666666666661</v>
      </c>
      <c r="T16" s="325">
        <f t="shared" si="2"/>
        <v>22.363636363636363</v>
      </c>
      <c r="U16" s="33">
        <f t="shared" si="3"/>
        <v>205</v>
      </c>
    </row>
    <row r="17" spans="1:21" x14ac:dyDescent="0.2">
      <c r="A17">
        <v>22382</v>
      </c>
      <c r="B17" s="74">
        <v>2012</v>
      </c>
      <c r="C17" s="342" t="s">
        <v>23</v>
      </c>
      <c r="D17" s="343">
        <v>29</v>
      </c>
      <c r="E17" s="412">
        <v>285</v>
      </c>
      <c r="F17" s="414">
        <v>13</v>
      </c>
      <c r="G17" s="414">
        <v>24</v>
      </c>
      <c r="H17" s="414">
        <v>15</v>
      </c>
      <c r="I17" s="414">
        <v>35</v>
      </c>
      <c r="J17" s="414">
        <v>20</v>
      </c>
      <c r="K17" s="414">
        <v>26</v>
      </c>
      <c r="L17" s="414">
        <v>22</v>
      </c>
      <c r="M17" s="414">
        <v>24</v>
      </c>
      <c r="N17" s="414">
        <v>31</v>
      </c>
      <c r="O17" s="414">
        <v>41</v>
      </c>
      <c r="P17" s="414">
        <v>28</v>
      </c>
      <c r="Q17" s="414">
        <v>6</v>
      </c>
      <c r="R17" s="320">
        <f t="shared" si="0"/>
        <v>285</v>
      </c>
      <c r="S17" s="321">
        <f t="shared" si="1"/>
        <v>23.75</v>
      </c>
      <c r="T17" s="325">
        <f t="shared" si="2"/>
        <v>0</v>
      </c>
      <c r="U17" s="33">
        <f t="shared" si="3"/>
        <v>0</v>
      </c>
    </row>
    <row r="18" spans="1:21" x14ac:dyDescent="0.2">
      <c r="A18">
        <v>27736</v>
      </c>
      <c r="B18" s="74">
        <v>2012</v>
      </c>
      <c r="C18" s="342" t="s">
        <v>70</v>
      </c>
      <c r="D18" s="343">
        <v>22</v>
      </c>
      <c r="E18" s="412">
        <v>223</v>
      </c>
      <c r="F18" s="414">
        <v>29</v>
      </c>
      <c r="G18" s="414">
        <v>11</v>
      </c>
      <c r="H18" s="414">
        <v>12</v>
      </c>
      <c r="I18" s="414">
        <v>25</v>
      </c>
      <c r="J18" s="414">
        <v>17</v>
      </c>
      <c r="K18" s="414">
        <v>13</v>
      </c>
      <c r="L18" s="414">
        <v>20</v>
      </c>
      <c r="M18" s="414">
        <v>16</v>
      </c>
      <c r="N18" s="414">
        <v>20</v>
      </c>
      <c r="O18" s="414">
        <v>26</v>
      </c>
      <c r="P18" s="414">
        <v>19</v>
      </c>
      <c r="Q18" s="411">
        <v>15</v>
      </c>
      <c r="R18" s="320">
        <f>SUM(F18:Q18)</f>
        <v>223</v>
      </c>
      <c r="S18" s="321">
        <f t="shared" si="1"/>
        <v>18.583333333333332</v>
      </c>
      <c r="T18" s="325">
        <f t="shared" si="2"/>
        <v>0</v>
      </c>
      <c r="U18" s="33">
        <f t="shared" si="3"/>
        <v>0</v>
      </c>
    </row>
    <row r="19" spans="1:21" x14ac:dyDescent="0.2">
      <c r="A19">
        <v>28361</v>
      </c>
      <c r="B19" s="74">
        <v>2012</v>
      </c>
      <c r="C19" s="342" t="s">
        <v>24</v>
      </c>
      <c r="D19" s="343">
        <v>22</v>
      </c>
      <c r="E19" s="412">
        <v>406</v>
      </c>
      <c r="F19" s="414">
        <v>27</v>
      </c>
      <c r="G19" s="414">
        <v>13</v>
      </c>
      <c r="H19" s="414">
        <v>15</v>
      </c>
      <c r="I19" s="414">
        <v>26</v>
      </c>
      <c r="J19" s="414">
        <v>27</v>
      </c>
      <c r="K19" s="414">
        <v>23</v>
      </c>
      <c r="L19" s="414">
        <v>32</v>
      </c>
      <c r="M19" s="414">
        <v>22</v>
      </c>
      <c r="N19" s="414">
        <v>17</v>
      </c>
      <c r="O19" s="414">
        <v>56</v>
      </c>
      <c r="P19" s="414">
        <v>32</v>
      </c>
      <c r="Q19" s="414">
        <v>21</v>
      </c>
      <c r="R19" s="320">
        <f>SUM(F19:Q19)</f>
        <v>311</v>
      </c>
      <c r="S19" s="321">
        <f>AVERAGE(F19:Q19)</f>
        <v>25.916666666666668</v>
      </c>
      <c r="T19" s="325">
        <f>U19/S19</f>
        <v>3.665594855305466</v>
      </c>
      <c r="U19" s="33">
        <f>SUM(E19-R19)</f>
        <v>95</v>
      </c>
    </row>
    <row r="20" spans="1:21" x14ac:dyDescent="0.2">
      <c r="A20">
        <v>22921</v>
      </c>
      <c r="B20" s="74">
        <v>2012</v>
      </c>
      <c r="C20" s="342" t="s">
        <v>22</v>
      </c>
      <c r="D20" s="343">
        <v>50</v>
      </c>
      <c r="E20" s="412">
        <v>425</v>
      </c>
      <c r="F20" s="414">
        <v>43</v>
      </c>
      <c r="G20" s="414">
        <v>35</v>
      </c>
      <c r="H20" s="414">
        <v>40</v>
      </c>
      <c r="I20" s="414">
        <v>55</v>
      </c>
      <c r="J20" s="414">
        <v>41</v>
      </c>
      <c r="K20" s="414">
        <v>48</v>
      </c>
      <c r="L20" s="414">
        <v>40</v>
      </c>
      <c r="M20" s="414">
        <v>47</v>
      </c>
      <c r="N20" s="414">
        <v>64</v>
      </c>
      <c r="O20" s="411">
        <v>6</v>
      </c>
      <c r="P20" s="415"/>
      <c r="Q20" s="415"/>
      <c r="R20" s="320">
        <f>SUM(F20:Q20)</f>
        <v>419</v>
      </c>
      <c r="S20" s="321">
        <f>AVERAGE(F20:Q20)</f>
        <v>41.9</v>
      </c>
      <c r="T20" s="325">
        <f>U20/S20</f>
        <v>0.14319809069212411</v>
      </c>
      <c r="U20" s="33">
        <f>SUM(E20-R20)</f>
        <v>6</v>
      </c>
    </row>
    <row r="21" spans="1:21" x14ac:dyDescent="0.2">
      <c r="A21" s="241">
        <v>34641</v>
      </c>
      <c r="B21" s="74">
        <v>2012</v>
      </c>
      <c r="C21" s="342" t="s">
        <v>21</v>
      </c>
      <c r="D21" s="343">
        <v>31</v>
      </c>
      <c r="E21" s="412">
        <v>206</v>
      </c>
      <c r="F21" s="414">
        <v>26</v>
      </c>
      <c r="G21" s="414">
        <v>22</v>
      </c>
      <c r="H21" s="414">
        <v>29</v>
      </c>
      <c r="I21" s="414">
        <v>35</v>
      </c>
      <c r="J21" s="414">
        <v>33</v>
      </c>
      <c r="K21" s="414">
        <v>25</v>
      </c>
      <c r="L21" s="414">
        <v>32</v>
      </c>
      <c r="M21" s="415">
        <v>4</v>
      </c>
      <c r="N21" s="415"/>
      <c r="O21" s="415"/>
      <c r="P21" s="415"/>
      <c r="Q21" s="415"/>
      <c r="R21" s="320">
        <f>SUM(F21:Q21)</f>
        <v>206</v>
      </c>
      <c r="S21" s="321">
        <f>AVERAGE(F21:Q21)</f>
        <v>25.75</v>
      </c>
      <c r="T21" s="325">
        <f>U21/S21</f>
        <v>0</v>
      </c>
      <c r="U21" s="33">
        <f>SUM(E21-R21)</f>
        <v>0</v>
      </c>
    </row>
    <row r="22" spans="1:21" x14ac:dyDescent="0.2">
      <c r="A22" s="294"/>
      <c r="B22" s="294"/>
      <c r="C22" s="294"/>
      <c r="D22" s="294"/>
      <c r="E22" s="294"/>
      <c r="F22" s="294"/>
      <c r="G22" s="294"/>
      <c r="H22" s="294"/>
      <c r="I22" s="294"/>
      <c r="J22" s="294"/>
      <c r="K22" s="294"/>
      <c r="L22" s="294"/>
      <c r="M22" s="294"/>
      <c r="N22" s="294"/>
      <c r="O22" s="426"/>
      <c r="P22" s="426"/>
      <c r="Q22" s="294"/>
      <c r="R22" s="294"/>
      <c r="S22" s="294"/>
      <c r="T22" s="294"/>
      <c r="U22" s="294"/>
    </row>
    <row r="23" spans="1:21" x14ac:dyDescent="0.2">
      <c r="A23" s="241">
        <v>11198</v>
      </c>
      <c r="B23" s="74">
        <v>2013</v>
      </c>
      <c r="C23" s="241" t="s">
        <v>46</v>
      </c>
      <c r="D23" s="343">
        <v>30</v>
      </c>
      <c r="E23" s="412">
        <v>48</v>
      </c>
      <c r="F23" s="414">
        <v>24</v>
      </c>
      <c r="G23" s="414">
        <v>24</v>
      </c>
      <c r="H23" s="415"/>
      <c r="I23" s="415"/>
      <c r="J23" s="415"/>
      <c r="K23" s="415"/>
      <c r="L23" s="415"/>
      <c r="M23" s="415"/>
      <c r="N23" s="415"/>
      <c r="O23" s="415"/>
      <c r="P23" s="415"/>
      <c r="Q23" s="415"/>
      <c r="R23" s="320">
        <f t="shared" ref="R23:R30" si="4">SUM(F23:Q23)</f>
        <v>48</v>
      </c>
      <c r="S23" s="321">
        <f t="shared" ref="S23:S30" si="5">AVERAGE(F23:Q23)</f>
        <v>24</v>
      </c>
      <c r="T23" s="325">
        <f t="shared" ref="T23:T30" si="6">U23/S23</f>
        <v>0</v>
      </c>
      <c r="U23" s="33">
        <f t="shared" ref="U23:U30" si="7">SUM(E23-R23)</f>
        <v>0</v>
      </c>
    </row>
    <row r="24" spans="1:21" x14ac:dyDescent="0.2">
      <c r="A24" s="241">
        <v>57631</v>
      </c>
      <c r="B24" s="74">
        <v>2013</v>
      </c>
      <c r="C24" s="241" t="s">
        <v>33</v>
      </c>
      <c r="D24" s="343">
        <v>35</v>
      </c>
      <c r="E24" s="412">
        <v>9</v>
      </c>
      <c r="F24" s="414">
        <v>9</v>
      </c>
      <c r="G24" s="415"/>
      <c r="H24" s="415"/>
      <c r="I24" s="415"/>
      <c r="J24" s="415"/>
      <c r="K24" s="415"/>
      <c r="L24" s="415"/>
      <c r="M24" s="415"/>
      <c r="N24" s="415"/>
      <c r="O24" s="415"/>
      <c r="P24" s="415"/>
      <c r="Q24" s="415"/>
      <c r="R24" s="320">
        <f t="shared" si="4"/>
        <v>9</v>
      </c>
      <c r="S24" s="321">
        <f t="shared" si="5"/>
        <v>9</v>
      </c>
      <c r="T24" s="325">
        <f t="shared" si="6"/>
        <v>0</v>
      </c>
      <c r="U24" s="33">
        <f t="shared" si="7"/>
        <v>0</v>
      </c>
    </row>
    <row r="25" spans="1:21" x14ac:dyDescent="0.2">
      <c r="A25" s="241">
        <v>57632</v>
      </c>
      <c r="B25" s="74">
        <v>2013</v>
      </c>
      <c r="C25" s="241" t="s">
        <v>31</v>
      </c>
      <c r="D25" s="343">
        <v>45</v>
      </c>
      <c r="E25" s="412">
        <v>423</v>
      </c>
      <c r="F25" s="414">
        <v>36</v>
      </c>
      <c r="G25" s="414">
        <v>22</v>
      </c>
      <c r="H25" s="414">
        <v>0</v>
      </c>
      <c r="I25" s="414">
        <v>10</v>
      </c>
      <c r="J25" s="414">
        <v>55</v>
      </c>
      <c r="K25" s="414">
        <v>39</v>
      </c>
      <c r="L25" s="414">
        <v>49</v>
      </c>
      <c r="M25" s="414">
        <v>34</v>
      </c>
      <c r="N25" s="414">
        <v>42</v>
      </c>
      <c r="O25" s="414">
        <v>49</v>
      </c>
      <c r="P25" s="414">
        <v>36</v>
      </c>
      <c r="Q25" s="414">
        <v>29</v>
      </c>
      <c r="R25" s="320">
        <f t="shared" si="4"/>
        <v>401</v>
      </c>
      <c r="S25" s="321">
        <f t="shared" si="5"/>
        <v>33.416666666666664</v>
      </c>
      <c r="T25" s="325">
        <f t="shared" si="6"/>
        <v>0.65835411471321703</v>
      </c>
      <c r="U25" s="33">
        <f t="shared" si="7"/>
        <v>22</v>
      </c>
    </row>
    <row r="26" spans="1:21" x14ac:dyDescent="0.2">
      <c r="A26" s="241">
        <v>57630</v>
      </c>
      <c r="B26" s="74">
        <v>2013</v>
      </c>
      <c r="C26" s="241" t="s">
        <v>25</v>
      </c>
      <c r="D26" s="343">
        <v>45</v>
      </c>
      <c r="E26" s="412">
        <v>556</v>
      </c>
      <c r="F26" s="417">
        <v>1</v>
      </c>
      <c r="G26" s="417">
        <v>10</v>
      </c>
      <c r="H26" s="417">
        <v>5</v>
      </c>
      <c r="I26" s="417">
        <v>11</v>
      </c>
      <c r="J26" s="417">
        <v>5</v>
      </c>
      <c r="K26" s="417">
        <v>7</v>
      </c>
      <c r="L26" s="417">
        <v>3</v>
      </c>
      <c r="M26" s="417">
        <v>4</v>
      </c>
      <c r="N26" s="417">
        <v>3</v>
      </c>
      <c r="O26" s="414">
        <v>29</v>
      </c>
      <c r="P26" s="414">
        <v>39</v>
      </c>
      <c r="Q26" s="411">
        <v>37</v>
      </c>
      <c r="R26" s="320">
        <f t="shared" si="4"/>
        <v>154</v>
      </c>
      <c r="S26" s="321">
        <f t="shared" si="5"/>
        <v>12.833333333333334</v>
      </c>
      <c r="T26" s="325">
        <f t="shared" si="6"/>
        <v>31.324675324675322</v>
      </c>
      <c r="U26" s="33">
        <f t="shared" si="7"/>
        <v>402</v>
      </c>
    </row>
    <row r="27" spans="1:21" x14ac:dyDescent="0.2">
      <c r="A27" s="241">
        <v>22382</v>
      </c>
      <c r="B27" s="74">
        <v>2013</v>
      </c>
      <c r="C27" s="241" t="s">
        <v>23</v>
      </c>
      <c r="D27" s="343">
        <v>29</v>
      </c>
      <c r="E27" s="412">
        <v>303</v>
      </c>
      <c r="F27" s="417">
        <v>1</v>
      </c>
      <c r="G27" s="417">
        <v>1</v>
      </c>
      <c r="H27" s="417">
        <v>21</v>
      </c>
      <c r="I27" s="417">
        <v>0</v>
      </c>
      <c r="J27" s="417">
        <v>1</v>
      </c>
      <c r="K27" s="417">
        <v>4</v>
      </c>
      <c r="L27" s="417">
        <v>20</v>
      </c>
      <c r="M27" s="417">
        <v>2</v>
      </c>
      <c r="N27" s="417">
        <v>5</v>
      </c>
      <c r="O27" s="417">
        <v>16</v>
      </c>
      <c r="P27" s="417">
        <v>12</v>
      </c>
      <c r="Q27" s="427">
        <v>33</v>
      </c>
      <c r="R27" s="320">
        <f t="shared" si="4"/>
        <v>116</v>
      </c>
      <c r="S27" s="321">
        <f t="shared" si="5"/>
        <v>9.6666666666666661</v>
      </c>
      <c r="T27" s="325">
        <f t="shared" si="6"/>
        <v>19.344827586206897</v>
      </c>
      <c r="U27" s="33">
        <f t="shared" si="7"/>
        <v>187</v>
      </c>
    </row>
    <row r="28" spans="1:21" x14ac:dyDescent="0.2">
      <c r="A28" s="241">
        <v>84802</v>
      </c>
      <c r="B28" s="74">
        <v>2013</v>
      </c>
      <c r="C28" s="241" t="s">
        <v>93</v>
      </c>
      <c r="D28" s="343">
        <v>18</v>
      </c>
      <c r="E28" s="412">
        <v>202</v>
      </c>
      <c r="F28" s="417">
        <v>21</v>
      </c>
      <c r="G28" s="417">
        <v>8</v>
      </c>
      <c r="H28" s="417">
        <v>11</v>
      </c>
      <c r="I28" s="417">
        <v>6</v>
      </c>
      <c r="J28" s="417">
        <v>8</v>
      </c>
      <c r="K28" s="417">
        <v>6</v>
      </c>
      <c r="L28" s="417">
        <v>8</v>
      </c>
      <c r="M28" s="417">
        <v>5</v>
      </c>
      <c r="N28" s="417">
        <v>8</v>
      </c>
      <c r="O28" s="417">
        <v>15</v>
      </c>
      <c r="P28" s="417">
        <v>9</v>
      </c>
      <c r="Q28" s="427">
        <v>20</v>
      </c>
      <c r="R28" s="320">
        <f t="shared" si="4"/>
        <v>125</v>
      </c>
      <c r="S28" s="321">
        <f t="shared" si="5"/>
        <v>10.416666666666666</v>
      </c>
      <c r="T28" s="325">
        <f t="shared" si="6"/>
        <v>7.3920000000000003</v>
      </c>
      <c r="U28" s="33">
        <f t="shared" si="7"/>
        <v>77</v>
      </c>
    </row>
    <row r="29" spans="1:21" x14ac:dyDescent="0.2">
      <c r="A29" s="241">
        <v>22384</v>
      </c>
      <c r="B29" s="74">
        <v>2013</v>
      </c>
      <c r="C29" s="241" t="s">
        <v>26</v>
      </c>
      <c r="D29" s="343">
        <v>36</v>
      </c>
      <c r="E29" s="412">
        <v>256</v>
      </c>
      <c r="F29" s="417">
        <v>1</v>
      </c>
      <c r="G29" s="417">
        <v>0</v>
      </c>
      <c r="H29" s="417">
        <v>0</v>
      </c>
      <c r="I29" s="417">
        <v>0</v>
      </c>
      <c r="J29" s="417">
        <v>0</v>
      </c>
      <c r="K29" s="417">
        <v>0</v>
      </c>
      <c r="L29" s="417">
        <v>2</v>
      </c>
      <c r="M29" s="417">
        <v>2</v>
      </c>
      <c r="N29" s="417">
        <v>1</v>
      </c>
      <c r="O29" s="417"/>
      <c r="P29" s="417">
        <v>1</v>
      </c>
      <c r="Q29" s="417">
        <v>4</v>
      </c>
      <c r="R29" s="320">
        <f t="shared" si="4"/>
        <v>11</v>
      </c>
      <c r="S29" s="321">
        <f t="shared" si="5"/>
        <v>1</v>
      </c>
      <c r="T29" s="325">
        <f t="shared" si="6"/>
        <v>245</v>
      </c>
      <c r="U29" s="33">
        <f t="shared" si="7"/>
        <v>245</v>
      </c>
    </row>
    <row r="30" spans="1:21" x14ac:dyDescent="0.2">
      <c r="A30" s="241">
        <v>27736</v>
      </c>
      <c r="B30" s="74">
        <v>2013</v>
      </c>
      <c r="C30" s="241" t="s">
        <v>70</v>
      </c>
      <c r="D30" s="343">
        <v>22</v>
      </c>
      <c r="E30" s="412">
        <v>351</v>
      </c>
      <c r="F30" s="417">
        <v>8</v>
      </c>
      <c r="G30" s="417">
        <v>2</v>
      </c>
      <c r="H30" s="417">
        <v>6</v>
      </c>
      <c r="I30" s="417">
        <v>7</v>
      </c>
      <c r="J30" s="417">
        <v>1</v>
      </c>
      <c r="K30" s="417">
        <v>7</v>
      </c>
      <c r="L30" s="417">
        <v>14</v>
      </c>
      <c r="M30" s="417">
        <v>6</v>
      </c>
      <c r="N30" s="417">
        <v>9</v>
      </c>
      <c r="O30" s="417">
        <v>23</v>
      </c>
      <c r="P30" s="417">
        <v>18</v>
      </c>
      <c r="Q30" s="417">
        <v>20</v>
      </c>
      <c r="R30" s="320">
        <f t="shared" si="4"/>
        <v>121</v>
      </c>
      <c r="S30" s="321">
        <f t="shared" si="5"/>
        <v>10.083333333333334</v>
      </c>
      <c r="T30" s="325">
        <f t="shared" si="6"/>
        <v>22.809917355371901</v>
      </c>
      <c r="U30" s="33">
        <f t="shared" si="7"/>
        <v>230</v>
      </c>
    </row>
    <row r="31" spans="1:21" x14ac:dyDescent="0.2">
      <c r="A31" s="241">
        <v>28361</v>
      </c>
      <c r="B31" s="74">
        <v>2013</v>
      </c>
      <c r="C31" s="241" t="s">
        <v>24</v>
      </c>
      <c r="D31" s="428">
        <v>22</v>
      </c>
      <c r="E31" s="412">
        <v>281</v>
      </c>
      <c r="F31" s="417">
        <v>1</v>
      </c>
      <c r="G31" s="417">
        <v>0</v>
      </c>
      <c r="H31" s="417">
        <v>2</v>
      </c>
      <c r="I31" s="417">
        <v>0</v>
      </c>
      <c r="J31" s="417">
        <v>2</v>
      </c>
      <c r="K31" s="417">
        <v>0</v>
      </c>
      <c r="L31" s="417">
        <v>4</v>
      </c>
      <c r="M31" s="417">
        <v>3</v>
      </c>
      <c r="N31" s="417">
        <v>1</v>
      </c>
      <c r="O31" s="417"/>
      <c r="P31" s="417">
        <v>0</v>
      </c>
      <c r="Q31" s="417">
        <v>11</v>
      </c>
      <c r="R31" s="320">
        <f>SUM(F31:Q31)</f>
        <v>24</v>
      </c>
      <c r="S31" s="321">
        <f>AVERAGE(F31:Q31)</f>
        <v>2.1818181818181817</v>
      </c>
      <c r="T31" s="325">
        <f>U31/S31</f>
        <v>117.79166666666667</v>
      </c>
      <c r="U31" s="33">
        <f>SUM(E31-R31)</f>
        <v>257</v>
      </c>
    </row>
    <row r="32" spans="1:21" x14ac:dyDescent="0.2">
      <c r="A32" s="241">
        <v>22921</v>
      </c>
      <c r="B32" s="74">
        <v>2013</v>
      </c>
      <c r="C32" s="241" t="s">
        <v>22</v>
      </c>
      <c r="D32" s="428">
        <v>50</v>
      </c>
      <c r="E32" s="412">
        <v>716</v>
      </c>
      <c r="F32" s="417">
        <v>20</v>
      </c>
      <c r="G32" s="417">
        <v>4</v>
      </c>
      <c r="H32" s="417">
        <v>1</v>
      </c>
      <c r="I32" s="417">
        <v>4</v>
      </c>
      <c r="J32" s="417">
        <v>2</v>
      </c>
      <c r="K32" s="417">
        <v>3</v>
      </c>
      <c r="L32" s="417">
        <v>16</v>
      </c>
      <c r="M32" s="417">
        <v>5</v>
      </c>
      <c r="N32" s="417">
        <v>1</v>
      </c>
      <c r="O32" s="417">
        <v>67</v>
      </c>
      <c r="P32" s="90">
        <v>59</v>
      </c>
      <c r="Q32" s="411">
        <v>57</v>
      </c>
      <c r="R32" s="320">
        <f>SUM(F32:Q32)</f>
        <v>239</v>
      </c>
      <c r="S32" s="321">
        <f>AVERAGE(F32:Q32)</f>
        <v>19.916666666666668</v>
      </c>
      <c r="T32" s="325">
        <f>U32/S32</f>
        <v>23.949790794979076</v>
      </c>
      <c r="U32" s="33">
        <f>SUM(E32-R32)</f>
        <v>477</v>
      </c>
    </row>
    <row r="33" spans="1:22" x14ac:dyDescent="0.2">
      <c r="A33" s="241">
        <v>34641</v>
      </c>
      <c r="B33" s="74">
        <v>2013</v>
      </c>
      <c r="C33" s="241" t="s">
        <v>66</v>
      </c>
      <c r="D33" s="428">
        <v>31</v>
      </c>
      <c r="E33" s="412">
        <v>426</v>
      </c>
      <c r="F33" s="417">
        <v>1</v>
      </c>
      <c r="G33" s="417">
        <v>2</v>
      </c>
      <c r="H33" s="417">
        <v>2</v>
      </c>
      <c r="I33" s="417">
        <v>2</v>
      </c>
      <c r="J33" s="417">
        <v>2</v>
      </c>
      <c r="K33" s="417">
        <v>3</v>
      </c>
      <c r="L33" s="417">
        <v>8</v>
      </c>
      <c r="M33" s="411">
        <v>25</v>
      </c>
      <c r="N33" s="411">
        <v>25</v>
      </c>
      <c r="O33" s="411">
        <v>37</v>
      </c>
      <c r="P33" s="411">
        <v>25</v>
      </c>
      <c r="Q33" s="411">
        <v>23</v>
      </c>
      <c r="R33" s="320">
        <f>SUM(F33:Q33)</f>
        <v>155</v>
      </c>
      <c r="S33" s="321">
        <f>AVERAGE(F33:Q33)</f>
        <v>12.916666666666666</v>
      </c>
      <c r="T33" s="325">
        <f>U33/S33</f>
        <v>20.980645161290322</v>
      </c>
      <c r="U33" s="33">
        <f>SUM(E33-R33)</f>
        <v>271</v>
      </c>
    </row>
    <row r="34" spans="1:22" x14ac:dyDescent="0.2">
      <c r="A34" s="241">
        <v>86051</v>
      </c>
      <c r="B34" s="74">
        <v>2013</v>
      </c>
      <c r="C34" s="241" t="s">
        <v>94</v>
      </c>
      <c r="D34" s="428" t="s">
        <v>35</v>
      </c>
      <c r="E34" s="412">
        <v>133</v>
      </c>
      <c r="F34" s="411">
        <v>6</v>
      </c>
      <c r="G34" s="411">
        <v>10</v>
      </c>
      <c r="H34" s="411">
        <v>9</v>
      </c>
      <c r="I34" s="411">
        <v>13</v>
      </c>
      <c r="J34" s="411">
        <v>13</v>
      </c>
      <c r="K34" s="411">
        <v>18</v>
      </c>
      <c r="L34" s="411">
        <v>19</v>
      </c>
      <c r="M34" s="411">
        <v>16</v>
      </c>
      <c r="N34" s="411">
        <v>16</v>
      </c>
      <c r="O34" s="411">
        <v>7</v>
      </c>
      <c r="P34" s="411">
        <v>6</v>
      </c>
      <c r="Q34" s="415"/>
      <c r="R34" s="320">
        <f>SUM(F34:Q34)</f>
        <v>133</v>
      </c>
      <c r="S34" s="321">
        <f>AVERAGE(F34:Q34)</f>
        <v>12.090909090909092</v>
      </c>
      <c r="T34" s="325">
        <f>U34/S34</f>
        <v>0</v>
      </c>
      <c r="U34" s="33">
        <f>SUM(E34-R34)</f>
        <v>0</v>
      </c>
    </row>
    <row r="35" spans="1:22" x14ac:dyDescent="0.2">
      <c r="A35" s="241">
        <v>84251</v>
      </c>
      <c r="B35" s="74">
        <v>2013</v>
      </c>
      <c r="C35" s="241" t="s">
        <v>95</v>
      </c>
      <c r="D35" s="428" t="s">
        <v>35</v>
      </c>
      <c r="E35" s="412">
        <v>68</v>
      </c>
      <c r="F35" s="411">
        <v>11</v>
      </c>
      <c r="G35" s="411">
        <v>5</v>
      </c>
      <c r="H35" s="411">
        <v>2</v>
      </c>
      <c r="I35" s="411">
        <v>4</v>
      </c>
      <c r="J35" s="411">
        <v>2</v>
      </c>
      <c r="K35" s="411">
        <v>7</v>
      </c>
      <c r="L35" s="411">
        <v>7</v>
      </c>
      <c r="M35" s="411">
        <v>5</v>
      </c>
      <c r="N35" s="411">
        <v>4</v>
      </c>
      <c r="O35" s="411">
        <v>11</v>
      </c>
      <c r="P35" s="411">
        <v>6</v>
      </c>
      <c r="Q35" s="415"/>
      <c r="R35" s="320">
        <f>SUM(F35:Q35)</f>
        <v>64</v>
      </c>
      <c r="S35" s="321">
        <f>AVERAGE(F35:Q35)</f>
        <v>5.8181818181818183</v>
      </c>
      <c r="T35" s="325">
        <f>U35/S35</f>
        <v>0.6875</v>
      </c>
      <c r="U35" s="33">
        <f>SUM(E35-R35)</f>
        <v>4</v>
      </c>
    </row>
    <row r="36" spans="1:22" x14ac:dyDescent="0.2">
      <c r="A36" s="294"/>
      <c r="B36" s="75"/>
      <c r="C36" s="345"/>
      <c r="D36" s="346"/>
      <c r="E36" s="413"/>
      <c r="F36" s="413"/>
      <c r="G36" s="413"/>
      <c r="H36" s="413"/>
      <c r="I36" s="413"/>
      <c r="J36" s="413"/>
      <c r="K36" s="413"/>
      <c r="L36" s="413"/>
      <c r="M36" s="413"/>
      <c r="N36" s="413"/>
      <c r="O36" s="413"/>
      <c r="P36" s="413"/>
      <c r="Q36" s="413"/>
      <c r="R36" s="345"/>
      <c r="S36" s="346"/>
      <c r="T36" s="403"/>
      <c r="U36" s="35"/>
    </row>
    <row r="37" spans="1:22" x14ac:dyDescent="0.2">
      <c r="A37" s="241">
        <v>11198</v>
      </c>
      <c r="B37" s="490">
        <v>2014</v>
      </c>
      <c r="C37" s="241" t="s">
        <v>46</v>
      </c>
      <c r="D37" s="343"/>
      <c r="E37" s="412">
        <v>336</v>
      </c>
      <c r="F37" s="417"/>
      <c r="G37" s="417"/>
      <c r="H37" s="417" t="s">
        <v>35</v>
      </c>
      <c r="I37" s="411">
        <v>27</v>
      </c>
      <c r="J37" s="411">
        <v>41</v>
      </c>
      <c r="K37" s="411">
        <v>31</v>
      </c>
      <c r="L37" s="411">
        <v>38</v>
      </c>
      <c r="M37" s="411">
        <v>28</v>
      </c>
      <c r="N37" s="411">
        <v>31</v>
      </c>
      <c r="O37" s="98">
        <v>54</v>
      </c>
      <c r="P37" s="411">
        <v>27</v>
      </c>
      <c r="Q37" s="415"/>
      <c r="R37" s="320">
        <f>SUM(F37:Q37)</f>
        <v>277</v>
      </c>
      <c r="S37" s="321">
        <f>AVERAGE(F37:Q37)</f>
        <v>34.625</v>
      </c>
      <c r="T37" s="325">
        <f t="shared" ref="T37:T47" si="8">U37/S37</f>
        <v>1.703971119133574</v>
      </c>
      <c r="U37" s="33">
        <f t="shared" ref="U37:U47" si="9">SUM(E37-R37)</f>
        <v>59</v>
      </c>
    </row>
    <row r="38" spans="1:22" x14ac:dyDescent="0.2">
      <c r="A38" s="241">
        <v>57631</v>
      </c>
      <c r="B38" s="490">
        <v>2014</v>
      </c>
      <c r="C38" s="342" t="s">
        <v>98</v>
      </c>
      <c r="D38" s="343"/>
      <c r="E38" s="412">
        <v>113</v>
      </c>
      <c r="F38" s="417"/>
      <c r="G38" s="417"/>
      <c r="H38" s="417"/>
      <c r="I38" s="411">
        <v>36</v>
      </c>
      <c r="J38" s="411">
        <v>12</v>
      </c>
      <c r="K38" s="411">
        <v>13</v>
      </c>
      <c r="L38" s="411">
        <v>23</v>
      </c>
      <c r="M38" s="411">
        <v>6</v>
      </c>
      <c r="N38" s="411">
        <v>10</v>
      </c>
      <c r="O38" s="411">
        <v>11</v>
      </c>
      <c r="P38" s="411">
        <v>2</v>
      </c>
      <c r="Q38" s="415"/>
      <c r="R38" s="320">
        <f t="shared" ref="R38:R47" si="10">SUM(F38:Q38)</f>
        <v>113</v>
      </c>
      <c r="S38" s="321">
        <f t="shared" ref="S38:S47" si="11">AVERAGE(F38:Q38)</f>
        <v>14.125</v>
      </c>
      <c r="T38" s="325">
        <f t="shared" si="8"/>
        <v>0</v>
      </c>
      <c r="U38" s="33">
        <f t="shared" si="9"/>
        <v>0</v>
      </c>
    </row>
    <row r="39" spans="1:22" x14ac:dyDescent="0.2">
      <c r="A39" s="241">
        <v>57631</v>
      </c>
      <c r="B39" s="490">
        <v>2014</v>
      </c>
      <c r="C39" s="241" t="s">
        <v>33</v>
      </c>
      <c r="D39" s="343"/>
      <c r="E39" s="412">
        <v>268</v>
      </c>
      <c r="F39" s="417"/>
      <c r="G39" s="417"/>
      <c r="H39" s="417"/>
      <c r="I39" s="411">
        <v>44</v>
      </c>
      <c r="J39" s="411">
        <v>46</v>
      </c>
      <c r="K39" s="411">
        <v>41</v>
      </c>
      <c r="L39" s="411">
        <v>47</v>
      </c>
      <c r="M39" s="411">
        <v>42</v>
      </c>
      <c r="N39" s="411">
        <v>43</v>
      </c>
      <c r="O39" s="411">
        <v>5</v>
      </c>
      <c r="P39" s="415"/>
      <c r="Q39" s="415"/>
      <c r="R39" s="320">
        <f t="shared" si="10"/>
        <v>268</v>
      </c>
      <c r="S39" s="321">
        <f t="shared" si="11"/>
        <v>38.285714285714285</v>
      </c>
      <c r="T39" s="325">
        <f t="shared" si="8"/>
        <v>0</v>
      </c>
      <c r="U39" s="33">
        <f t="shared" si="9"/>
        <v>0</v>
      </c>
    </row>
    <row r="40" spans="1:22" x14ac:dyDescent="0.2">
      <c r="A40" s="241">
        <v>57632</v>
      </c>
      <c r="B40" s="490">
        <v>2014</v>
      </c>
      <c r="C40" s="241" t="s">
        <v>31</v>
      </c>
      <c r="D40" s="343"/>
      <c r="E40" s="412">
        <v>504</v>
      </c>
      <c r="F40" s="417"/>
      <c r="G40" s="417"/>
      <c r="H40" s="417"/>
      <c r="I40" s="417"/>
      <c r="J40" s="417"/>
      <c r="K40" s="417">
        <v>0</v>
      </c>
      <c r="L40" s="417">
        <v>21</v>
      </c>
      <c r="M40" s="417">
        <v>7</v>
      </c>
      <c r="N40" s="417">
        <v>8</v>
      </c>
      <c r="O40" s="417">
        <v>8</v>
      </c>
      <c r="P40" s="417">
        <v>7</v>
      </c>
      <c r="Q40" s="411">
        <v>12</v>
      </c>
      <c r="R40" s="320">
        <f t="shared" si="10"/>
        <v>63</v>
      </c>
      <c r="S40" s="321">
        <f t="shared" si="11"/>
        <v>9</v>
      </c>
      <c r="T40" s="325">
        <f t="shared" si="8"/>
        <v>49</v>
      </c>
      <c r="U40" s="33">
        <f t="shared" si="9"/>
        <v>441</v>
      </c>
      <c r="V40" t="s">
        <v>35</v>
      </c>
    </row>
    <row r="41" spans="1:22" x14ac:dyDescent="0.2">
      <c r="A41" s="241">
        <v>57630</v>
      </c>
      <c r="B41" s="490">
        <v>2014</v>
      </c>
      <c r="C41" s="241" t="s">
        <v>25</v>
      </c>
      <c r="D41" s="343"/>
      <c r="E41" s="412">
        <v>536</v>
      </c>
      <c r="F41" s="417"/>
      <c r="G41" s="417"/>
      <c r="H41" s="417"/>
      <c r="I41" s="417"/>
      <c r="J41" s="417"/>
      <c r="K41" s="417"/>
      <c r="L41" s="417">
        <v>10</v>
      </c>
      <c r="M41" s="417">
        <v>5</v>
      </c>
      <c r="N41" s="417">
        <v>0</v>
      </c>
      <c r="O41" s="417">
        <v>26</v>
      </c>
      <c r="P41" s="417">
        <v>13</v>
      </c>
      <c r="Q41" s="417">
        <v>14</v>
      </c>
      <c r="R41" s="320">
        <f t="shared" si="10"/>
        <v>68</v>
      </c>
      <c r="S41" s="321">
        <f t="shared" si="11"/>
        <v>11.333333333333334</v>
      </c>
      <c r="T41" s="325">
        <f t="shared" si="8"/>
        <v>41.294117647058819</v>
      </c>
      <c r="U41" s="33">
        <f t="shared" si="9"/>
        <v>468</v>
      </c>
    </row>
    <row r="42" spans="1:22" x14ac:dyDescent="0.2">
      <c r="A42" s="241">
        <v>22382</v>
      </c>
      <c r="B42" s="490">
        <v>2014</v>
      </c>
      <c r="C42" s="241" t="s">
        <v>23</v>
      </c>
      <c r="D42" s="343"/>
      <c r="E42" s="412">
        <v>356</v>
      </c>
      <c r="F42" s="417"/>
      <c r="G42" s="417"/>
      <c r="H42" s="417"/>
      <c r="I42" s="417"/>
      <c r="J42" s="417"/>
      <c r="K42" s="417"/>
      <c r="L42" s="417">
        <v>12</v>
      </c>
      <c r="M42" s="417">
        <v>8</v>
      </c>
      <c r="N42" s="417">
        <v>10</v>
      </c>
      <c r="O42" s="417">
        <v>8</v>
      </c>
      <c r="P42" s="417">
        <v>1</v>
      </c>
      <c r="Q42" s="417">
        <v>11</v>
      </c>
      <c r="R42" s="320">
        <f t="shared" si="10"/>
        <v>50</v>
      </c>
      <c r="S42" s="321">
        <f t="shared" si="11"/>
        <v>8.3333333333333339</v>
      </c>
      <c r="T42" s="325">
        <f t="shared" si="8"/>
        <v>36.72</v>
      </c>
      <c r="U42" s="33">
        <f t="shared" si="9"/>
        <v>306</v>
      </c>
    </row>
    <row r="43" spans="1:22" x14ac:dyDescent="0.2">
      <c r="A43" s="241">
        <v>84802</v>
      </c>
      <c r="B43" s="490">
        <v>2014</v>
      </c>
      <c r="C43" s="241" t="s">
        <v>93</v>
      </c>
      <c r="D43" s="343"/>
      <c r="E43" s="412">
        <v>273</v>
      </c>
      <c r="F43" s="417"/>
      <c r="G43" s="417"/>
      <c r="H43" s="417"/>
      <c r="I43" s="417"/>
      <c r="J43" s="417"/>
      <c r="K43" s="417"/>
      <c r="L43" s="417"/>
      <c r="M43" s="417"/>
      <c r="N43" s="417"/>
      <c r="O43" s="417"/>
      <c r="P43" s="417"/>
      <c r="Q43" s="417">
        <v>2</v>
      </c>
      <c r="R43" s="320">
        <f t="shared" si="10"/>
        <v>2</v>
      </c>
      <c r="S43" s="321">
        <f t="shared" si="11"/>
        <v>2</v>
      </c>
      <c r="T43" s="325">
        <f t="shared" si="8"/>
        <v>135.5</v>
      </c>
      <c r="U43" s="33">
        <f t="shared" si="9"/>
        <v>271</v>
      </c>
    </row>
    <row r="44" spans="1:22" x14ac:dyDescent="0.2">
      <c r="A44" s="241">
        <v>22384</v>
      </c>
      <c r="B44" s="490">
        <v>2014</v>
      </c>
      <c r="C44" s="241" t="s">
        <v>26</v>
      </c>
      <c r="D44" s="343"/>
      <c r="E44" s="412">
        <v>247</v>
      </c>
      <c r="F44" s="417"/>
      <c r="G44" s="417"/>
      <c r="H44" s="417"/>
      <c r="I44" s="417"/>
      <c r="J44" s="417"/>
      <c r="K44" s="417"/>
      <c r="L44" s="417">
        <v>0</v>
      </c>
      <c r="M44" s="417">
        <v>0</v>
      </c>
      <c r="N44" s="417">
        <v>10</v>
      </c>
      <c r="O44" s="417">
        <v>7</v>
      </c>
      <c r="P44" s="417">
        <v>6</v>
      </c>
      <c r="Q44" s="417">
        <v>6</v>
      </c>
      <c r="R44" s="320">
        <f t="shared" si="10"/>
        <v>29</v>
      </c>
      <c r="S44" s="321">
        <f t="shared" si="11"/>
        <v>4.833333333333333</v>
      </c>
      <c r="T44" s="325">
        <f t="shared" si="8"/>
        <v>45.103448275862071</v>
      </c>
      <c r="U44" s="33">
        <f t="shared" si="9"/>
        <v>218</v>
      </c>
    </row>
    <row r="45" spans="1:22" x14ac:dyDescent="0.2">
      <c r="A45" s="241">
        <v>27736</v>
      </c>
      <c r="B45" s="490">
        <v>2014</v>
      </c>
      <c r="C45" s="241" t="s">
        <v>70</v>
      </c>
      <c r="D45" s="343"/>
      <c r="E45" s="412">
        <v>476</v>
      </c>
      <c r="F45" s="417"/>
      <c r="G45" s="417"/>
      <c r="H45" s="417"/>
      <c r="I45" s="417"/>
      <c r="J45" s="417"/>
      <c r="K45" s="417"/>
      <c r="L45" s="417">
        <v>10</v>
      </c>
      <c r="M45" s="417">
        <v>6</v>
      </c>
      <c r="N45" s="417">
        <v>13</v>
      </c>
      <c r="O45" s="417">
        <v>6</v>
      </c>
      <c r="P45" s="417">
        <v>6</v>
      </c>
      <c r="Q45" s="417">
        <v>11</v>
      </c>
      <c r="R45" s="320">
        <f t="shared" si="10"/>
        <v>52</v>
      </c>
      <c r="S45" s="321">
        <f t="shared" si="11"/>
        <v>8.6666666666666661</v>
      </c>
      <c r="T45" s="325">
        <f t="shared" si="8"/>
        <v>48.923076923076927</v>
      </c>
      <c r="U45" s="33">
        <f t="shared" si="9"/>
        <v>424</v>
      </c>
    </row>
    <row r="46" spans="1:22" x14ac:dyDescent="0.2">
      <c r="A46" s="241">
        <v>28361</v>
      </c>
      <c r="B46" s="490">
        <v>2014</v>
      </c>
      <c r="C46" s="241" t="s">
        <v>24</v>
      </c>
      <c r="D46" s="343"/>
      <c r="E46" s="412">
        <v>141</v>
      </c>
      <c r="F46" s="417"/>
      <c r="G46" s="417"/>
      <c r="H46" s="417"/>
      <c r="I46" s="417"/>
      <c r="J46" s="417"/>
      <c r="K46" s="417"/>
      <c r="L46" s="417"/>
      <c r="M46" s="417"/>
      <c r="N46" s="417"/>
      <c r="O46" s="417"/>
      <c r="P46" s="417"/>
      <c r="Q46" s="417">
        <v>1</v>
      </c>
      <c r="R46" s="320">
        <f t="shared" si="10"/>
        <v>1</v>
      </c>
      <c r="S46" s="321">
        <f t="shared" si="11"/>
        <v>1</v>
      </c>
      <c r="T46" s="325">
        <f t="shared" si="8"/>
        <v>140</v>
      </c>
      <c r="U46" s="33">
        <f t="shared" si="9"/>
        <v>140</v>
      </c>
    </row>
    <row r="47" spans="1:22" x14ac:dyDescent="0.2">
      <c r="A47" s="241">
        <v>22921</v>
      </c>
      <c r="B47" s="490">
        <v>2014</v>
      </c>
      <c r="C47" s="241" t="s">
        <v>22</v>
      </c>
      <c r="D47" s="343"/>
      <c r="E47" s="412">
        <v>676</v>
      </c>
      <c r="F47" s="417"/>
      <c r="G47" s="417"/>
      <c r="H47" s="417"/>
      <c r="I47" s="417"/>
      <c r="J47" s="417"/>
      <c r="K47" s="417"/>
      <c r="L47" s="417"/>
      <c r="M47" s="417"/>
      <c r="N47" s="417"/>
      <c r="O47" s="417"/>
      <c r="P47" s="417"/>
      <c r="Q47" s="417">
        <v>1</v>
      </c>
      <c r="R47" s="320">
        <f t="shared" si="10"/>
        <v>1</v>
      </c>
      <c r="S47" s="321">
        <f t="shared" si="11"/>
        <v>1</v>
      </c>
      <c r="T47" s="325">
        <f t="shared" si="8"/>
        <v>675</v>
      </c>
      <c r="U47" s="33">
        <f t="shared" si="9"/>
        <v>675</v>
      </c>
    </row>
    <row r="48" spans="1:22" x14ac:dyDescent="0.2">
      <c r="A48" s="364">
        <v>34641</v>
      </c>
      <c r="B48" s="490">
        <v>2014</v>
      </c>
      <c r="C48" s="364" t="s">
        <v>66</v>
      </c>
      <c r="D48" s="429"/>
      <c r="E48" s="430">
        <v>372</v>
      </c>
      <c r="F48" s="431"/>
      <c r="G48" s="431"/>
      <c r="H48" s="431"/>
      <c r="I48" s="431"/>
      <c r="J48" s="431"/>
      <c r="K48" s="431"/>
      <c r="L48" s="431"/>
      <c r="M48" s="431"/>
      <c r="N48" s="431"/>
      <c r="O48" s="431"/>
      <c r="P48" s="431"/>
      <c r="Q48" s="431">
        <v>1</v>
      </c>
      <c r="R48" s="371">
        <f>SUM(F48:Q48)</f>
        <v>1</v>
      </c>
      <c r="S48" s="372">
        <f>AVERAGE(F48:Q48)</f>
        <v>1</v>
      </c>
      <c r="T48" s="377">
        <f>U48/S48</f>
        <v>371</v>
      </c>
      <c r="U48" s="340">
        <f>SUM(E48-R48)</f>
        <v>371</v>
      </c>
    </row>
    <row r="49" spans="1:21" x14ac:dyDescent="0.2">
      <c r="A49" s="241">
        <v>18004</v>
      </c>
      <c r="B49" s="283">
        <v>2014</v>
      </c>
      <c r="C49" s="241" t="s">
        <v>99</v>
      </c>
      <c r="D49" s="343"/>
      <c r="E49" s="412">
        <v>264</v>
      </c>
      <c r="F49" s="417"/>
      <c r="G49" s="417"/>
      <c r="H49" s="417"/>
      <c r="I49" s="417"/>
      <c r="J49" s="417"/>
      <c r="K49" s="417"/>
      <c r="L49" s="417"/>
      <c r="M49" s="417"/>
      <c r="N49" s="417">
        <v>6</v>
      </c>
      <c r="O49" s="417">
        <v>13</v>
      </c>
      <c r="P49" s="411">
        <v>11</v>
      </c>
      <c r="Q49" s="411">
        <v>11</v>
      </c>
      <c r="R49" s="371">
        <f>SUM(F49:Q49)</f>
        <v>41</v>
      </c>
      <c r="S49" s="372">
        <f>AVERAGE(F49:Q49)</f>
        <v>10.25</v>
      </c>
      <c r="T49" s="377">
        <f>U49/S49</f>
        <v>21.756097560975611</v>
      </c>
      <c r="U49" s="340">
        <f>SUM(E49-R49)</f>
        <v>223</v>
      </c>
    </row>
    <row r="50" spans="1:21" x14ac:dyDescent="0.2">
      <c r="A50" s="241">
        <v>86051</v>
      </c>
      <c r="B50" s="283">
        <v>2014</v>
      </c>
      <c r="C50" s="241" t="s">
        <v>94</v>
      </c>
      <c r="D50" s="310"/>
      <c r="E50" s="412">
        <v>322</v>
      </c>
      <c r="F50" s="293"/>
      <c r="G50" s="293"/>
      <c r="H50" s="293"/>
      <c r="I50" s="293"/>
      <c r="J50" s="293"/>
      <c r="K50" s="293"/>
      <c r="L50" s="293"/>
      <c r="M50" s="293"/>
      <c r="N50" s="293"/>
      <c r="O50" s="432"/>
      <c r="P50" s="432"/>
      <c r="Q50" s="432">
        <v>1</v>
      </c>
      <c r="R50" s="371">
        <f>SUM(F50:Q50)</f>
        <v>1</v>
      </c>
      <c r="S50" s="372">
        <f>AVERAGE(F50:Q50)</f>
        <v>1</v>
      </c>
      <c r="T50" s="377">
        <f>U50/S50</f>
        <v>321</v>
      </c>
      <c r="U50" s="340">
        <f>SUM(E50-R50)</f>
        <v>321</v>
      </c>
    </row>
    <row r="51" spans="1:21" x14ac:dyDescent="0.2">
      <c r="A51" s="241"/>
      <c r="B51" s="283">
        <v>2014</v>
      </c>
      <c r="C51" s="241" t="s">
        <v>100</v>
      </c>
      <c r="D51" s="310"/>
      <c r="E51" s="412">
        <v>134</v>
      </c>
      <c r="F51" s="293"/>
      <c r="G51" s="293"/>
      <c r="H51" s="293"/>
      <c r="I51" s="293"/>
      <c r="J51" s="293"/>
      <c r="K51" s="293"/>
      <c r="L51" s="293"/>
      <c r="M51" s="293"/>
      <c r="N51" s="293"/>
      <c r="O51" s="432">
        <v>18</v>
      </c>
      <c r="P51" s="433">
        <v>20</v>
      </c>
      <c r="Q51" s="433">
        <v>18</v>
      </c>
      <c r="R51" s="371">
        <f>SUM(F51:Q51)</f>
        <v>56</v>
      </c>
      <c r="S51" s="372">
        <f>AVERAGE(F51:Q51)</f>
        <v>18.666666666666668</v>
      </c>
      <c r="T51" s="377">
        <f>U51/S51</f>
        <v>4.1785714285714279</v>
      </c>
      <c r="U51" s="340">
        <f>SUM(E51-R51)</f>
        <v>78</v>
      </c>
    </row>
    <row r="52" spans="1:21" x14ac:dyDescent="0.2">
      <c r="A52" s="294"/>
      <c r="B52" s="294"/>
      <c r="C52" s="294"/>
      <c r="D52" s="294"/>
      <c r="E52" s="294"/>
      <c r="F52" s="294"/>
      <c r="G52" s="294"/>
      <c r="H52" s="294"/>
      <c r="I52" s="294"/>
      <c r="J52" s="294"/>
      <c r="K52" s="294"/>
      <c r="L52" s="294"/>
      <c r="M52" s="294"/>
      <c r="N52" s="294"/>
      <c r="O52" s="426"/>
      <c r="P52" s="426"/>
      <c r="Q52" s="294"/>
      <c r="R52" s="294"/>
      <c r="S52" s="294"/>
      <c r="T52" s="294"/>
      <c r="U52" s="294"/>
    </row>
    <row r="53" spans="1:21" x14ac:dyDescent="0.2">
      <c r="A53" s="241"/>
      <c r="B53" s="489">
        <v>2011</v>
      </c>
      <c r="C53" s="364"/>
      <c r="D53" s="409"/>
      <c r="E53" s="394">
        <f t="shared" ref="E53:R53" si="12">SUM(E10:E13)</f>
        <v>276</v>
      </c>
      <c r="F53" s="394">
        <f t="shared" si="12"/>
        <v>90</v>
      </c>
      <c r="G53" s="394">
        <f t="shared" si="12"/>
        <v>36</v>
      </c>
      <c r="H53" s="394">
        <f t="shared" si="12"/>
        <v>46</v>
      </c>
      <c r="I53" s="394">
        <f t="shared" si="12"/>
        <v>31</v>
      </c>
      <c r="J53" s="394">
        <f t="shared" si="12"/>
        <v>24</v>
      </c>
      <c r="K53" s="394">
        <f t="shared" si="12"/>
        <v>11</v>
      </c>
      <c r="L53" s="394">
        <f t="shared" si="12"/>
        <v>22</v>
      </c>
      <c r="M53" s="394">
        <f t="shared" si="12"/>
        <v>16</v>
      </c>
      <c r="N53" s="394">
        <f t="shared" si="12"/>
        <v>0</v>
      </c>
      <c r="O53" s="394">
        <f t="shared" si="12"/>
        <v>0</v>
      </c>
      <c r="P53" s="394">
        <f t="shared" si="12"/>
        <v>0</v>
      </c>
      <c r="Q53" s="394">
        <f t="shared" si="12"/>
        <v>0</v>
      </c>
      <c r="R53" s="372">
        <f t="shared" si="12"/>
        <v>276</v>
      </c>
      <c r="S53" s="372">
        <f>AVERAGE(F53:Q53)</f>
        <v>23</v>
      </c>
      <c r="T53" s="377">
        <f>U53/S53</f>
        <v>0</v>
      </c>
      <c r="U53" s="491">
        <f>SUM(U10:U13)</f>
        <v>0</v>
      </c>
    </row>
    <row r="54" spans="1:21" x14ac:dyDescent="0.2">
      <c r="A54" s="241"/>
      <c r="B54" s="74">
        <v>2012</v>
      </c>
      <c r="C54" s="241"/>
      <c r="D54" s="408"/>
      <c r="E54" s="394">
        <f t="shared" ref="E54:R54" si="13">SUM(E15:E21)</f>
        <v>2080</v>
      </c>
      <c r="F54" s="394">
        <f t="shared" si="13"/>
        <v>147</v>
      </c>
      <c r="G54" s="394">
        <f t="shared" si="13"/>
        <v>119</v>
      </c>
      <c r="H54" s="394">
        <f t="shared" si="13"/>
        <v>118</v>
      </c>
      <c r="I54" s="394">
        <f t="shared" si="13"/>
        <v>185</v>
      </c>
      <c r="J54" s="394">
        <f t="shared" si="13"/>
        <v>151</v>
      </c>
      <c r="K54" s="394">
        <f t="shared" si="13"/>
        <v>149</v>
      </c>
      <c r="L54" s="394">
        <f t="shared" si="13"/>
        <v>200</v>
      </c>
      <c r="M54" s="394">
        <f t="shared" si="13"/>
        <v>160</v>
      </c>
      <c r="N54" s="394">
        <f t="shared" si="13"/>
        <v>186</v>
      </c>
      <c r="O54" s="394">
        <f t="shared" si="13"/>
        <v>172</v>
      </c>
      <c r="P54" s="394">
        <f t="shared" si="13"/>
        <v>105</v>
      </c>
      <c r="Q54" s="394">
        <f t="shared" si="13"/>
        <v>59</v>
      </c>
      <c r="R54" s="372">
        <f t="shared" si="13"/>
        <v>1751</v>
      </c>
      <c r="S54" s="372">
        <f>AVERAGE(F54:Q54)</f>
        <v>145.91666666666666</v>
      </c>
      <c r="T54" s="377">
        <f>U54/S54</f>
        <v>2.2547115933752142</v>
      </c>
      <c r="U54" s="491">
        <f>SUM(U15:U21)</f>
        <v>329</v>
      </c>
    </row>
    <row r="55" spans="1:21" x14ac:dyDescent="0.2">
      <c r="A55" s="241"/>
      <c r="B55" s="74">
        <v>2013</v>
      </c>
      <c r="C55" s="241"/>
      <c r="D55" s="408"/>
      <c r="E55" s="394">
        <f t="shared" ref="E55:R55" si="14">SUM(E23:E35)</f>
        <v>3772</v>
      </c>
      <c r="F55" s="394">
        <f t="shared" si="14"/>
        <v>140</v>
      </c>
      <c r="G55" s="394">
        <f t="shared" si="14"/>
        <v>88</v>
      </c>
      <c r="H55" s="394">
        <f t="shared" si="14"/>
        <v>59</v>
      </c>
      <c r="I55" s="394">
        <f t="shared" si="14"/>
        <v>57</v>
      </c>
      <c r="J55" s="394">
        <f t="shared" si="14"/>
        <v>91</v>
      </c>
      <c r="K55" s="394">
        <f t="shared" si="14"/>
        <v>94</v>
      </c>
      <c r="L55" s="394">
        <f t="shared" si="14"/>
        <v>150</v>
      </c>
      <c r="M55" s="394">
        <f t="shared" si="14"/>
        <v>107</v>
      </c>
      <c r="N55" s="394">
        <f t="shared" si="14"/>
        <v>115</v>
      </c>
      <c r="O55" s="394">
        <f t="shared" si="14"/>
        <v>254</v>
      </c>
      <c r="P55" s="394">
        <f t="shared" si="14"/>
        <v>211</v>
      </c>
      <c r="Q55" s="394">
        <f t="shared" si="14"/>
        <v>234</v>
      </c>
      <c r="R55" s="420">
        <f t="shared" si="14"/>
        <v>1600</v>
      </c>
      <c r="S55" s="420">
        <f>AVERAGE(F55:Q55)</f>
        <v>133.33333333333334</v>
      </c>
      <c r="T55" s="421">
        <f>U55/S55</f>
        <v>16.29</v>
      </c>
      <c r="U55" s="420">
        <f>SUM(U23:U35)</f>
        <v>2172</v>
      </c>
    </row>
    <row r="56" spans="1:21" x14ac:dyDescent="0.2">
      <c r="A56" s="241"/>
      <c r="B56" s="74">
        <v>2014</v>
      </c>
      <c r="C56" s="241"/>
      <c r="D56" s="408"/>
      <c r="E56" s="394">
        <f t="shared" ref="E56:R56" si="15">SUM(E37:E48)</f>
        <v>4298</v>
      </c>
      <c r="F56" s="394">
        <f t="shared" si="15"/>
        <v>0</v>
      </c>
      <c r="G56" s="394">
        <f t="shared" si="15"/>
        <v>0</v>
      </c>
      <c r="H56" s="394">
        <f t="shared" si="15"/>
        <v>0</v>
      </c>
      <c r="I56" s="394">
        <f t="shared" si="15"/>
        <v>107</v>
      </c>
      <c r="J56" s="394">
        <f t="shared" si="15"/>
        <v>99</v>
      </c>
      <c r="K56" s="394">
        <f t="shared" si="15"/>
        <v>85</v>
      </c>
      <c r="L56" s="394">
        <f t="shared" si="15"/>
        <v>161</v>
      </c>
      <c r="M56" s="394">
        <f t="shared" si="15"/>
        <v>102</v>
      </c>
      <c r="N56" s="394">
        <f t="shared" si="15"/>
        <v>125</v>
      </c>
      <c r="O56" s="394">
        <f t="shared" si="15"/>
        <v>125</v>
      </c>
      <c r="P56" s="394">
        <f t="shared" si="15"/>
        <v>62</v>
      </c>
      <c r="Q56" s="394">
        <f>SUM(Q37:Q48)</f>
        <v>59</v>
      </c>
      <c r="R56" s="420">
        <f t="shared" si="15"/>
        <v>925</v>
      </c>
      <c r="S56" s="420">
        <f>AVERAGE(F56:Q56)</f>
        <v>77.083333333333329</v>
      </c>
      <c r="T56" s="421">
        <f>U56/S56</f>
        <v>43.75783783783784</v>
      </c>
      <c r="U56" s="420">
        <f>SUM(U37:U48)</f>
        <v>3373</v>
      </c>
    </row>
    <row r="57" spans="1:21" x14ac:dyDescent="0.2">
      <c r="A57" s="241"/>
      <c r="B57" s="85" t="s">
        <v>78</v>
      </c>
      <c r="C57" s="241"/>
      <c r="D57" s="408"/>
      <c r="E57" s="422">
        <f>SUM(E53:E54)</f>
        <v>2356</v>
      </c>
      <c r="F57" s="422">
        <f t="shared" ref="F57:S57" si="16">SUM(F53:F56)</f>
        <v>377</v>
      </c>
      <c r="G57" s="422">
        <f t="shared" si="16"/>
        <v>243</v>
      </c>
      <c r="H57" s="422">
        <f t="shared" si="16"/>
        <v>223</v>
      </c>
      <c r="I57" s="422">
        <f t="shared" si="16"/>
        <v>380</v>
      </c>
      <c r="J57" s="422">
        <f t="shared" si="16"/>
        <v>365</v>
      </c>
      <c r="K57" s="422">
        <f t="shared" si="16"/>
        <v>339</v>
      </c>
      <c r="L57" s="422">
        <f t="shared" si="16"/>
        <v>533</v>
      </c>
      <c r="M57" s="422">
        <f t="shared" si="16"/>
        <v>385</v>
      </c>
      <c r="N57" s="422">
        <f t="shared" si="16"/>
        <v>426</v>
      </c>
      <c r="O57" s="422">
        <f t="shared" si="16"/>
        <v>551</v>
      </c>
      <c r="P57" s="422">
        <f t="shared" si="16"/>
        <v>378</v>
      </c>
      <c r="Q57" s="422">
        <f t="shared" si="16"/>
        <v>352</v>
      </c>
      <c r="R57" s="434">
        <f t="shared" si="16"/>
        <v>4552</v>
      </c>
      <c r="S57" s="321">
        <f t="shared" si="16"/>
        <v>379.33333333333331</v>
      </c>
      <c r="T57" s="377">
        <f>U57/S57</f>
        <v>15.485061511423551</v>
      </c>
      <c r="U57" s="321">
        <f>SUM(U53:U56)</f>
        <v>5874</v>
      </c>
    </row>
    <row r="58" spans="1:21" x14ac:dyDescent="0.2">
      <c r="A58" s="294"/>
      <c r="B58" s="78"/>
      <c r="C58" s="78"/>
      <c r="D58" s="79"/>
      <c r="E58" s="92"/>
      <c r="F58" s="92"/>
      <c r="G58" s="92"/>
      <c r="H58" s="92"/>
      <c r="I58" s="92"/>
      <c r="J58" s="92"/>
      <c r="K58" s="92"/>
      <c r="L58" s="92"/>
      <c r="M58" s="92"/>
      <c r="N58" s="92"/>
      <c r="O58" s="92"/>
      <c r="P58" s="92"/>
      <c r="Q58" s="92"/>
      <c r="R58" s="78"/>
      <c r="S58" s="79"/>
      <c r="T58" s="80"/>
      <c r="U58" s="97"/>
    </row>
    <row r="59" spans="1:21" ht="13.5" thickBot="1" x14ac:dyDescent="0.25">
      <c r="E59" s="90"/>
      <c r="F59" s="90"/>
      <c r="G59" s="90"/>
      <c r="H59" s="90"/>
      <c r="I59" s="90"/>
      <c r="J59" s="90"/>
      <c r="K59" s="90"/>
      <c r="L59" s="90"/>
      <c r="M59" s="90"/>
      <c r="N59" s="90"/>
      <c r="Q59" s="90"/>
    </row>
    <row r="60" spans="1:21" ht="48" thickBot="1" x14ac:dyDescent="0.45">
      <c r="B60" s="62" t="s">
        <v>79</v>
      </c>
      <c r="C60" s="63"/>
      <c r="D60" s="63"/>
      <c r="E60" s="64" t="s">
        <v>80</v>
      </c>
      <c r="F60" s="566" t="s">
        <v>81</v>
      </c>
      <c r="G60" s="567"/>
      <c r="H60" s="567"/>
      <c r="I60" s="567"/>
      <c r="J60" s="567"/>
      <c r="K60" s="567"/>
      <c r="L60" s="567"/>
      <c r="M60" s="567"/>
      <c r="N60" s="567"/>
      <c r="O60" s="567"/>
      <c r="P60" s="567"/>
      <c r="Q60" s="567"/>
      <c r="R60" s="65" t="s">
        <v>82</v>
      </c>
      <c r="S60" s="66"/>
      <c r="T60" s="66"/>
      <c r="U60" s="66"/>
    </row>
    <row r="61" spans="1:21" x14ac:dyDescent="0.2">
      <c r="B61" s="9"/>
      <c r="C61" s="67"/>
      <c r="D61" s="9"/>
      <c r="E61" s="73"/>
      <c r="F61" s="93"/>
      <c r="G61" s="93"/>
      <c r="H61" s="93"/>
      <c r="I61" s="93"/>
      <c r="J61" s="93"/>
      <c r="K61" s="93"/>
      <c r="L61" s="93"/>
      <c r="M61" s="93"/>
      <c r="N61" s="93"/>
      <c r="O61" s="93"/>
      <c r="P61" s="93"/>
      <c r="Q61" s="94"/>
      <c r="R61" s="9"/>
    </row>
    <row r="62" spans="1:21" x14ac:dyDescent="0.2">
      <c r="B62" s="241"/>
      <c r="C62" s="342"/>
      <c r="D62" s="241"/>
      <c r="E62" s="93"/>
      <c r="F62" s="412"/>
      <c r="G62" s="412"/>
      <c r="H62" s="412"/>
      <c r="I62" s="412"/>
      <c r="J62" s="412"/>
      <c r="K62" s="412"/>
      <c r="L62" s="412"/>
      <c r="M62" s="412"/>
      <c r="N62" s="412"/>
      <c r="O62" s="412"/>
      <c r="P62" s="412"/>
      <c r="Q62" s="423"/>
      <c r="R62" s="241"/>
    </row>
    <row r="63" spans="1:21" x14ac:dyDescent="0.2">
      <c r="B63" s="345"/>
      <c r="C63" s="345"/>
      <c r="D63" s="345"/>
      <c r="E63" s="413"/>
      <c r="F63" s="413"/>
      <c r="G63" s="413"/>
      <c r="H63" s="413"/>
      <c r="I63" s="413"/>
      <c r="J63" s="413"/>
      <c r="K63" s="413"/>
      <c r="L63" s="413"/>
      <c r="M63" s="413"/>
      <c r="N63" s="413"/>
      <c r="O63" s="413"/>
      <c r="P63" s="413"/>
      <c r="Q63" s="424"/>
      <c r="R63" s="345"/>
    </row>
    <row r="64" spans="1:21" x14ac:dyDescent="0.2">
      <c r="B64" s="241"/>
      <c r="C64" s="342"/>
      <c r="D64" s="241"/>
      <c r="E64" s="412"/>
      <c r="F64" s="412"/>
      <c r="G64" s="412"/>
      <c r="H64" s="412"/>
      <c r="I64" s="412"/>
      <c r="J64" s="412"/>
      <c r="K64" s="412"/>
      <c r="L64" s="412"/>
      <c r="M64" s="412"/>
      <c r="N64" s="412"/>
      <c r="O64" s="412"/>
      <c r="P64" s="412"/>
      <c r="Q64" s="423"/>
      <c r="R64" s="241"/>
    </row>
    <row r="65" spans="2:18" x14ac:dyDescent="0.2">
      <c r="B65" s="241"/>
      <c r="C65" s="342"/>
      <c r="D65" s="241"/>
      <c r="E65" s="412"/>
      <c r="F65" s="412"/>
      <c r="G65" s="412"/>
      <c r="H65" s="412"/>
      <c r="I65" s="412"/>
      <c r="J65" s="412"/>
      <c r="K65" s="412"/>
      <c r="L65" s="412"/>
      <c r="M65" s="412"/>
      <c r="N65" s="412"/>
      <c r="O65" s="412"/>
      <c r="P65" s="412"/>
      <c r="Q65" s="423"/>
      <c r="R65" s="241"/>
    </row>
    <row r="66" spans="2:18" x14ac:dyDescent="0.2">
      <c r="B66" s="30"/>
      <c r="C66" s="70"/>
      <c r="D66" s="30"/>
      <c r="E66" s="95"/>
      <c r="F66" s="95"/>
      <c r="G66" s="95"/>
      <c r="H66" s="95"/>
      <c r="I66" s="95"/>
      <c r="J66" s="95"/>
      <c r="K66" s="95"/>
      <c r="L66" s="95"/>
      <c r="M66" s="95"/>
      <c r="N66" s="95"/>
      <c r="O66" s="95"/>
      <c r="P66" s="95"/>
      <c r="Q66" s="95"/>
      <c r="R66" s="345"/>
    </row>
    <row r="67" spans="2:18" ht="13.5" thickBot="1" x14ac:dyDescent="0.25">
      <c r="C67" s="71"/>
      <c r="E67" s="90"/>
      <c r="F67" s="90"/>
      <c r="G67" s="90"/>
      <c r="H67" s="90"/>
      <c r="I67" s="90"/>
      <c r="J67" s="90"/>
      <c r="K67" s="90"/>
      <c r="L67" s="90"/>
      <c r="M67" s="90"/>
      <c r="N67" s="90"/>
      <c r="Q67" s="90"/>
    </row>
    <row r="68" spans="2:18" ht="63.75" thickBot="1" x14ac:dyDescent="0.45">
      <c r="B68" s="568" t="s">
        <v>79</v>
      </c>
      <c r="C68" s="569"/>
      <c r="D68" s="570"/>
      <c r="E68" s="72" t="s">
        <v>83</v>
      </c>
      <c r="F68" s="566" t="s">
        <v>84</v>
      </c>
      <c r="G68" s="567"/>
      <c r="H68" s="567"/>
      <c r="I68" s="567"/>
      <c r="J68" s="567"/>
      <c r="K68" s="567"/>
      <c r="L68" s="567"/>
      <c r="M68" s="567"/>
      <c r="N68" s="567"/>
      <c r="O68" s="567"/>
      <c r="P68" s="567"/>
      <c r="Q68" s="571"/>
      <c r="R68" s="65" t="s">
        <v>85</v>
      </c>
    </row>
    <row r="69" spans="2:18" ht="15.75" x14ac:dyDescent="0.25">
      <c r="B69" s="9"/>
      <c r="C69" s="67"/>
      <c r="D69" s="9"/>
      <c r="E69" s="68"/>
      <c r="F69" s="93"/>
      <c r="G69" s="93"/>
      <c r="H69" s="93"/>
      <c r="I69" s="93"/>
      <c r="J69" s="93"/>
      <c r="K69" s="93"/>
      <c r="L69" s="93"/>
      <c r="M69" s="93"/>
      <c r="N69" s="93"/>
      <c r="O69" s="93"/>
      <c r="P69" s="93"/>
      <c r="Q69" s="93"/>
      <c r="R69" s="9"/>
    </row>
    <row r="70" spans="2:18" x14ac:dyDescent="0.2">
      <c r="B70" s="241"/>
      <c r="C70" s="342"/>
      <c r="D70" s="241"/>
      <c r="E70" s="93"/>
      <c r="F70" s="412"/>
      <c r="G70" s="412"/>
      <c r="H70" s="412"/>
      <c r="I70" s="412"/>
      <c r="J70" s="412"/>
      <c r="K70" s="412"/>
      <c r="L70" s="412"/>
      <c r="M70" s="412"/>
      <c r="N70" s="412"/>
      <c r="O70" s="412"/>
      <c r="P70" s="412"/>
      <c r="Q70" s="412"/>
      <c r="R70" s="241"/>
    </row>
    <row r="71" spans="2:18" x14ac:dyDescent="0.2">
      <c r="B71" s="345"/>
      <c r="C71" s="345"/>
      <c r="D71" s="345"/>
      <c r="E71" s="413"/>
      <c r="F71" s="413"/>
      <c r="G71" s="413"/>
      <c r="H71" s="413"/>
      <c r="I71" s="413"/>
      <c r="J71" s="413"/>
      <c r="K71" s="413"/>
      <c r="L71" s="413"/>
      <c r="M71" s="413"/>
      <c r="N71" s="413"/>
      <c r="O71" s="413"/>
      <c r="P71" s="413"/>
      <c r="Q71" s="413"/>
      <c r="R71" s="345"/>
    </row>
    <row r="72" spans="2:18" x14ac:dyDescent="0.2">
      <c r="B72" s="241"/>
      <c r="C72" s="342"/>
      <c r="D72" s="241"/>
      <c r="E72" s="412"/>
      <c r="F72" s="412"/>
      <c r="G72" s="412"/>
      <c r="H72" s="412"/>
      <c r="I72" s="412"/>
      <c r="J72" s="412"/>
      <c r="K72" s="412"/>
      <c r="L72" s="412"/>
      <c r="M72" s="412"/>
      <c r="N72" s="412"/>
      <c r="O72" s="412"/>
      <c r="P72" s="412"/>
      <c r="Q72" s="412"/>
      <c r="R72" s="241"/>
    </row>
    <row r="73" spans="2:18" x14ac:dyDescent="0.2">
      <c r="B73" s="241"/>
      <c r="C73" s="342"/>
      <c r="D73" s="241"/>
      <c r="E73" s="412"/>
      <c r="F73" s="412"/>
      <c r="G73" s="412"/>
      <c r="H73" s="412"/>
      <c r="I73" s="412"/>
      <c r="J73" s="412"/>
      <c r="K73" s="412"/>
      <c r="L73" s="412"/>
      <c r="M73" s="412"/>
      <c r="N73" s="412"/>
      <c r="O73" s="412"/>
      <c r="P73" s="412"/>
      <c r="Q73" s="412"/>
      <c r="R73" s="241"/>
    </row>
  </sheetData>
  <mergeCells count="3">
    <mergeCell ref="F60:Q60"/>
    <mergeCell ref="B68:D68"/>
    <mergeCell ref="F68:Q68"/>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5"/>
  <sheetViews>
    <sheetView workbookViewId="0"/>
  </sheetViews>
  <sheetFormatPr defaultRowHeight="12.75" x14ac:dyDescent="0.2"/>
  <cols>
    <col min="1" max="1" width="12.42578125" style="90" bestFit="1" customWidth="1"/>
    <col min="2" max="3" width="9.42578125" style="90"/>
    <col min="4" max="4" width="9.42578125" style="100"/>
    <col min="9" max="9" width="10.5703125" style="90" bestFit="1" customWidth="1"/>
    <col min="10" max="10" width="9.42578125" style="90"/>
  </cols>
  <sheetData>
    <row r="1" spans="1:10" x14ac:dyDescent="0.2">
      <c r="A1" s="101" t="s">
        <v>64</v>
      </c>
      <c r="B1" s="101"/>
      <c r="C1" s="101" t="s">
        <v>101</v>
      </c>
      <c r="D1" s="102" t="s">
        <v>102</v>
      </c>
      <c r="I1" s="101" t="s">
        <v>103</v>
      </c>
      <c r="J1" s="101" t="s">
        <v>104</v>
      </c>
    </row>
    <row r="2" spans="1:10" x14ac:dyDescent="0.2">
      <c r="A2" s="90">
        <v>2012</v>
      </c>
      <c r="B2" s="99" t="s">
        <v>105</v>
      </c>
      <c r="C2" s="90">
        <v>3</v>
      </c>
      <c r="D2" s="100">
        <f>C2/12</f>
        <v>0.25</v>
      </c>
      <c r="I2" s="99" t="s">
        <v>106</v>
      </c>
      <c r="J2" s="90">
        <v>1860</v>
      </c>
    </row>
    <row r="3" spans="1:10" x14ac:dyDescent="0.2">
      <c r="A3" s="90">
        <v>2013</v>
      </c>
      <c r="B3" s="99" t="s">
        <v>105</v>
      </c>
      <c r="C3" s="90">
        <v>43</v>
      </c>
      <c r="D3" s="100">
        <f>C3/12</f>
        <v>3.5833333333333335</v>
      </c>
      <c r="I3" s="99" t="s">
        <v>107</v>
      </c>
      <c r="J3" s="90">
        <v>850</v>
      </c>
    </row>
    <row r="4" spans="1:10" x14ac:dyDescent="0.2">
      <c r="A4" s="90">
        <v>2014</v>
      </c>
      <c r="B4" s="99" t="s">
        <v>105</v>
      </c>
      <c r="C4" s="90">
        <v>14</v>
      </c>
      <c r="D4" s="100">
        <f t="shared" ref="D4:D25" si="0">C4/12</f>
        <v>1.1666666666666667</v>
      </c>
      <c r="I4" s="99" t="s">
        <v>108</v>
      </c>
      <c r="J4" s="90">
        <v>825</v>
      </c>
    </row>
    <row r="5" spans="1:10" x14ac:dyDescent="0.2">
      <c r="A5" s="90">
        <v>2013</v>
      </c>
      <c r="B5" s="99" t="s">
        <v>109</v>
      </c>
      <c r="C5" s="90">
        <v>28</v>
      </c>
      <c r="D5" s="100">
        <f t="shared" si="0"/>
        <v>2.3333333333333335</v>
      </c>
      <c r="I5" s="99" t="s">
        <v>110</v>
      </c>
      <c r="J5" s="90">
        <v>800</v>
      </c>
    </row>
    <row r="6" spans="1:10" x14ac:dyDescent="0.2">
      <c r="A6" s="90">
        <v>2014</v>
      </c>
      <c r="B6" s="99" t="s">
        <v>109</v>
      </c>
      <c r="C6" s="90">
        <v>33</v>
      </c>
      <c r="D6" s="100">
        <f t="shared" si="0"/>
        <v>2.75</v>
      </c>
      <c r="I6" s="99" t="s">
        <v>111</v>
      </c>
      <c r="J6" s="90">
        <v>2650</v>
      </c>
    </row>
    <row r="7" spans="1:10" x14ac:dyDescent="0.2">
      <c r="A7" s="90">
        <v>2014</v>
      </c>
      <c r="B7" s="99" t="s">
        <v>106</v>
      </c>
      <c r="C7" s="90">
        <v>41</v>
      </c>
      <c r="D7" s="100">
        <f t="shared" si="0"/>
        <v>3.4166666666666665</v>
      </c>
      <c r="I7" s="99" t="s">
        <v>25</v>
      </c>
      <c r="J7" s="90">
        <v>3700</v>
      </c>
    </row>
    <row r="8" spans="1:10" x14ac:dyDescent="0.2">
      <c r="A8" s="90">
        <v>2012</v>
      </c>
      <c r="B8" s="99" t="s">
        <v>112</v>
      </c>
      <c r="C8" s="90">
        <v>35</v>
      </c>
      <c r="D8" s="100">
        <f t="shared" si="0"/>
        <v>2.9166666666666665</v>
      </c>
      <c r="I8" s="99" t="s">
        <v>109</v>
      </c>
      <c r="J8" s="90">
        <v>2380</v>
      </c>
    </row>
    <row r="9" spans="1:10" x14ac:dyDescent="0.2">
      <c r="A9" s="90">
        <v>2013</v>
      </c>
      <c r="B9" s="99" t="s">
        <v>112</v>
      </c>
      <c r="C9" s="90">
        <v>44</v>
      </c>
      <c r="D9" s="100">
        <f t="shared" si="0"/>
        <v>3.6666666666666665</v>
      </c>
      <c r="I9" s="99" t="s">
        <v>24</v>
      </c>
      <c r="J9" s="90">
        <v>2360</v>
      </c>
    </row>
    <row r="10" spans="1:10" x14ac:dyDescent="0.2">
      <c r="A10" s="90">
        <v>2014</v>
      </c>
      <c r="B10" s="99" t="s">
        <v>112</v>
      </c>
      <c r="C10" s="90">
        <v>9</v>
      </c>
      <c r="D10" s="100">
        <f t="shared" si="0"/>
        <v>0.75</v>
      </c>
      <c r="I10" s="99" t="s">
        <v>113</v>
      </c>
      <c r="J10" s="90">
        <v>700</v>
      </c>
    </row>
    <row r="11" spans="1:10" x14ac:dyDescent="0.2">
      <c r="A11" s="90">
        <v>2013</v>
      </c>
      <c r="B11" s="99" t="s">
        <v>114</v>
      </c>
      <c r="C11" s="90">
        <v>37</v>
      </c>
      <c r="D11" s="100">
        <f t="shared" si="0"/>
        <v>3.0833333333333335</v>
      </c>
      <c r="I11" s="99" t="s">
        <v>115</v>
      </c>
      <c r="J11" s="90">
        <v>1330</v>
      </c>
    </row>
    <row r="12" spans="1:10" x14ac:dyDescent="0.2">
      <c r="A12" s="90">
        <v>2014</v>
      </c>
      <c r="B12" s="99" t="s">
        <v>114</v>
      </c>
      <c r="C12" s="90">
        <v>21</v>
      </c>
      <c r="D12" s="100">
        <f t="shared" si="0"/>
        <v>1.75</v>
      </c>
      <c r="I12" s="99" t="s">
        <v>116</v>
      </c>
      <c r="J12" s="90">
        <v>1835</v>
      </c>
    </row>
    <row r="13" spans="1:10" x14ac:dyDescent="0.2">
      <c r="A13" s="90">
        <v>2013</v>
      </c>
      <c r="B13" s="99" t="s">
        <v>116</v>
      </c>
      <c r="C13" s="90">
        <v>18</v>
      </c>
      <c r="D13" s="100">
        <f t="shared" si="0"/>
        <v>1.5</v>
      </c>
      <c r="I13" s="99" t="s">
        <v>23</v>
      </c>
      <c r="J13" s="90">
        <v>1465</v>
      </c>
    </row>
    <row r="14" spans="1:10" x14ac:dyDescent="0.2">
      <c r="A14" s="90">
        <v>2014</v>
      </c>
      <c r="B14" s="99" t="s">
        <v>116</v>
      </c>
      <c r="C14" s="90">
        <v>30</v>
      </c>
      <c r="D14" s="100">
        <f t="shared" si="0"/>
        <v>2.5</v>
      </c>
      <c r="I14" s="99" t="s">
        <v>112</v>
      </c>
      <c r="J14" s="90">
        <v>1050</v>
      </c>
    </row>
    <row r="15" spans="1:10" x14ac:dyDescent="0.2">
      <c r="A15" s="90">
        <v>2012</v>
      </c>
      <c r="B15" s="99" t="s">
        <v>117</v>
      </c>
      <c r="C15" s="90">
        <v>11</v>
      </c>
      <c r="D15" s="100">
        <f t="shared" si="0"/>
        <v>0.91666666666666663</v>
      </c>
      <c r="I15" s="99" t="s">
        <v>118</v>
      </c>
      <c r="J15" s="90">
        <v>70</v>
      </c>
    </row>
    <row r="16" spans="1:10" x14ac:dyDescent="0.2">
      <c r="A16" s="90">
        <v>2013</v>
      </c>
      <c r="B16" s="99" t="s">
        <v>117</v>
      </c>
      <c r="C16" s="90">
        <v>27</v>
      </c>
      <c r="D16" s="100">
        <f t="shared" si="0"/>
        <v>2.25</v>
      </c>
      <c r="I16" s="99" t="s">
        <v>119</v>
      </c>
      <c r="J16" s="90">
        <v>550</v>
      </c>
    </row>
    <row r="17" spans="1:10" x14ac:dyDescent="0.2">
      <c r="A17" s="90">
        <v>2014</v>
      </c>
      <c r="B17" s="99" t="s">
        <v>117</v>
      </c>
      <c r="C17" s="90">
        <v>12</v>
      </c>
      <c r="D17" s="100">
        <f t="shared" si="0"/>
        <v>1</v>
      </c>
      <c r="I17" s="99" t="s">
        <v>120</v>
      </c>
      <c r="J17" s="90">
        <v>1100</v>
      </c>
    </row>
    <row r="18" spans="1:10" x14ac:dyDescent="0.2">
      <c r="A18" s="90">
        <v>2013</v>
      </c>
      <c r="B18" s="99" t="s">
        <v>121</v>
      </c>
      <c r="C18" s="90">
        <v>11</v>
      </c>
      <c r="D18" s="100">
        <f t="shared" si="0"/>
        <v>0.91666666666666663</v>
      </c>
    </row>
    <row r="19" spans="1:10" x14ac:dyDescent="0.2">
      <c r="A19" s="90">
        <v>2014</v>
      </c>
      <c r="B19" s="99" t="s">
        <v>121</v>
      </c>
      <c r="C19" s="90">
        <v>18</v>
      </c>
      <c r="D19" s="100">
        <f t="shared" si="0"/>
        <v>1.5</v>
      </c>
    </row>
    <row r="20" spans="1:10" x14ac:dyDescent="0.2">
      <c r="A20" s="90">
        <v>2013</v>
      </c>
      <c r="B20" s="99" t="s">
        <v>118</v>
      </c>
      <c r="C20" s="90">
        <v>21</v>
      </c>
      <c r="D20" s="100">
        <f t="shared" si="0"/>
        <v>1.75</v>
      </c>
    </row>
    <row r="21" spans="1:10" x14ac:dyDescent="0.2">
      <c r="A21" s="90">
        <v>2014</v>
      </c>
      <c r="B21" s="99" t="s">
        <v>118</v>
      </c>
      <c r="C21" s="90">
        <v>9</v>
      </c>
      <c r="D21" s="100">
        <f t="shared" si="0"/>
        <v>0.75</v>
      </c>
    </row>
    <row r="22" spans="1:10" x14ac:dyDescent="0.2">
      <c r="A22" s="99">
        <v>2014</v>
      </c>
      <c r="B22" s="99" t="s">
        <v>100</v>
      </c>
      <c r="C22" s="90">
        <v>57</v>
      </c>
      <c r="D22" s="100">
        <f t="shared" si="0"/>
        <v>4.75</v>
      </c>
    </row>
    <row r="23" spans="1:10" x14ac:dyDescent="0.2">
      <c r="A23" s="90">
        <v>2013</v>
      </c>
      <c r="B23" s="99" t="s">
        <v>119</v>
      </c>
      <c r="C23" s="90">
        <v>45</v>
      </c>
      <c r="D23" s="100">
        <f t="shared" si="0"/>
        <v>3.75</v>
      </c>
    </row>
    <row r="24" spans="1:10" x14ac:dyDescent="0.2">
      <c r="A24" s="90">
        <v>2014</v>
      </c>
      <c r="B24" s="99" t="s">
        <v>122</v>
      </c>
      <c r="C24" s="90">
        <v>13</v>
      </c>
      <c r="D24" s="100">
        <f t="shared" si="0"/>
        <v>1.0833333333333333</v>
      </c>
    </row>
    <row r="25" spans="1:10" x14ac:dyDescent="0.2">
      <c r="A25" s="90">
        <v>2014</v>
      </c>
      <c r="B25" s="99" t="s">
        <v>123</v>
      </c>
      <c r="C25" s="90">
        <v>37</v>
      </c>
      <c r="D25" s="100">
        <f t="shared" si="0"/>
        <v>3.0833333333333335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5"/>
  <sheetViews>
    <sheetView topLeftCell="A22" zoomScale="80" zoomScaleNormal="80" workbookViewId="0">
      <selection activeCell="C50" sqref="C50"/>
    </sheetView>
  </sheetViews>
  <sheetFormatPr defaultColWidth="9.42578125" defaultRowHeight="15" x14ac:dyDescent="0.2"/>
  <cols>
    <col min="1" max="2" width="9.42578125" style="104"/>
    <col min="3" max="3" width="29" style="104" customWidth="1"/>
    <col min="4" max="4" width="9.42578125" style="104" customWidth="1"/>
    <col min="5" max="5" width="8.5703125" style="104" customWidth="1"/>
    <col min="6" max="6" width="6.42578125" style="104" customWidth="1"/>
    <col min="7" max="7" width="7.42578125" style="104" customWidth="1"/>
    <col min="8" max="8" width="6.42578125" style="104" customWidth="1"/>
    <col min="9" max="10" width="7.42578125" style="104" customWidth="1"/>
    <col min="11" max="11" width="8.42578125" style="104" customWidth="1"/>
    <col min="12" max="12" width="6.5703125" style="104" customWidth="1"/>
    <col min="13" max="13" width="8.42578125" style="104" customWidth="1"/>
    <col min="14" max="18" width="8.5703125" style="104" customWidth="1"/>
    <col min="19" max="19" width="10.42578125" style="104" customWidth="1"/>
    <col min="20" max="21" width="8.5703125" style="104" customWidth="1"/>
    <col min="22" max="22" width="9.42578125" style="104"/>
    <col min="23" max="23" width="15.5703125" style="104" customWidth="1"/>
    <col min="24" max="16384" width="9.42578125" style="104"/>
  </cols>
  <sheetData>
    <row r="1" spans="1:23" x14ac:dyDescent="0.2">
      <c r="E1" s="105"/>
      <c r="F1" s="105"/>
      <c r="G1" s="105"/>
      <c r="H1" s="105"/>
      <c r="I1" s="105"/>
      <c r="J1" s="105"/>
      <c r="K1" s="105"/>
      <c r="L1" s="105"/>
      <c r="M1" s="105"/>
      <c r="N1" s="105"/>
      <c r="O1" s="105"/>
      <c r="P1" s="105"/>
      <c r="Q1" s="105"/>
    </row>
    <row r="2" spans="1:23" ht="15.75" x14ac:dyDescent="0.2">
      <c r="E2" s="91"/>
      <c r="F2" s="105"/>
      <c r="G2" s="105"/>
      <c r="H2" s="105"/>
      <c r="I2" s="105"/>
      <c r="J2" s="105"/>
      <c r="K2" s="105"/>
      <c r="L2" s="105"/>
      <c r="M2" s="105"/>
      <c r="N2" s="105"/>
      <c r="O2" s="105"/>
      <c r="P2" s="105"/>
      <c r="Q2" s="105"/>
    </row>
    <row r="3" spans="1:23" ht="15.75" x14ac:dyDescent="0.2">
      <c r="E3" s="91"/>
      <c r="F3" s="105"/>
      <c r="G3" s="105"/>
      <c r="H3" s="105"/>
      <c r="I3" s="105"/>
      <c r="J3" s="105"/>
      <c r="K3" s="105"/>
      <c r="L3" s="105"/>
      <c r="M3" s="105"/>
      <c r="N3" s="105"/>
      <c r="O3" s="105"/>
      <c r="P3" s="105"/>
      <c r="Q3" s="105"/>
    </row>
    <row r="4" spans="1:23" ht="15.75" x14ac:dyDescent="0.2">
      <c r="E4" s="91"/>
      <c r="F4" s="105"/>
      <c r="G4" s="105"/>
      <c r="H4" s="105"/>
      <c r="I4" s="105"/>
      <c r="J4" s="105"/>
      <c r="K4" s="105"/>
      <c r="L4" s="105"/>
      <c r="M4" s="105"/>
      <c r="N4" s="105"/>
      <c r="O4" s="105"/>
      <c r="P4" s="105"/>
      <c r="Q4" s="105"/>
    </row>
    <row r="5" spans="1:23" x14ac:dyDescent="0.2">
      <c r="E5" s="105"/>
      <c r="F5" s="105"/>
      <c r="G5" s="105"/>
      <c r="H5" s="105"/>
      <c r="I5" s="105"/>
      <c r="J5" s="105"/>
      <c r="K5" s="105"/>
      <c r="L5" s="105"/>
      <c r="M5" s="105"/>
      <c r="N5" s="105"/>
      <c r="O5" s="105"/>
      <c r="P5" s="105"/>
      <c r="Q5" s="105"/>
    </row>
    <row r="6" spans="1:23" ht="15.75" thickBot="1" x14ac:dyDescent="0.25">
      <c r="E6" s="105"/>
      <c r="F6" s="105"/>
      <c r="G6" s="105"/>
      <c r="H6" s="105"/>
      <c r="I6" s="105"/>
      <c r="J6" s="105"/>
      <c r="K6" s="105"/>
      <c r="L6" s="105"/>
      <c r="M6" s="105"/>
      <c r="N6" s="105"/>
      <c r="O6" s="105"/>
      <c r="P6" s="105"/>
      <c r="Q6" s="105"/>
    </row>
    <row r="7" spans="1:23" ht="16.5" thickBot="1" x14ac:dyDescent="0.3">
      <c r="A7" s="106"/>
      <c r="B7" s="107" t="s">
        <v>0</v>
      </c>
      <c r="C7" s="108"/>
      <c r="D7" s="108"/>
      <c r="E7" s="170"/>
      <c r="F7" s="170"/>
      <c r="G7" s="170"/>
      <c r="H7" s="170"/>
      <c r="I7" s="170"/>
      <c r="J7" s="170"/>
      <c r="K7" s="170"/>
      <c r="L7" s="170"/>
      <c r="M7" s="170"/>
      <c r="N7" s="170"/>
      <c r="O7" s="170"/>
      <c r="P7" s="170"/>
      <c r="Q7" s="170"/>
      <c r="R7" s="108"/>
      <c r="S7" s="108"/>
      <c r="T7" s="108"/>
      <c r="U7" s="109"/>
      <c r="V7" s="107" t="s">
        <v>0</v>
      </c>
      <c r="W7" s="108"/>
    </row>
    <row r="8" spans="1:23" ht="63.75" thickBot="1" x14ac:dyDescent="0.3">
      <c r="A8" s="248" t="s">
        <v>60</v>
      </c>
      <c r="B8" s="83" t="s">
        <v>3</v>
      </c>
      <c r="C8" s="55" t="s">
        <v>2</v>
      </c>
      <c r="D8" s="56" t="s">
        <v>97</v>
      </c>
      <c r="E8" s="57" t="s">
        <v>124</v>
      </c>
      <c r="F8" s="103" t="s">
        <v>4</v>
      </c>
      <c r="G8" s="58" t="s">
        <v>5</v>
      </c>
      <c r="H8" s="58" t="s">
        <v>6</v>
      </c>
      <c r="I8" s="58" t="s">
        <v>7</v>
      </c>
      <c r="J8" s="58" t="s">
        <v>8</v>
      </c>
      <c r="K8" s="58" t="s">
        <v>9</v>
      </c>
      <c r="L8" s="58" t="s">
        <v>10</v>
      </c>
      <c r="M8" s="58" t="s">
        <v>11</v>
      </c>
      <c r="N8" s="58" t="s">
        <v>12</v>
      </c>
      <c r="O8" s="58" t="s">
        <v>13</v>
      </c>
      <c r="P8" s="58" t="s">
        <v>14</v>
      </c>
      <c r="Q8" s="58" t="s">
        <v>15</v>
      </c>
      <c r="R8" s="59" t="s">
        <v>16</v>
      </c>
      <c r="S8" s="60" t="s">
        <v>125</v>
      </c>
      <c r="T8" s="57" t="s">
        <v>19</v>
      </c>
      <c r="U8" s="61" t="s">
        <v>41</v>
      </c>
      <c r="V8" s="83" t="s">
        <v>3</v>
      </c>
      <c r="W8" s="55" t="s">
        <v>2</v>
      </c>
    </row>
    <row r="9" spans="1:23" x14ac:dyDescent="0.2">
      <c r="A9" s="249"/>
      <c r="B9" s="110"/>
      <c r="C9" s="435"/>
      <c r="D9" s="435"/>
      <c r="E9" s="436"/>
      <c r="F9" s="436">
        <v>1</v>
      </c>
      <c r="G9" s="436"/>
      <c r="H9" s="436"/>
      <c r="I9" s="436"/>
      <c r="J9" s="436"/>
      <c r="K9" s="436"/>
      <c r="L9" s="436"/>
      <c r="M9" s="436"/>
      <c r="N9" s="436"/>
      <c r="O9" s="436"/>
      <c r="P9" s="436"/>
      <c r="Q9" s="436"/>
      <c r="R9" s="435"/>
      <c r="S9" s="437"/>
      <c r="T9" s="438"/>
      <c r="U9" s="111"/>
      <c r="V9" s="110"/>
      <c r="W9" s="435"/>
    </row>
    <row r="10" spans="1:23" x14ac:dyDescent="0.2">
      <c r="A10" s="104">
        <v>22384</v>
      </c>
      <c r="B10" s="112">
        <v>2012</v>
      </c>
      <c r="C10" s="252" t="s">
        <v>26</v>
      </c>
      <c r="D10" s="272">
        <v>36</v>
      </c>
      <c r="E10" s="255">
        <v>208</v>
      </c>
      <c r="F10" s="287">
        <v>23</v>
      </c>
      <c r="G10" s="287">
        <v>9</v>
      </c>
      <c r="H10" s="287">
        <v>8</v>
      </c>
      <c r="I10" s="287">
        <v>17</v>
      </c>
      <c r="J10" s="287">
        <v>27</v>
      </c>
      <c r="K10" s="287">
        <v>16</v>
      </c>
      <c r="L10" s="287">
        <v>15</v>
      </c>
      <c r="M10" s="287">
        <v>15</v>
      </c>
      <c r="N10" s="287">
        <v>23</v>
      </c>
      <c r="O10" s="287">
        <v>28</v>
      </c>
      <c r="P10" s="287">
        <v>22</v>
      </c>
      <c r="Q10" s="287"/>
      <c r="R10" s="439">
        <f t="shared" ref="R10:R51" si="0">SUM(F10:Q10)</f>
        <v>203</v>
      </c>
      <c r="S10" s="440">
        <f>IFERROR((AVERAGE(F10:Q10)),0)</f>
        <v>18.454545454545453</v>
      </c>
      <c r="T10" s="441">
        <f>IFERROR((U10/S10),0)</f>
        <v>0.27093596059113301</v>
      </c>
      <c r="U10" s="113">
        <f>SUM(E10-R10)</f>
        <v>5</v>
      </c>
      <c r="V10" s="112">
        <v>2012</v>
      </c>
      <c r="W10" s="252" t="s">
        <v>26</v>
      </c>
    </row>
    <row r="11" spans="1:23" x14ac:dyDescent="0.2">
      <c r="A11" s="104">
        <v>28361</v>
      </c>
      <c r="B11" s="112">
        <v>2012</v>
      </c>
      <c r="C11" s="252" t="s">
        <v>24</v>
      </c>
      <c r="D11" s="272">
        <v>22</v>
      </c>
      <c r="E11" s="255">
        <v>96</v>
      </c>
      <c r="F11" s="287">
        <v>22</v>
      </c>
      <c r="G11" s="287">
        <v>19</v>
      </c>
      <c r="H11" s="287">
        <v>13</v>
      </c>
      <c r="I11" s="287">
        <v>26</v>
      </c>
      <c r="J11" s="287">
        <v>16</v>
      </c>
      <c r="K11" s="260"/>
      <c r="L11" s="260"/>
      <c r="M11" s="260"/>
      <c r="N11" s="260"/>
      <c r="O11" s="260"/>
      <c r="P11" s="260"/>
      <c r="Q11" s="260"/>
      <c r="R11" s="439">
        <f t="shared" si="0"/>
        <v>96</v>
      </c>
      <c r="S11" s="440">
        <f>IFERROR((AVERAGE(F11:Q11)),0)</f>
        <v>19.2</v>
      </c>
      <c r="T11" s="441">
        <f>IFERROR((U11/S11),0)</f>
        <v>0</v>
      </c>
      <c r="U11" s="113">
        <f>SUM(E11-R11)</f>
        <v>0</v>
      </c>
      <c r="V11" s="112">
        <v>2012</v>
      </c>
      <c r="W11" s="252" t="s">
        <v>24</v>
      </c>
    </row>
    <row r="12" spans="1:23" x14ac:dyDescent="0.2">
      <c r="A12" s="249"/>
      <c r="B12" s="249"/>
      <c r="C12" s="249"/>
      <c r="D12" s="249"/>
      <c r="E12" s="249"/>
      <c r="F12" s="249"/>
      <c r="G12" s="249"/>
      <c r="H12" s="249"/>
      <c r="I12" s="249"/>
      <c r="J12" s="249"/>
      <c r="K12" s="249"/>
      <c r="L12" s="249"/>
      <c r="M12" s="249"/>
      <c r="N12" s="249"/>
      <c r="O12" s="251"/>
      <c r="P12" s="251"/>
      <c r="Q12" s="249"/>
      <c r="R12" s="249"/>
      <c r="S12" s="249"/>
      <c r="T12" s="249"/>
      <c r="U12" s="249"/>
      <c r="V12" s="249"/>
      <c r="W12" s="249"/>
    </row>
    <row r="13" spans="1:23" x14ac:dyDescent="0.2">
      <c r="A13" s="252">
        <v>57632</v>
      </c>
      <c r="B13" s="112">
        <v>2013</v>
      </c>
      <c r="C13" s="252" t="s">
        <v>31</v>
      </c>
      <c r="D13" s="272">
        <v>45</v>
      </c>
      <c r="E13" s="255">
        <v>24</v>
      </c>
      <c r="F13" s="287">
        <v>21</v>
      </c>
      <c r="G13" s="287">
        <v>3</v>
      </c>
      <c r="H13" s="260"/>
      <c r="I13" s="260"/>
      <c r="J13" s="260"/>
      <c r="K13" s="260"/>
      <c r="L13" s="260"/>
      <c r="M13" s="260"/>
      <c r="N13" s="260"/>
      <c r="O13" s="260"/>
      <c r="P13" s="260"/>
      <c r="Q13" s="260"/>
      <c r="R13" s="439">
        <f t="shared" si="0"/>
        <v>24</v>
      </c>
      <c r="S13" s="440">
        <f t="shared" ref="S13:S21" si="1">IFERROR((AVERAGE(F13:Q13)),0)</f>
        <v>12</v>
      </c>
      <c r="T13" s="441">
        <f t="shared" ref="T13:T21" si="2">IFERROR((U13/S13),0)</f>
        <v>0</v>
      </c>
      <c r="U13" s="113">
        <f t="shared" ref="U13:U18" si="3">SUM(E13-R13)</f>
        <v>0</v>
      </c>
      <c r="V13" s="112">
        <v>2013</v>
      </c>
      <c r="W13" s="252" t="s">
        <v>31</v>
      </c>
    </row>
    <row r="14" spans="1:23" x14ac:dyDescent="0.2">
      <c r="A14" s="252">
        <v>57630</v>
      </c>
      <c r="B14" s="112">
        <v>2013</v>
      </c>
      <c r="C14" s="252" t="s">
        <v>25</v>
      </c>
      <c r="D14" s="272">
        <v>45</v>
      </c>
      <c r="E14" s="255">
        <v>406</v>
      </c>
      <c r="F14" s="287">
        <v>32</v>
      </c>
      <c r="G14" s="287">
        <v>24</v>
      </c>
      <c r="H14" s="287">
        <v>27</v>
      </c>
      <c r="I14" s="287">
        <v>49</v>
      </c>
      <c r="J14" s="287">
        <f>274-227</f>
        <v>47</v>
      </c>
      <c r="K14" s="287">
        <v>75</v>
      </c>
      <c r="L14" s="287">
        <v>48</v>
      </c>
      <c r="M14" s="287">
        <v>53</v>
      </c>
      <c r="N14" s="287">
        <v>51</v>
      </c>
      <c r="O14" s="260"/>
      <c r="P14" s="260"/>
      <c r="Q14" s="260"/>
      <c r="R14" s="439">
        <f t="shared" si="0"/>
        <v>406</v>
      </c>
      <c r="S14" s="440">
        <f t="shared" si="1"/>
        <v>45.111111111111114</v>
      </c>
      <c r="T14" s="441">
        <f t="shared" si="2"/>
        <v>0</v>
      </c>
      <c r="U14" s="113">
        <f t="shared" si="3"/>
        <v>0</v>
      </c>
      <c r="V14" s="112">
        <v>2013</v>
      </c>
      <c r="W14" s="252" t="s">
        <v>25</v>
      </c>
    </row>
    <row r="15" spans="1:23" x14ac:dyDescent="0.2">
      <c r="A15" s="252">
        <v>22382</v>
      </c>
      <c r="B15" s="112">
        <v>2013</v>
      </c>
      <c r="C15" s="252" t="s">
        <v>23</v>
      </c>
      <c r="D15" s="272">
        <v>29</v>
      </c>
      <c r="E15" s="255">
        <v>190</v>
      </c>
      <c r="F15" s="287">
        <v>31</v>
      </c>
      <c r="G15" s="287">
        <v>55</v>
      </c>
      <c r="H15" s="287">
        <v>25</v>
      </c>
      <c r="I15" s="287">
        <v>45</v>
      </c>
      <c r="J15" s="257">
        <v>-15</v>
      </c>
      <c r="K15" s="287">
        <f>49-21</f>
        <v>28</v>
      </c>
      <c r="L15" s="287">
        <v>21</v>
      </c>
      <c r="M15" s="260"/>
      <c r="N15" s="260"/>
      <c r="O15" s="260"/>
      <c r="P15" s="260"/>
      <c r="Q15" s="442"/>
      <c r="R15" s="439">
        <f t="shared" si="0"/>
        <v>190</v>
      </c>
      <c r="S15" s="440">
        <f t="shared" si="1"/>
        <v>27.142857142857142</v>
      </c>
      <c r="T15" s="441">
        <f t="shared" si="2"/>
        <v>0</v>
      </c>
      <c r="U15" s="113">
        <f t="shared" si="3"/>
        <v>0</v>
      </c>
      <c r="V15" s="112">
        <v>2013</v>
      </c>
      <c r="W15" s="252" t="s">
        <v>23</v>
      </c>
    </row>
    <row r="16" spans="1:23" x14ac:dyDescent="0.2">
      <c r="A16" s="252">
        <v>84802</v>
      </c>
      <c r="B16" s="112">
        <v>2013</v>
      </c>
      <c r="C16" s="252" t="s">
        <v>93</v>
      </c>
      <c r="D16" s="272">
        <v>18</v>
      </c>
      <c r="E16" s="255">
        <v>81</v>
      </c>
      <c r="F16" s="287">
        <v>11</v>
      </c>
      <c r="G16" s="287">
        <v>4</v>
      </c>
      <c r="H16" s="287">
        <v>2</v>
      </c>
      <c r="I16" s="287">
        <v>11</v>
      </c>
      <c r="J16" s="287">
        <v>8</v>
      </c>
      <c r="K16" s="287">
        <v>7</v>
      </c>
      <c r="L16" s="287">
        <v>20</v>
      </c>
      <c r="M16" s="287">
        <v>6</v>
      </c>
      <c r="N16" s="287">
        <v>12</v>
      </c>
      <c r="O16" s="260" t="s">
        <v>35</v>
      </c>
      <c r="P16" s="260"/>
      <c r="Q16" s="442"/>
      <c r="R16" s="439">
        <f t="shared" si="0"/>
        <v>81</v>
      </c>
      <c r="S16" s="440">
        <f t="shared" si="1"/>
        <v>9</v>
      </c>
      <c r="T16" s="441">
        <f t="shared" si="2"/>
        <v>0</v>
      </c>
      <c r="U16" s="113">
        <f t="shared" si="3"/>
        <v>0</v>
      </c>
      <c r="V16" s="112">
        <v>2013</v>
      </c>
      <c r="W16" s="252" t="s">
        <v>93</v>
      </c>
    </row>
    <row r="17" spans="1:23" x14ac:dyDescent="0.2">
      <c r="A17" s="252">
        <v>22384</v>
      </c>
      <c r="B17" s="112">
        <v>2013</v>
      </c>
      <c r="C17" s="252" t="s">
        <v>26</v>
      </c>
      <c r="D17" s="272">
        <v>36</v>
      </c>
      <c r="E17" s="255">
        <v>249</v>
      </c>
      <c r="F17" s="443">
        <v>6</v>
      </c>
      <c r="G17" s="443"/>
      <c r="H17" s="443">
        <v>1</v>
      </c>
      <c r="I17" s="443">
        <v>1</v>
      </c>
      <c r="J17" s="443">
        <v>0</v>
      </c>
      <c r="K17" s="443">
        <v>0</v>
      </c>
      <c r="L17" s="443">
        <v>0</v>
      </c>
      <c r="M17" s="443">
        <v>0</v>
      </c>
      <c r="N17" s="443"/>
      <c r="O17" s="443">
        <v>8</v>
      </c>
      <c r="P17" s="255">
        <v>11</v>
      </c>
      <c r="Q17" s="255">
        <v>18</v>
      </c>
      <c r="R17" s="439">
        <f t="shared" si="0"/>
        <v>45</v>
      </c>
      <c r="S17" s="440">
        <f t="shared" si="1"/>
        <v>4.5</v>
      </c>
      <c r="T17" s="441">
        <f t="shared" si="2"/>
        <v>45.333333333333336</v>
      </c>
      <c r="U17" s="113">
        <f t="shared" si="3"/>
        <v>204</v>
      </c>
      <c r="V17" s="112">
        <v>2013</v>
      </c>
      <c r="W17" s="252" t="s">
        <v>26</v>
      </c>
    </row>
    <row r="18" spans="1:23" x14ac:dyDescent="0.2">
      <c r="A18" s="252">
        <v>27736</v>
      </c>
      <c r="B18" s="112">
        <v>2013</v>
      </c>
      <c r="C18" s="252" t="s">
        <v>70</v>
      </c>
      <c r="D18" s="272">
        <v>22</v>
      </c>
      <c r="E18" s="255">
        <v>232</v>
      </c>
      <c r="F18" s="287">
        <v>30</v>
      </c>
      <c r="G18" s="287">
        <v>28</v>
      </c>
      <c r="H18" s="287">
        <v>24</v>
      </c>
      <c r="I18" s="287">
        <v>51</v>
      </c>
      <c r="J18" s="287">
        <v>33</v>
      </c>
      <c r="K18" s="287">
        <v>34</v>
      </c>
      <c r="L18" s="287">
        <v>32</v>
      </c>
      <c r="M18" s="260"/>
      <c r="N18" s="260"/>
      <c r="O18" s="260"/>
      <c r="P18" s="260"/>
      <c r="Q18" s="260"/>
      <c r="R18" s="439">
        <f t="shared" si="0"/>
        <v>232</v>
      </c>
      <c r="S18" s="440">
        <f t="shared" si="1"/>
        <v>33.142857142857146</v>
      </c>
      <c r="T18" s="441">
        <f t="shared" si="2"/>
        <v>0</v>
      </c>
      <c r="U18" s="113">
        <f t="shared" si="3"/>
        <v>0</v>
      </c>
      <c r="V18" s="112">
        <v>2013</v>
      </c>
      <c r="W18" s="252" t="s">
        <v>70</v>
      </c>
    </row>
    <row r="19" spans="1:23" x14ac:dyDescent="0.2">
      <c r="A19" s="252">
        <v>28361</v>
      </c>
      <c r="B19" s="112">
        <v>2013</v>
      </c>
      <c r="C19" s="252" t="s">
        <v>24</v>
      </c>
      <c r="D19" s="272">
        <v>22</v>
      </c>
      <c r="E19" s="255">
        <v>259</v>
      </c>
      <c r="F19" s="443">
        <v>53</v>
      </c>
      <c r="G19" s="443"/>
      <c r="H19" s="443">
        <v>5</v>
      </c>
      <c r="I19" s="443"/>
      <c r="J19" s="443">
        <v>16</v>
      </c>
      <c r="K19" s="443">
        <v>21</v>
      </c>
      <c r="L19" s="287">
        <v>22</v>
      </c>
      <c r="M19" s="287">
        <v>20</v>
      </c>
      <c r="N19" s="287">
        <v>25</v>
      </c>
      <c r="O19" s="287">
        <v>10</v>
      </c>
      <c r="P19" s="287">
        <v>0</v>
      </c>
      <c r="Q19" s="287">
        <v>0</v>
      </c>
      <c r="R19" s="439">
        <f t="shared" si="0"/>
        <v>172</v>
      </c>
      <c r="S19" s="440">
        <f t="shared" si="1"/>
        <v>17.2</v>
      </c>
      <c r="T19" s="441">
        <f t="shared" si="2"/>
        <v>5.058139534883721</v>
      </c>
      <c r="U19" s="113">
        <f>SUM(E19-R19)</f>
        <v>87</v>
      </c>
      <c r="V19" s="112">
        <v>2013</v>
      </c>
      <c r="W19" s="252" t="s">
        <v>24</v>
      </c>
    </row>
    <row r="20" spans="1:23" x14ac:dyDescent="0.2">
      <c r="A20" s="252">
        <v>22921</v>
      </c>
      <c r="B20" s="112">
        <v>2013</v>
      </c>
      <c r="C20" s="252" t="s">
        <v>22</v>
      </c>
      <c r="D20" s="272">
        <v>50</v>
      </c>
      <c r="E20" s="255">
        <v>478</v>
      </c>
      <c r="F20" s="287">
        <v>26</v>
      </c>
      <c r="G20" s="287">
        <v>38</v>
      </c>
      <c r="H20" s="287">
        <v>32</v>
      </c>
      <c r="I20" s="287">
        <v>49</v>
      </c>
      <c r="J20" s="287">
        <v>68</v>
      </c>
      <c r="K20" s="287">
        <v>55</v>
      </c>
      <c r="L20" s="287">
        <v>47</v>
      </c>
      <c r="M20" s="287">
        <v>54</v>
      </c>
      <c r="N20" s="287">
        <v>43</v>
      </c>
      <c r="O20" s="287">
        <v>61</v>
      </c>
      <c r="P20" s="139">
        <v>5</v>
      </c>
      <c r="Q20" s="260"/>
      <c r="R20" s="439">
        <f t="shared" si="0"/>
        <v>478</v>
      </c>
      <c r="S20" s="440">
        <f t="shared" si="1"/>
        <v>43.454545454545453</v>
      </c>
      <c r="T20" s="441">
        <f t="shared" si="2"/>
        <v>0</v>
      </c>
      <c r="U20" s="113">
        <f>SUM(E20-R20)</f>
        <v>0</v>
      </c>
      <c r="V20" s="112">
        <v>2013</v>
      </c>
      <c r="W20" s="252" t="s">
        <v>22</v>
      </c>
    </row>
    <row r="21" spans="1:23" x14ac:dyDescent="0.2">
      <c r="A21" s="252">
        <v>34641</v>
      </c>
      <c r="B21" s="112">
        <v>2013</v>
      </c>
      <c r="C21" s="252" t="s">
        <v>66</v>
      </c>
      <c r="D21" s="272">
        <v>31</v>
      </c>
      <c r="E21" s="255">
        <v>273</v>
      </c>
      <c r="F21" s="287">
        <v>22</v>
      </c>
      <c r="G21" s="287">
        <v>17</v>
      </c>
      <c r="H21" s="287">
        <v>35</v>
      </c>
      <c r="I21" s="287">
        <v>35</v>
      </c>
      <c r="J21" s="257">
        <v>15</v>
      </c>
      <c r="K21" s="287">
        <v>1</v>
      </c>
      <c r="L21" s="287">
        <v>25</v>
      </c>
      <c r="M21" s="287">
        <v>29</v>
      </c>
      <c r="N21" s="287">
        <v>38</v>
      </c>
      <c r="O21" s="287">
        <v>18</v>
      </c>
      <c r="P21" s="287">
        <v>31</v>
      </c>
      <c r="Q21" s="260"/>
      <c r="R21" s="439">
        <f t="shared" si="0"/>
        <v>266</v>
      </c>
      <c r="S21" s="440">
        <f t="shared" si="1"/>
        <v>24.181818181818183</v>
      </c>
      <c r="T21" s="441">
        <f t="shared" si="2"/>
        <v>0.28947368421052627</v>
      </c>
      <c r="U21" s="113">
        <f>SUM(E21-R21)</f>
        <v>7</v>
      </c>
      <c r="V21" s="112">
        <v>2013</v>
      </c>
      <c r="W21" s="252" t="s">
        <v>66</v>
      </c>
    </row>
    <row r="22" spans="1:23" x14ac:dyDescent="0.2">
      <c r="A22" s="249"/>
      <c r="B22" s="110"/>
      <c r="C22" s="435"/>
      <c r="D22" s="437"/>
      <c r="E22" s="436"/>
      <c r="F22" s="436"/>
      <c r="G22" s="436"/>
      <c r="H22" s="436"/>
      <c r="I22" s="436"/>
      <c r="J22" s="436"/>
      <c r="K22" s="436"/>
      <c r="L22" s="436"/>
      <c r="M22" s="436"/>
      <c r="N22" s="436"/>
      <c r="O22" s="436"/>
      <c r="P22" s="436"/>
      <c r="Q22" s="436"/>
      <c r="R22" s="435"/>
      <c r="S22" s="437"/>
      <c r="T22" s="438"/>
      <c r="U22" s="114"/>
      <c r="V22" s="110"/>
      <c r="W22" s="435"/>
    </row>
    <row r="23" spans="1:23" x14ac:dyDescent="0.2">
      <c r="A23" s="252">
        <v>11198</v>
      </c>
      <c r="B23" s="492">
        <v>2014</v>
      </c>
      <c r="C23" s="252" t="s">
        <v>46</v>
      </c>
      <c r="D23" s="272"/>
      <c r="E23" s="255">
        <v>59</v>
      </c>
      <c r="F23" s="287">
        <v>40</v>
      </c>
      <c r="G23" s="287">
        <v>13</v>
      </c>
      <c r="H23" s="287">
        <v>6</v>
      </c>
      <c r="I23" s="260"/>
      <c r="J23" s="260"/>
      <c r="K23" s="260"/>
      <c r="L23" s="260"/>
      <c r="M23" s="260"/>
      <c r="N23" s="260"/>
      <c r="O23" s="115"/>
      <c r="P23" s="260"/>
      <c r="Q23" s="260"/>
      <c r="R23" s="439">
        <f t="shared" si="0"/>
        <v>59</v>
      </c>
      <c r="S23" s="440">
        <f t="shared" ref="S23:S34" si="4">IFERROR((AVERAGE(F23:Q23)),0)</f>
        <v>19.666666666666668</v>
      </c>
      <c r="T23" s="441">
        <f t="shared" ref="T23:T34" si="5">IFERROR((U23/S23),0)</f>
        <v>0</v>
      </c>
      <c r="U23" s="113">
        <f t="shared" ref="U23:U31" si="6">SUM(E23-R23)</f>
        <v>0</v>
      </c>
      <c r="V23" s="492">
        <v>2014</v>
      </c>
      <c r="W23" s="252" t="s">
        <v>46</v>
      </c>
    </row>
    <row r="24" spans="1:23" x14ac:dyDescent="0.2">
      <c r="A24" s="252">
        <v>57632</v>
      </c>
      <c r="B24" s="492">
        <v>2014</v>
      </c>
      <c r="C24" s="252" t="s">
        <v>31</v>
      </c>
      <c r="D24" s="272"/>
      <c r="E24" s="255">
        <v>444</v>
      </c>
      <c r="F24" s="443">
        <v>8</v>
      </c>
      <c r="G24" s="287">
        <v>18</v>
      </c>
      <c r="H24" s="287">
        <v>18</v>
      </c>
      <c r="I24" s="287">
        <v>40</v>
      </c>
      <c r="J24" s="287">
        <f>360-327</f>
        <v>33</v>
      </c>
      <c r="K24" s="287">
        <v>41</v>
      </c>
      <c r="L24" s="287">
        <v>49</v>
      </c>
      <c r="M24" s="287">
        <v>55</v>
      </c>
      <c r="N24" s="287">
        <v>25</v>
      </c>
      <c r="O24" s="287">
        <v>28</v>
      </c>
      <c r="P24" s="287">
        <v>89</v>
      </c>
      <c r="Q24" s="287">
        <v>0</v>
      </c>
      <c r="R24" s="439">
        <f t="shared" si="0"/>
        <v>404</v>
      </c>
      <c r="S24" s="440">
        <f t="shared" si="4"/>
        <v>33.666666666666664</v>
      </c>
      <c r="T24" s="441">
        <f t="shared" si="5"/>
        <v>1.1881188118811883</v>
      </c>
      <c r="U24" s="113">
        <f t="shared" si="6"/>
        <v>40</v>
      </c>
      <c r="V24" s="492">
        <v>2014</v>
      </c>
      <c r="W24" s="252" t="s">
        <v>31</v>
      </c>
    </row>
    <row r="25" spans="1:23" x14ac:dyDescent="0.2">
      <c r="A25" s="252">
        <v>57630</v>
      </c>
      <c r="B25" s="492">
        <v>2014</v>
      </c>
      <c r="C25" s="252" t="s">
        <v>25</v>
      </c>
      <c r="D25" s="272"/>
      <c r="E25" s="255">
        <v>469</v>
      </c>
      <c r="F25" s="443">
        <v>21</v>
      </c>
      <c r="G25" s="443">
        <v>9</v>
      </c>
      <c r="H25" s="443"/>
      <c r="I25" s="443">
        <v>6</v>
      </c>
      <c r="J25" s="443">
        <v>10</v>
      </c>
      <c r="K25" s="443">
        <v>2</v>
      </c>
      <c r="L25" s="443">
        <v>19</v>
      </c>
      <c r="M25" s="443">
        <v>6</v>
      </c>
      <c r="N25" s="287">
        <v>17</v>
      </c>
      <c r="O25" s="287">
        <v>43</v>
      </c>
      <c r="P25" s="287">
        <v>31</v>
      </c>
      <c r="Q25" s="287">
        <v>48</v>
      </c>
      <c r="R25" s="439">
        <f t="shared" si="0"/>
        <v>212</v>
      </c>
      <c r="S25" s="440">
        <f t="shared" si="4"/>
        <v>19.272727272727273</v>
      </c>
      <c r="T25" s="441">
        <f t="shared" si="5"/>
        <v>13.334905660377357</v>
      </c>
      <c r="U25" s="113">
        <f t="shared" si="6"/>
        <v>257</v>
      </c>
      <c r="V25" s="492">
        <v>2014</v>
      </c>
      <c r="W25" s="252" t="s">
        <v>25</v>
      </c>
    </row>
    <row r="26" spans="1:23" x14ac:dyDescent="0.2">
      <c r="A26" s="252">
        <v>22382</v>
      </c>
      <c r="B26" s="492">
        <v>2014</v>
      </c>
      <c r="C26" s="252" t="s">
        <v>23</v>
      </c>
      <c r="D26" s="272"/>
      <c r="E26" s="255">
        <v>308</v>
      </c>
      <c r="F26" s="443">
        <v>13</v>
      </c>
      <c r="G26" s="443">
        <v>8</v>
      </c>
      <c r="H26" s="443">
        <v>4</v>
      </c>
      <c r="I26" s="443">
        <v>3</v>
      </c>
      <c r="J26" s="443">
        <v>0</v>
      </c>
      <c r="K26" s="443">
        <v>0</v>
      </c>
      <c r="L26" s="287">
        <v>8</v>
      </c>
      <c r="M26" s="287">
        <v>30</v>
      </c>
      <c r="N26" s="287">
        <v>39</v>
      </c>
      <c r="O26" s="287">
        <v>49</v>
      </c>
      <c r="P26" s="287">
        <v>50</v>
      </c>
      <c r="Q26" s="287">
        <v>29</v>
      </c>
      <c r="R26" s="439">
        <f t="shared" si="0"/>
        <v>233</v>
      </c>
      <c r="S26" s="440">
        <f t="shared" si="4"/>
        <v>19.416666666666668</v>
      </c>
      <c r="T26" s="441">
        <f t="shared" si="5"/>
        <v>3.8626609442060085</v>
      </c>
      <c r="U26" s="113">
        <f t="shared" si="6"/>
        <v>75</v>
      </c>
      <c r="V26" s="492">
        <v>2014</v>
      </c>
      <c r="W26" s="252" t="s">
        <v>23</v>
      </c>
    </row>
    <row r="27" spans="1:23" x14ac:dyDescent="0.2">
      <c r="A27" s="252">
        <v>84802</v>
      </c>
      <c r="B27" s="492">
        <v>2014</v>
      </c>
      <c r="C27" s="252" t="s">
        <v>93</v>
      </c>
      <c r="D27" s="272"/>
      <c r="E27" s="255">
        <v>271</v>
      </c>
      <c r="F27" s="443">
        <v>1</v>
      </c>
      <c r="G27" s="443" t="s">
        <v>35</v>
      </c>
      <c r="H27" s="443"/>
      <c r="I27" s="443"/>
      <c r="J27" s="443">
        <v>2</v>
      </c>
      <c r="K27" s="443">
        <v>1</v>
      </c>
      <c r="L27" s="443">
        <v>0</v>
      </c>
      <c r="M27" s="443">
        <v>4</v>
      </c>
      <c r="N27" s="287">
        <v>12</v>
      </c>
      <c r="O27" s="287">
        <v>5</v>
      </c>
      <c r="P27" s="287">
        <v>23</v>
      </c>
      <c r="Q27" s="287">
        <v>68</v>
      </c>
      <c r="R27" s="439">
        <f t="shared" si="0"/>
        <v>116</v>
      </c>
      <c r="S27" s="440">
        <f t="shared" si="4"/>
        <v>12.888888888888889</v>
      </c>
      <c r="T27" s="441">
        <f t="shared" si="5"/>
        <v>12.025862068965516</v>
      </c>
      <c r="U27" s="113">
        <f t="shared" si="6"/>
        <v>155</v>
      </c>
      <c r="V27" s="492">
        <v>2014</v>
      </c>
      <c r="W27" s="252" t="s">
        <v>93</v>
      </c>
    </row>
    <row r="28" spans="1:23" x14ac:dyDescent="0.2">
      <c r="A28" s="252">
        <v>22384</v>
      </c>
      <c r="B28" s="492">
        <v>2014</v>
      </c>
      <c r="C28" s="252" t="s">
        <v>26</v>
      </c>
      <c r="D28" s="272"/>
      <c r="E28" s="255">
        <v>219</v>
      </c>
      <c r="F28" s="443">
        <v>12</v>
      </c>
      <c r="G28" s="443"/>
      <c r="H28" s="443">
        <v>8</v>
      </c>
      <c r="I28" s="443">
        <v>1</v>
      </c>
      <c r="J28" s="443">
        <v>3</v>
      </c>
      <c r="K28" s="443">
        <v>0</v>
      </c>
      <c r="L28" s="443">
        <v>0</v>
      </c>
      <c r="M28" s="443">
        <v>13</v>
      </c>
      <c r="N28" s="443"/>
      <c r="O28" s="443">
        <v>0</v>
      </c>
      <c r="P28" s="443">
        <v>0</v>
      </c>
      <c r="Q28" s="443">
        <v>0</v>
      </c>
      <c r="R28" s="439">
        <f t="shared" si="0"/>
        <v>37</v>
      </c>
      <c r="S28" s="440">
        <f t="shared" si="4"/>
        <v>3.7</v>
      </c>
      <c r="T28" s="441">
        <f t="shared" si="5"/>
        <v>49.189189189189186</v>
      </c>
      <c r="U28" s="113">
        <f t="shared" si="6"/>
        <v>182</v>
      </c>
      <c r="V28" s="492">
        <v>2014</v>
      </c>
      <c r="W28" s="252" t="s">
        <v>26</v>
      </c>
    </row>
    <row r="29" spans="1:23" x14ac:dyDescent="0.2">
      <c r="A29" s="252">
        <v>27736</v>
      </c>
      <c r="B29" s="492">
        <v>2014</v>
      </c>
      <c r="C29" s="252" t="s">
        <v>70</v>
      </c>
      <c r="D29" s="272"/>
      <c r="E29" s="255">
        <v>427</v>
      </c>
      <c r="F29" s="443">
        <v>3</v>
      </c>
      <c r="G29" s="443">
        <v>3</v>
      </c>
      <c r="H29" s="443"/>
      <c r="I29" s="443"/>
      <c r="J29" s="443">
        <v>2</v>
      </c>
      <c r="K29" s="443">
        <v>0</v>
      </c>
      <c r="L29" s="287">
        <v>35</v>
      </c>
      <c r="M29" s="287">
        <v>40</v>
      </c>
      <c r="N29" s="287">
        <v>44</v>
      </c>
      <c r="O29" s="287">
        <v>38</v>
      </c>
      <c r="P29" s="287">
        <v>44</v>
      </c>
      <c r="Q29" s="287">
        <v>39</v>
      </c>
      <c r="R29" s="439">
        <f t="shared" si="0"/>
        <v>248</v>
      </c>
      <c r="S29" s="440">
        <f t="shared" si="4"/>
        <v>24.8</v>
      </c>
      <c r="T29" s="441">
        <f t="shared" si="5"/>
        <v>7.217741935483871</v>
      </c>
      <c r="U29" s="113">
        <f t="shared" si="6"/>
        <v>179</v>
      </c>
      <c r="V29" s="492">
        <v>2014</v>
      </c>
      <c r="W29" s="252" t="s">
        <v>70</v>
      </c>
    </row>
    <row r="30" spans="1:23" x14ac:dyDescent="0.2">
      <c r="A30" s="252">
        <v>28361</v>
      </c>
      <c r="B30" s="492">
        <v>2014</v>
      </c>
      <c r="C30" s="252" t="s">
        <v>24</v>
      </c>
      <c r="D30" s="272"/>
      <c r="E30" s="255">
        <v>141</v>
      </c>
      <c r="F30" s="443">
        <v>15</v>
      </c>
      <c r="G30" s="443"/>
      <c r="H30" s="443"/>
      <c r="I30" s="443">
        <v>6</v>
      </c>
      <c r="J30" s="443">
        <v>7</v>
      </c>
      <c r="K30" s="443">
        <v>4</v>
      </c>
      <c r="L30" s="443">
        <v>1</v>
      </c>
      <c r="M30" s="443">
        <v>1</v>
      </c>
      <c r="N30" s="443">
        <v>4</v>
      </c>
      <c r="O30" s="443">
        <v>2</v>
      </c>
      <c r="P30" s="443">
        <v>0</v>
      </c>
      <c r="Q30" s="443">
        <v>0</v>
      </c>
      <c r="R30" s="439">
        <f t="shared" si="0"/>
        <v>40</v>
      </c>
      <c r="S30" s="440">
        <f t="shared" si="4"/>
        <v>4</v>
      </c>
      <c r="T30" s="441">
        <f t="shared" si="5"/>
        <v>25.25</v>
      </c>
      <c r="U30" s="113">
        <f t="shared" si="6"/>
        <v>101</v>
      </c>
      <c r="V30" s="492">
        <v>2014</v>
      </c>
      <c r="W30" s="252" t="s">
        <v>24</v>
      </c>
    </row>
    <row r="31" spans="1:23" x14ac:dyDescent="0.2">
      <c r="A31" s="252">
        <v>22921</v>
      </c>
      <c r="B31" s="492">
        <v>2014</v>
      </c>
      <c r="C31" s="252" t="s">
        <v>22</v>
      </c>
      <c r="D31" s="272"/>
      <c r="E31" s="255">
        <v>676</v>
      </c>
      <c r="F31" s="443">
        <v>1</v>
      </c>
      <c r="G31" s="443">
        <v>22</v>
      </c>
      <c r="H31" s="443">
        <v>7</v>
      </c>
      <c r="I31" s="443"/>
      <c r="J31" s="443">
        <v>0</v>
      </c>
      <c r="K31" s="443">
        <v>0</v>
      </c>
      <c r="L31" s="443">
        <v>0</v>
      </c>
      <c r="M31" s="443"/>
      <c r="N31" s="443"/>
      <c r="O31" s="443">
        <v>5</v>
      </c>
      <c r="P31" s="443">
        <v>2</v>
      </c>
      <c r="Q31" s="255">
        <v>126</v>
      </c>
      <c r="R31" s="439">
        <f t="shared" si="0"/>
        <v>163</v>
      </c>
      <c r="S31" s="440">
        <f t="shared" si="4"/>
        <v>18.111111111111111</v>
      </c>
      <c r="T31" s="441">
        <f t="shared" si="5"/>
        <v>28.325153374233128</v>
      </c>
      <c r="U31" s="113">
        <f t="shared" si="6"/>
        <v>513</v>
      </c>
      <c r="V31" s="492">
        <v>2014</v>
      </c>
      <c r="W31" s="252" t="s">
        <v>22</v>
      </c>
    </row>
    <row r="32" spans="1:23" x14ac:dyDescent="0.2">
      <c r="A32" s="361">
        <v>34641</v>
      </c>
      <c r="B32" s="492">
        <v>2014</v>
      </c>
      <c r="C32" s="361" t="s">
        <v>66</v>
      </c>
      <c r="D32" s="444"/>
      <c r="E32" s="445">
        <v>372</v>
      </c>
      <c r="F32" s="446">
        <v>5</v>
      </c>
      <c r="G32" s="446"/>
      <c r="H32" s="446"/>
      <c r="I32" s="446">
        <v>3</v>
      </c>
      <c r="J32" s="446">
        <v>4</v>
      </c>
      <c r="K32" s="446">
        <v>0</v>
      </c>
      <c r="L32" s="446">
        <v>0</v>
      </c>
      <c r="M32" s="446">
        <v>3</v>
      </c>
      <c r="N32" s="446"/>
      <c r="O32" s="446">
        <v>0</v>
      </c>
      <c r="P32" s="446">
        <v>0</v>
      </c>
      <c r="Q32" s="446">
        <v>0</v>
      </c>
      <c r="R32" s="439">
        <f t="shared" si="0"/>
        <v>15</v>
      </c>
      <c r="S32" s="440">
        <f t="shared" si="4"/>
        <v>1.6666666666666667</v>
      </c>
      <c r="T32" s="441">
        <f t="shared" si="5"/>
        <v>214.2</v>
      </c>
      <c r="U32" s="447">
        <f>SUM(E32-R32)</f>
        <v>357</v>
      </c>
      <c r="V32" s="492">
        <v>2014</v>
      </c>
      <c r="W32" s="361" t="s">
        <v>66</v>
      </c>
    </row>
    <row r="33" spans="1:28" x14ac:dyDescent="0.2">
      <c r="A33" s="252">
        <v>18004</v>
      </c>
      <c r="B33" s="253">
        <v>2014</v>
      </c>
      <c r="C33" s="252" t="s">
        <v>126</v>
      </c>
      <c r="D33" s="272"/>
      <c r="E33" s="255">
        <v>226</v>
      </c>
      <c r="F33" s="443">
        <v>3</v>
      </c>
      <c r="G33" s="443">
        <v>8</v>
      </c>
      <c r="H33" s="443">
        <v>5</v>
      </c>
      <c r="I33" s="443">
        <v>7</v>
      </c>
      <c r="J33" s="443">
        <v>9</v>
      </c>
      <c r="K33" s="443">
        <v>13</v>
      </c>
      <c r="L33" s="287">
        <v>17</v>
      </c>
      <c r="M33" s="287">
        <v>18</v>
      </c>
      <c r="N33" s="287">
        <v>16</v>
      </c>
      <c r="O33" s="287">
        <v>13</v>
      </c>
      <c r="P33" s="287">
        <v>21</v>
      </c>
      <c r="Q33" s="287">
        <v>14</v>
      </c>
      <c r="R33" s="439">
        <f t="shared" si="0"/>
        <v>144</v>
      </c>
      <c r="S33" s="440">
        <f t="shared" si="4"/>
        <v>12</v>
      </c>
      <c r="T33" s="441">
        <f t="shared" si="5"/>
        <v>6.833333333333333</v>
      </c>
      <c r="U33" s="447">
        <f>SUM(E33-R33)</f>
        <v>82</v>
      </c>
      <c r="V33" s="253">
        <v>2014</v>
      </c>
      <c r="W33" s="252" t="s">
        <v>127</v>
      </c>
    </row>
    <row r="34" spans="1:28" x14ac:dyDescent="0.2">
      <c r="A34" s="252">
        <v>86051</v>
      </c>
      <c r="B34" s="253">
        <v>2014</v>
      </c>
      <c r="C34" s="252" t="s">
        <v>94</v>
      </c>
      <c r="D34" s="273"/>
      <c r="E34" s="255">
        <v>322</v>
      </c>
      <c r="F34" s="443">
        <v>2</v>
      </c>
      <c r="G34" s="443"/>
      <c r="H34" s="443">
        <v>2</v>
      </c>
      <c r="I34" s="287">
        <v>18</v>
      </c>
      <c r="J34" s="257">
        <v>15</v>
      </c>
      <c r="K34" s="287">
        <f>285-252</f>
        <v>33</v>
      </c>
      <c r="L34" s="287">
        <v>33</v>
      </c>
      <c r="M34" s="287">
        <v>76</v>
      </c>
      <c r="N34" s="287">
        <v>38</v>
      </c>
      <c r="O34" s="287">
        <v>35</v>
      </c>
      <c r="P34" s="287">
        <v>53</v>
      </c>
      <c r="Q34" s="287">
        <v>7</v>
      </c>
      <c r="R34" s="439">
        <f t="shared" si="0"/>
        <v>312</v>
      </c>
      <c r="S34" s="440">
        <f t="shared" si="4"/>
        <v>28.363636363636363</v>
      </c>
      <c r="T34" s="441">
        <f t="shared" si="5"/>
        <v>0.35256410256410259</v>
      </c>
      <c r="U34" s="447">
        <f>SUM(E34-R34)</f>
        <v>10</v>
      </c>
      <c r="V34" s="253">
        <v>2014</v>
      </c>
      <c r="W34" s="252" t="s">
        <v>94</v>
      </c>
    </row>
    <row r="35" spans="1:28" x14ac:dyDescent="0.2">
      <c r="A35" s="252">
        <v>28381</v>
      </c>
      <c r="B35" s="253">
        <v>2014</v>
      </c>
      <c r="C35" s="252" t="s">
        <v>100</v>
      </c>
      <c r="D35" s="273"/>
      <c r="E35" s="255">
        <f>84+225</f>
        <v>309</v>
      </c>
      <c r="F35" s="287">
        <v>27</v>
      </c>
      <c r="G35" s="287">
        <v>9</v>
      </c>
      <c r="H35" s="287">
        <v>32</v>
      </c>
      <c r="I35" s="287">
        <v>16</v>
      </c>
      <c r="J35" s="260"/>
      <c r="K35" s="287"/>
      <c r="L35" s="287">
        <v>41</v>
      </c>
      <c r="M35" s="287">
        <v>56</v>
      </c>
      <c r="N35" s="287"/>
      <c r="O35" s="287">
        <v>0</v>
      </c>
      <c r="P35" s="287">
        <v>0</v>
      </c>
      <c r="Q35" s="287">
        <v>0</v>
      </c>
      <c r="R35" s="439">
        <f t="shared" si="0"/>
        <v>181</v>
      </c>
      <c r="S35" s="440">
        <f>IFERROR((AVERAGE(F35:Q35)),0)</f>
        <v>20.111111111111111</v>
      </c>
      <c r="T35" s="441">
        <f>IFERROR((U35/S35),0)</f>
        <v>6.3646408839779003</v>
      </c>
      <c r="U35" s="447">
        <f>SUM(E35-R35)</f>
        <v>128</v>
      </c>
      <c r="V35" s="253">
        <v>2014</v>
      </c>
      <c r="W35" s="252" t="s">
        <v>100</v>
      </c>
    </row>
    <row r="36" spans="1:28" x14ac:dyDescent="0.2">
      <c r="A36" s="249"/>
      <c r="B36" s="249"/>
      <c r="C36" s="249"/>
      <c r="D36" s="249"/>
      <c r="E36" s="251"/>
      <c r="F36" s="249"/>
      <c r="G36" s="249"/>
      <c r="H36" s="249"/>
      <c r="I36" s="249"/>
      <c r="J36" s="249"/>
      <c r="K36" s="249"/>
      <c r="L36" s="249"/>
      <c r="M36" s="249"/>
      <c r="N36" s="249"/>
      <c r="O36" s="251"/>
      <c r="P36" s="251"/>
      <c r="Q36" s="251"/>
      <c r="R36" s="369"/>
      <c r="S36" s="448"/>
      <c r="T36" s="449"/>
      <c r="U36" s="450"/>
      <c r="V36" s="249"/>
      <c r="W36" s="249"/>
      <c r="AB36" s="104" t="s">
        <v>35</v>
      </c>
    </row>
    <row r="37" spans="1:28" x14ac:dyDescent="0.2">
      <c r="A37" s="252">
        <v>11198</v>
      </c>
      <c r="B37" s="253">
        <v>2015</v>
      </c>
      <c r="C37" s="252" t="s">
        <v>46</v>
      </c>
      <c r="D37" s="273"/>
      <c r="E37" s="255">
        <v>400</v>
      </c>
      <c r="F37" s="287">
        <v>1</v>
      </c>
      <c r="G37" s="287">
        <v>15</v>
      </c>
      <c r="H37" s="287">
        <v>29</v>
      </c>
      <c r="I37" s="287">
        <v>47</v>
      </c>
      <c r="J37" s="287">
        <v>40</v>
      </c>
      <c r="K37" s="287">
        <v>33</v>
      </c>
      <c r="L37" s="287">
        <v>45</v>
      </c>
      <c r="M37" s="287">
        <v>37</v>
      </c>
      <c r="N37" s="287">
        <v>59</v>
      </c>
      <c r="O37" s="287">
        <v>45</v>
      </c>
      <c r="P37" s="287">
        <v>37</v>
      </c>
      <c r="Q37" s="287">
        <v>12</v>
      </c>
      <c r="R37" s="439">
        <f t="shared" si="0"/>
        <v>400</v>
      </c>
      <c r="S37" s="440">
        <f>IFERROR((AVERAGE(F37:Q37)),0)</f>
        <v>33.333333333333336</v>
      </c>
      <c r="T37" s="441">
        <f>IFERROR((U37/S37),0)</f>
        <v>0</v>
      </c>
      <c r="U37" s="447">
        <f t="shared" ref="U37:U57" si="7">SUM(E37-R37)</f>
        <v>0</v>
      </c>
      <c r="V37" s="253">
        <v>2015</v>
      </c>
      <c r="W37" s="252" t="s">
        <v>46</v>
      </c>
    </row>
    <row r="38" spans="1:28" x14ac:dyDescent="0.2">
      <c r="A38" s="252">
        <v>57631</v>
      </c>
      <c r="B38" s="253">
        <v>2015</v>
      </c>
      <c r="C38" s="252" t="s">
        <v>33</v>
      </c>
      <c r="D38" s="273"/>
      <c r="E38" s="255">
        <v>316</v>
      </c>
      <c r="F38" s="287">
        <v>1</v>
      </c>
      <c r="G38" s="287">
        <v>32</v>
      </c>
      <c r="H38" s="287">
        <v>27</v>
      </c>
      <c r="I38" s="287">
        <v>52</v>
      </c>
      <c r="J38" s="287">
        <v>50</v>
      </c>
      <c r="K38" s="287">
        <f>154-10-112</f>
        <v>32</v>
      </c>
      <c r="L38" s="287">
        <v>40</v>
      </c>
      <c r="M38" s="287">
        <v>37</v>
      </c>
      <c r="N38" s="287">
        <v>44</v>
      </c>
      <c r="O38" s="287">
        <v>1</v>
      </c>
      <c r="P38" s="260"/>
      <c r="Q38" s="260"/>
      <c r="R38" s="439">
        <f t="shared" si="0"/>
        <v>316</v>
      </c>
      <c r="S38" s="440">
        <f>IFERROR((AVERAGE(F38:Q38)),0)</f>
        <v>31.6</v>
      </c>
      <c r="T38" s="441">
        <f>IFERROR((U38/S38),0)</f>
        <v>0</v>
      </c>
      <c r="U38" s="447">
        <f t="shared" si="7"/>
        <v>0</v>
      </c>
      <c r="V38" s="253">
        <v>2015</v>
      </c>
      <c r="W38" s="252" t="s">
        <v>33</v>
      </c>
    </row>
    <row r="39" spans="1:28" x14ac:dyDescent="0.2">
      <c r="A39" s="252">
        <v>57632</v>
      </c>
      <c r="B39" s="253">
        <v>2015</v>
      </c>
      <c r="C39" s="252" t="s">
        <v>31</v>
      </c>
      <c r="D39" s="273"/>
      <c r="E39" s="255">
        <v>431</v>
      </c>
      <c r="F39" s="443"/>
      <c r="G39" s="443"/>
      <c r="H39" s="443"/>
      <c r="I39" s="443"/>
      <c r="J39" s="443"/>
      <c r="K39" s="443"/>
      <c r="L39" s="443"/>
      <c r="M39" s="443">
        <v>24</v>
      </c>
      <c r="N39" s="443"/>
      <c r="O39" s="443"/>
      <c r="P39" s="287">
        <v>56</v>
      </c>
      <c r="Q39" s="287">
        <v>9</v>
      </c>
      <c r="R39" s="439">
        <f t="shared" si="0"/>
        <v>89</v>
      </c>
      <c r="S39" s="440">
        <f>IFERROR((AVERAGE(F39:Q39)),0)</f>
        <v>29.666666666666668</v>
      </c>
      <c r="T39" s="441">
        <f>IFERROR((U39/S39),0)</f>
        <v>11.52808988764045</v>
      </c>
      <c r="U39" s="451">
        <f t="shared" si="7"/>
        <v>342</v>
      </c>
      <c r="V39" s="253">
        <v>2015</v>
      </c>
      <c r="W39" s="252" t="s">
        <v>31</v>
      </c>
    </row>
    <row r="40" spans="1:28" x14ac:dyDescent="0.2">
      <c r="A40" s="252"/>
      <c r="B40" s="253">
        <v>2015</v>
      </c>
      <c r="C40" s="252" t="s">
        <v>128</v>
      </c>
      <c r="D40" s="273"/>
      <c r="E40" s="255">
        <v>0</v>
      </c>
      <c r="F40" s="443"/>
      <c r="G40" s="443"/>
      <c r="H40" s="443"/>
      <c r="I40" s="443"/>
      <c r="J40" s="443"/>
      <c r="K40" s="443"/>
      <c r="L40" s="443"/>
      <c r="M40" s="443"/>
      <c r="N40" s="443"/>
      <c r="O40" s="443"/>
      <c r="P40" s="443"/>
      <c r="Q40" s="443"/>
      <c r="R40" s="439">
        <f t="shared" si="0"/>
        <v>0</v>
      </c>
      <c r="S40" s="440">
        <f>IFERROR((AVERAGE(F40:Q40)),0)</f>
        <v>0</v>
      </c>
      <c r="T40" s="441">
        <f t="shared" ref="T40:T51" si="8">IFERROR((U40/S40),0)</f>
        <v>0</v>
      </c>
      <c r="U40" s="451">
        <f t="shared" si="7"/>
        <v>0</v>
      </c>
      <c r="V40" s="253">
        <v>2015</v>
      </c>
      <c r="W40" s="252" t="s">
        <v>128</v>
      </c>
    </row>
    <row r="41" spans="1:28" x14ac:dyDescent="0.2">
      <c r="A41" s="252">
        <v>57630</v>
      </c>
      <c r="B41" s="253">
        <v>2015</v>
      </c>
      <c r="C41" s="252" t="s">
        <v>25</v>
      </c>
      <c r="D41" s="273"/>
      <c r="E41" s="255">
        <v>518</v>
      </c>
      <c r="F41" s="443"/>
      <c r="G41" s="443"/>
      <c r="H41" s="443"/>
      <c r="I41" s="443"/>
      <c r="J41" s="443"/>
      <c r="K41" s="443"/>
      <c r="L41" s="443"/>
      <c r="M41" s="443">
        <v>1</v>
      </c>
      <c r="N41" s="443"/>
      <c r="O41" s="443">
        <v>42</v>
      </c>
      <c r="P41" s="443">
        <v>0</v>
      </c>
      <c r="Q41" s="443">
        <v>13</v>
      </c>
      <c r="R41" s="439">
        <f t="shared" si="0"/>
        <v>56</v>
      </c>
      <c r="S41" s="440">
        <f t="shared" ref="S41:S51" si="9">IFERROR((AVERAGE(F41:Q41)),0)</f>
        <v>14</v>
      </c>
      <c r="T41" s="441">
        <f t="shared" si="8"/>
        <v>33</v>
      </c>
      <c r="U41" s="451">
        <f t="shared" si="7"/>
        <v>462</v>
      </c>
      <c r="V41" s="253">
        <v>2015</v>
      </c>
      <c r="W41" s="252" t="s">
        <v>25</v>
      </c>
    </row>
    <row r="42" spans="1:28" x14ac:dyDescent="0.2">
      <c r="A42" s="252">
        <v>22382</v>
      </c>
      <c r="B42" s="253">
        <v>2015</v>
      </c>
      <c r="C42" s="252" t="s">
        <v>23</v>
      </c>
      <c r="D42" s="273"/>
      <c r="E42" s="255">
        <v>431</v>
      </c>
      <c r="F42" s="443"/>
      <c r="G42" s="443"/>
      <c r="H42" s="443"/>
      <c r="I42" s="443"/>
      <c r="J42" s="443"/>
      <c r="K42" s="443"/>
      <c r="L42" s="443"/>
      <c r="M42" s="443">
        <v>95</v>
      </c>
      <c r="N42" s="443"/>
      <c r="O42" s="443">
        <v>0</v>
      </c>
      <c r="P42" s="443">
        <v>0</v>
      </c>
      <c r="Q42" s="443">
        <v>0</v>
      </c>
      <c r="R42" s="439">
        <f t="shared" si="0"/>
        <v>95</v>
      </c>
      <c r="S42" s="440">
        <f t="shared" si="9"/>
        <v>23.75</v>
      </c>
      <c r="T42" s="441">
        <f t="shared" si="8"/>
        <v>14.147368421052631</v>
      </c>
      <c r="U42" s="451">
        <f t="shared" si="7"/>
        <v>336</v>
      </c>
      <c r="V42" s="253">
        <v>2015</v>
      </c>
      <c r="W42" s="252" t="s">
        <v>23</v>
      </c>
    </row>
    <row r="43" spans="1:28" x14ac:dyDescent="0.2">
      <c r="A43" s="252">
        <v>84802</v>
      </c>
      <c r="B43" s="253">
        <v>2015</v>
      </c>
      <c r="C43" s="252" t="s">
        <v>93</v>
      </c>
      <c r="D43" s="273"/>
      <c r="E43" s="255">
        <v>225</v>
      </c>
      <c r="F43" s="443"/>
      <c r="G43" s="443"/>
      <c r="H43" s="443"/>
      <c r="I43" s="443"/>
      <c r="J43" s="443"/>
      <c r="K43" s="443"/>
      <c r="L43" s="443"/>
      <c r="M43" s="443">
        <v>1</v>
      </c>
      <c r="N43" s="443"/>
      <c r="O43" s="443"/>
      <c r="P43" s="443"/>
      <c r="Q43" s="443">
        <v>0</v>
      </c>
      <c r="R43" s="439">
        <f t="shared" si="0"/>
        <v>1</v>
      </c>
      <c r="S43" s="440">
        <f t="shared" si="9"/>
        <v>0.5</v>
      </c>
      <c r="T43" s="441">
        <f t="shared" si="8"/>
        <v>448</v>
      </c>
      <c r="U43" s="451">
        <f t="shared" si="7"/>
        <v>224</v>
      </c>
      <c r="V43" s="253">
        <v>2015</v>
      </c>
      <c r="W43" s="252" t="s">
        <v>93</v>
      </c>
    </row>
    <row r="44" spans="1:28" x14ac:dyDescent="0.2">
      <c r="A44" s="252">
        <v>22384</v>
      </c>
      <c r="B44" s="253">
        <v>2015</v>
      </c>
      <c r="C44" s="252" t="s">
        <v>26</v>
      </c>
      <c r="D44" s="273"/>
      <c r="E44" s="255">
        <v>0</v>
      </c>
      <c r="F44" s="443"/>
      <c r="G44" s="443"/>
      <c r="H44" s="443"/>
      <c r="I44" s="443"/>
      <c r="J44" s="443"/>
      <c r="K44" s="443"/>
      <c r="L44" s="443"/>
      <c r="M44" s="443"/>
      <c r="N44" s="443"/>
      <c r="O44" s="443"/>
      <c r="P44" s="443"/>
      <c r="Q44" s="443"/>
      <c r="R44" s="439">
        <f t="shared" si="0"/>
        <v>0</v>
      </c>
      <c r="S44" s="440">
        <f t="shared" si="9"/>
        <v>0</v>
      </c>
      <c r="T44" s="441">
        <f t="shared" si="8"/>
        <v>0</v>
      </c>
      <c r="U44" s="451">
        <f t="shared" si="7"/>
        <v>0</v>
      </c>
      <c r="V44" s="253">
        <v>2015</v>
      </c>
      <c r="W44" s="252" t="s">
        <v>26</v>
      </c>
    </row>
    <row r="45" spans="1:28" x14ac:dyDescent="0.2">
      <c r="A45" s="252">
        <v>27736</v>
      </c>
      <c r="B45" s="253">
        <v>2015</v>
      </c>
      <c r="C45" s="252" t="s">
        <v>70</v>
      </c>
      <c r="D45" s="273"/>
      <c r="E45" s="255">
        <v>363</v>
      </c>
      <c r="F45" s="443"/>
      <c r="G45" s="443"/>
      <c r="H45" s="443"/>
      <c r="I45" s="443"/>
      <c r="J45" s="443"/>
      <c r="K45" s="443"/>
      <c r="L45" s="443"/>
      <c r="M45" s="443">
        <v>1</v>
      </c>
      <c r="N45" s="443">
        <v>10</v>
      </c>
      <c r="O45" s="443">
        <v>6</v>
      </c>
      <c r="P45" s="443">
        <v>26</v>
      </c>
      <c r="Q45" s="443">
        <v>21</v>
      </c>
      <c r="R45" s="439">
        <f t="shared" si="0"/>
        <v>64</v>
      </c>
      <c r="S45" s="440">
        <f t="shared" si="9"/>
        <v>12.8</v>
      </c>
      <c r="T45" s="441">
        <f t="shared" si="8"/>
        <v>23.359375</v>
      </c>
      <c r="U45" s="451">
        <f t="shared" si="7"/>
        <v>299</v>
      </c>
      <c r="V45" s="253">
        <v>2015</v>
      </c>
      <c r="W45" s="252" t="s">
        <v>70</v>
      </c>
    </row>
    <row r="46" spans="1:28" x14ac:dyDescent="0.2">
      <c r="A46" s="252">
        <v>28361</v>
      </c>
      <c r="B46" s="253">
        <v>2015</v>
      </c>
      <c r="C46" s="252" t="s">
        <v>24</v>
      </c>
      <c r="D46" s="273"/>
      <c r="E46" s="255">
        <v>115</v>
      </c>
      <c r="F46" s="443"/>
      <c r="G46" s="443"/>
      <c r="H46" s="443"/>
      <c r="I46" s="443"/>
      <c r="J46" s="443"/>
      <c r="K46" s="443"/>
      <c r="L46" s="443"/>
      <c r="M46" s="443"/>
      <c r="N46" s="443"/>
      <c r="O46" s="443"/>
      <c r="P46" s="443"/>
      <c r="Q46" s="443">
        <v>0</v>
      </c>
      <c r="R46" s="439">
        <f t="shared" si="0"/>
        <v>0</v>
      </c>
      <c r="S46" s="440">
        <f t="shared" si="9"/>
        <v>0</v>
      </c>
      <c r="T46" s="441">
        <f t="shared" si="8"/>
        <v>0</v>
      </c>
      <c r="U46" s="451">
        <f t="shared" si="7"/>
        <v>115</v>
      </c>
      <c r="V46" s="253">
        <v>2015</v>
      </c>
      <c r="W46" s="252" t="s">
        <v>24</v>
      </c>
    </row>
    <row r="47" spans="1:28" x14ac:dyDescent="0.2">
      <c r="A47" s="252">
        <v>22921</v>
      </c>
      <c r="B47" s="253">
        <v>2015</v>
      </c>
      <c r="C47" s="252" t="s">
        <v>22</v>
      </c>
      <c r="D47" s="273"/>
      <c r="E47" s="255">
        <v>671</v>
      </c>
      <c r="F47" s="443"/>
      <c r="G47" s="443"/>
      <c r="H47" s="443"/>
      <c r="I47" s="443"/>
      <c r="J47" s="443"/>
      <c r="K47" s="443"/>
      <c r="L47" s="443"/>
      <c r="M47" s="443"/>
      <c r="N47" s="443"/>
      <c r="O47" s="443"/>
      <c r="P47" s="443"/>
      <c r="Q47" s="443">
        <v>0</v>
      </c>
      <c r="R47" s="439">
        <f t="shared" si="0"/>
        <v>0</v>
      </c>
      <c r="S47" s="440">
        <f t="shared" si="9"/>
        <v>0</v>
      </c>
      <c r="T47" s="441">
        <f t="shared" si="8"/>
        <v>0</v>
      </c>
      <c r="U47" s="451">
        <f t="shared" si="7"/>
        <v>671</v>
      </c>
      <c r="V47" s="253">
        <v>2015</v>
      </c>
      <c r="W47" s="252" t="s">
        <v>22</v>
      </c>
    </row>
    <row r="48" spans="1:28" x14ac:dyDescent="0.2">
      <c r="A48" s="361">
        <v>34641</v>
      </c>
      <c r="B48" s="253">
        <v>2015</v>
      </c>
      <c r="C48" s="361" t="s">
        <v>66</v>
      </c>
      <c r="D48" s="273"/>
      <c r="E48" s="255">
        <v>275</v>
      </c>
      <c r="F48" s="443"/>
      <c r="G48" s="443"/>
      <c r="H48" s="443"/>
      <c r="I48" s="443"/>
      <c r="J48" s="443"/>
      <c r="K48" s="443"/>
      <c r="L48" s="443"/>
      <c r="M48" s="443"/>
      <c r="N48" s="443"/>
      <c r="O48" s="443"/>
      <c r="P48" s="443"/>
      <c r="Q48" s="443">
        <v>65</v>
      </c>
      <c r="R48" s="439">
        <f t="shared" si="0"/>
        <v>65</v>
      </c>
      <c r="S48" s="440">
        <f t="shared" si="9"/>
        <v>65</v>
      </c>
      <c r="T48" s="441">
        <f t="shared" si="8"/>
        <v>3.2307692307692308</v>
      </c>
      <c r="U48" s="451">
        <f t="shared" si="7"/>
        <v>210</v>
      </c>
      <c r="V48" s="253">
        <v>2015</v>
      </c>
      <c r="W48" s="361" t="s">
        <v>66</v>
      </c>
    </row>
    <row r="49" spans="1:30" x14ac:dyDescent="0.2">
      <c r="A49" s="252">
        <v>18004</v>
      </c>
      <c r="B49" s="253">
        <v>2015</v>
      </c>
      <c r="C49" s="252" t="s">
        <v>99</v>
      </c>
      <c r="D49" s="273"/>
      <c r="E49" s="255">
        <v>252</v>
      </c>
      <c r="F49" s="443"/>
      <c r="G49" s="443"/>
      <c r="H49" s="443"/>
      <c r="I49" s="443"/>
      <c r="J49" s="443"/>
      <c r="K49" s="443"/>
      <c r="L49" s="443"/>
      <c r="M49" s="443">
        <v>1</v>
      </c>
      <c r="N49" s="443"/>
      <c r="O49" s="443">
        <v>11</v>
      </c>
      <c r="P49" s="443">
        <v>4</v>
      </c>
      <c r="Q49" s="443">
        <v>16</v>
      </c>
      <c r="R49" s="439">
        <f t="shared" si="0"/>
        <v>32</v>
      </c>
      <c r="S49" s="440">
        <f t="shared" si="9"/>
        <v>8</v>
      </c>
      <c r="T49" s="441">
        <f t="shared" si="8"/>
        <v>27.5</v>
      </c>
      <c r="U49" s="451">
        <f t="shared" si="7"/>
        <v>220</v>
      </c>
      <c r="V49" s="253">
        <v>2015</v>
      </c>
      <c r="W49" s="252" t="s">
        <v>99</v>
      </c>
    </row>
    <row r="50" spans="1:30" x14ac:dyDescent="0.2">
      <c r="A50" s="252">
        <v>86051</v>
      </c>
      <c r="B50" s="253">
        <v>2015</v>
      </c>
      <c r="C50" s="252" t="s">
        <v>94</v>
      </c>
      <c r="D50" s="273"/>
      <c r="E50" s="255">
        <v>421</v>
      </c>
      <c r="F50" s="443"/>
      <c r="G50" s="443"/>
      <c r="H50" s="443"/>
      <c r="I50" s="443"/>
      <c r="J50" s="443"/>
      <c r="K50" s="443"/>
      <c r="L50" s="443"/>
      <c r="M50" s="443"/>
      <c r="N50" s="443"/>
      <c r="O50" s="443"/>
      <c r="P50" s="443"/>
      <c r="Q50" s="443">
        <v>29</v>
      </c>
      <c r="R50" s="439">
        <f t="shared" si="0"/>
        <v>29</v>
      </c>
      <c r="S50" s="440">
        <f t="shared" si="9"/>
        <v>29</v>
      </c>
      <c r="T50" s="441">
        <f t="shared" si="8"/>
        <v>13.517241379310345</v>
      </c>
      <c r="U50" s="451">
        <f>SUM(E50-R50)</f>
        <v>392</v>
      </c>
      <c r="V50" s="253">
        <v>2015</v>
      </c>
      <c r="W50" s="252" t="s">
        <v>94</v>
      </c>
    </row>
    <row r="51" spans="1:30" x14ac:dyDescent="0.2">
      <c r="A51" s="252">
        <v>28381</v>
      </c>
      <c r="B51" s="253">
        <v>2015</v>
      </c>
      <c r="C51" s="252" t="s">
        <v>100</v>
      </c>
      <c r="D51" s="273"/>
      <c r="E51" s="255"/>
      <c r="F51" s="443"/>
      <c r="G51" s="443"/>
      <c r="H51" s="443"/>
      <c r="I51" s="443"/>
      <c r="J51" s="443"/>
      <c r="K51" s="443"/>
      <c r="L51" s="443"/>
      <c r="M51" s="443"/>
      <c r="N51" s="443"/>
      <c r="O51" s="443"/>
      <c r="P51" s="443"/>
      <c r="Q51" s="443"/>
      <c r="R51" s="439">
        <f t="shared" si="0"/>
        <v>0</v>
      </c>
      <c r="S51" s="440">
        <f t="shared" si="9"/>
        <v>0</v>
      </c>
      <c r="T51" s="441">
        <f t="shared" si="8"/>
        <v>0</v>
      </c>
      <c r="U51" s="451">
        <f t="shared" si="7"/>
        <v>0</v>
      </c>
      <c r="V51" s="253">
        <v>2015</v>
      </c>
      <c r="W51" s="252" t="s">
        <v>100</v>
      </c>
    </row>
    <row r="52" spans="1:30" x14ac:dyDescent="0.2">
      <c r="A52" s="249"/>
      <c r="B52" s="249"/>
      <c r="C52" s="249"/>
      <c r="D52" s="249"/>
      <c r="E52" s="249"/>
      <c r="F52" s="249"/>
      <c r="G52" s="249"/>
      <c r="H52" s="249"/>
      <c r="I52" s="249"/>
      <c r="J52" s="249"/>
      <c r="K52" s="249"/>
      <c r="L52" s="249"/>
      <c r="M52" s="249"/>
      <c r="N52" s="249"/>
      <c r="O52" s="251"/>
      <c r="P52" s="251"/>
      <c r="Q52" s="249"/>
      <c r="R52" s="249"/>
      <c r="S52" s="249"/>
      <c r="T52" s="249"/>
      <c r="U52" s="249"/>
      <c r="V52" s="249"/>
      <c r="W52" s="249"/>
    </row>
    <row r="53" spans="1:30" x14ac:dyDescent="0.2">
      <c r="A53" s="252"/>
      <c r="B53" s="112">
        <v>2012</v>
      </c>
      <c r="C53" s="252"/>
      <c r="D53" s="452"/>
      <c r="E53" s="359">
        <f t="shared" ref="E53:R53" si="10">SUM(E10:E11)</f>
        <v>304</v>
      </c>
      <c r="F53" s="359">
        <f t="shared" si="10"/>
        <v>45</v>
      </c>
      <c r="G53" s="359">
        <f t="shared" si="10"/>
        <v>28</v>
      </c>
      <c r="H53" s="359">
        <f t="shared" si="10"/>
        <v>21</v>
      </c>
      <c r="I53" s="359">
        <f t="shared" si="10"/>
        <v>43</v>
      </c>
      <c r="J53" s="359">
        <f t="shared" si="10"/>
        <v>43</v>
      </c>
      <c r="K53" s="359">
        <f t="shared" si="10"/>
        <v>16</v>
      </c>
      <c r="L53" s="359">
        <f t="shared" si="10"/>
        <v>15</v>
      </c>
      <c r="M53" s="359">
        <f t="shared" si="10"/>
        <v>15</v>
      </c>
      <c r="N53" s="359">
        <f t="shared" si="10"/>
        <v>23</v>
      </c>
      <c r="O53" s="359">
        <f t="shared" si="10"/>
        <v>28</v>
      </c>
      <c r="P53" s="359">
        <f t="shared" si="10"/>
        <v>22</v>
      </c>
      <c r="Q53" s="359">
        <f t="shared" si="10"/>
        <v>0</v>
      </c>
      <c r="R53" s="439">
        <f t="shared" si="10"/>
        <v>299</v>
      </c>
      <c r="S53" s="440">
        <f>AVERAGE(F53:Q53)</f>
        <v>24.916666666666668</v>
      </c>
      <c r="T53" s="441">
        <f>U53/S53</f>
        <v>0.20066889632107021</v>
      </c>
      <c r="U53" s="451">
        <f t="shared" si="7"/>
        <v>5</v>
      </c>
      <c r="V53" s="112">
        <v>2012</v>
      </c>
      <c r="W53" s="252"/>
    </row>
    <row r="54" spans="1:30" x14ac:dyDescent="0.2">
      <c r="A54" s="252"/>
      <c r="B54" s="112">
        <v>2013</v>
      </c>
      <c r="C54" s="252"/>
      <c r="D54" s="452"/>
      <c r="E54" s="359">
        <f t="shared" ref="E54:R54" si="11">SUM(E13:E21)</f>
        <v>2192</v>
      </c>
      <c r="F54" s="359">
        <f t="shared" si="11"/>
        <v>232</v>
      </c>
      <c r="G54" s="359">
        <f t="shared" si="11"/>
        <v>169</v>
      </c>
      <c r="H54" s="359">
        <f t="shared" si="11"/>
        <v>151</v>
      </c>
      <c r="I54" s="359">
        <f t="shared" si="11"/>
        <v>241</v>
      </c>
      <c r="J54" s="359">
        <f t="shared" si="11"/>
        <v>172</v>
      </c>
      <c r="K54" s="359">
        <f t="shared" si="11"/>
        <v>221</v>
      </c>
      <c r="L54" s="359">
        <f t="shared" si="11"/>
        <v>215</v>
      </c>
      <c r="M54" s="359">
        <f t="shared" si="11"/>
        <v>162</v>
      </c>
      <c r="N54" s="359">
        <f t="shared" si="11"/>
        <v>169</v>
      </c>
      <c r="O54" s="359">
        <f t="shared" si="11"/>
        <v>97</v>
      </c>
      <c r="P54" s="359">
        <f t="shared" si="11"/>
        <v>47</v>
      </c>
      <c r="Q54" s="359">
        <f t="shared" si="11"/>
        <v>18</v>
      </c>
      <c r="R54" s="439">
        <f t="shared" si="11"/>
        <v>1894</v>
      </c>
      <c r="S54" s="453">
        <f>AVERAGE(F54:Q54)</f>
        <v>157.83333333333334</v>
      </c>
      <c r="T54" s="454">
        <f>U54/S54</f>
        <v>1.8880675818373811</v>
      </c>
      <c r="U54" s="451">
        <f t="shared" si="7"/>
        <v>298</v>
      </c>
      <c r="V54" s="112">
        <v>2013</v>
      </c>
      <c r="W54" s="252"/>
    </row>
    <row r="55" spans="1:30" x14ac:dyDescent="0.2">
      <c r="A55" s="252"/>
      <c r="B55" s="112">
        <v>2014</v>
      </c>
      <c r="C55" s="252"/>
      <c r="D55" s="452"/>
      <c r="E55" s="359">
        <f t="shared" ref="E55:R55" si="12">SUM(E23:E35)</f>
        <v>4243</v>
      </c>
      <c r="F55" s="359">
        <f t="shared" si="12"/>
        <v>151</v>
      </c>
      <c r="G55" s="359">
        <f t="shared" si="12"/>
        <v>90</v>
      </c>
      <c r="H55" s="359">
        <f t="shared" si="12"/>
        <v>82</v>
      </c>
      <c r="I55" s="359">
        <f t="shared" si="12"/>
        <v>100</v>
      </c>
      <c r="J55" s="359">
        <f t="shared" si="12"/>
        <v>85</v>
      </c>
      <c r="K55" s="359">
        <f t="shared" si="12"/>
        <v>94</v>
      </c>
      <c r="L55" s="359">
        <f t="shared" si="12"/>
        <v>203</v>
      </c>
      <c r="M55" s="359">
        <f t="shared" si="12"/>
        <v>302</v>
      </c>
      <c r="N55" s="359">
        <f t="shared" si="12"/>
        <v>195</v>
      </c>
      <c r="O55" s="359">
        <f t="shared" si="12"/>
        <v>218</v>
      </c>
      <c r="P55" s="359">
        <f t="shared" si="12"/>
        <v>313</v>
      </c>
      <c r="Q55" s="359">
        <f t="shared" si="12"/>
        <v>331</v>
      </c>
      <c r="R55" s="439">
        <f t="shared" si="12"/>
        <v>2164</v>
      </c>
      <c r="S55" s="453">
        <f>AVERAGE(F55:Q55)</f>
        <v>180.33333333333334</v>
      </c>
      <c r="T55" s="454">
        <f>U55/S55</f>
        <v>11.528650646950092</v>
      </c>
      <c r="U55" s="451">
        <f t="shared" si="7"/>
        <v>2079</v>
      </c>
      <c r="V55" s="112">
        <v>2014</v>
      </c>
      <c r="W55" s="252"/>
    </row>
    <row r="56" spans="1:30" x14ac:dyDescent="0.2">
      <c r="A56" s="252"/>
      <c r="B56" s="112">
        <v>2015</v>
      </c>
      <c r="C56" s="252"/>
      <c r="D56" s="452"/>
      <c r="E56" s="359">
        <f t="shared" ref="E56:Q56" si="13">SUM(E37:E51)</f>
        <v>4418</v>
      </c>
      <c r="F56" s="359">
        <f t="shared" si="13"/>
        <v>2</v>
      </c>
      <c r="G56" s="359">
        <f t="shared" si="13"/>
        <v>47</v>
      </c>
      <c r="H56" s="359">
        <f t="shared" si="13"/>
        <v>56</v>
      </c>
      <c r="I56" s="359">
        <f t="shared" si="13"/>
        <v>99</v>
      </c>
      <c r="J56" s="359">
        <f t="shared" si="13"/>
        <v>90</v>
      </c>
      <c r="K56" s="359">
        <f t="shared" si="13"/>
        <v>65</v>
      </c>
      <c r="L56" s="359">
        <f t="shared" si="13"/>
        <v>85</v>
      </c>
      <c r="M56" s="359">
        <f t="shared" si="13"/>
        <v>197</v>
      </c>
      <c r="N56" s="359">
        <f t="shared" si="13"/>
        <v>113</v>
      </c>
      <c r="O56" s="359">
        <f t="shared" si="13"/>
        <v>105</v>
      </c>
      <c r="P56" s="359">
        <f t="shared" si="13"/>
        <v>123</v>
      </c>
      <c r="Q56" s="359">
        <f t="shared" si="13"/>
        <v>165</v>
      </c>
      <c r="R56" s="439">
        <f>SUM(R24:R33)</f>
        <v>1612</v>
      </c>
      <c r="S56" s="453">
        <f>AVERAGE(F56:Q56)</f>
        <v>95.583333333333329</v>
      </c>
      <c r="T56" s="454">
        <f>U56/S56</f>
        <v>29.356582388840454</v>
      </c>
      <c r="U56" s="451">
        <f t="shared" si="7"/>
        <v>2806</v>
      </c>
      <c r="V56" s="112">
        <v>2015</v>
      </c>
      <c r="W56" s="252"/>
    </row>
    <row r="57" spans="1:30" x14ac:dyDescent="0.2">
      <c r="A57" s="252"/>
      <c r="B57" s="116" t="s">
        <v>78</v>
      </c>
      <c r="C57" s="252"/>
      <c r="D57" s="452"/>
      <c r="E57" s="455">
        <f>SUM(E53:E56)</f>
        <v>11157</v>
      </c>
      <c r="F57" s="455">
        <f t="shared" ref="F57:Q57" si="14">SUM(F53:F56)</f>
        <v>430</v>
      </c>
      <c r="G57" s="455">
        <f t="shared" si="14"/>
        <v>334</v>
      </c>
      <c r="H57" s="455">
        <f t="shared" si="14"/>
        <v>310</v>
      </c>
      <c r="I57" s="455">
        <f t="shared" si="14"/>
        <v>483</v>
      </c>
      <c r="J57" s="455">
        <f t="shared" si="14"/>
        <v>390</v>
      </c>
      <c r="K57" s="455">
        <f t="shared" si="14"/>
        <v>396</v>
      </c>
      <c r="L57" s="455">
        <f t="shared" si="14"/>
        <v>518</v>
      </c>
      <c r="M57" s="455">
        <f t="shared" si="14"/>
        <v>676</v>
      </c>
      <c r="N57" s="455">
        <f t="shared" si="14"/>
        <v>500</v>
      </c>
      <c r="O57" s="455">
        <f t="shared" si="14"/>
        <v>448</v>
      </c>
      <c r="P57" s="455">
        <f t="shared" si="14"/>
        <v>505</v>
      </c>
      <c r="Q57" s="455">
        <f t="shared" si="14"/>
        <v>514</v>
      </c>
      <c r="R57" s="439">
        <f>SUM(R53:R56)</f>
        <v>5969</v>
      </c>
      <c r="S57" s="308">
        <f>SUM(S53:S56)</f>
        <v>458.66666666666669</v>
      </c>
      <c r="T57" s="441">
        <f>U57/S57</f>
        <v>11.311046511627907</v>
      </c>
      <c r="U57" s="451">
        <f t="shared" si="7"/>
        <v>5188</v>
      </c>
      <c r="V57" s="116" t="s">
        <v>78</v>
      </c>
      <c r="W57" s="252"/>
    </row>
    <row r="58" spans="1:30" x14ac:dyDescent="0.2">
      <c r="A58" s="249"/>
      <c r="B58" s="117"/>
      <c r="C58" s="117"/>
      <c r="D58" s="118"/>
      <c r="E58" s="119"/>
      <c r="F58" s="119"/>
      <c r="G58" s="119"/>
      <c r="H58" s="119"/>
      <c r="I58" s="119"/>
      <c r="J58" s="119"/>
      <c r="K58" s="120"/>
      <c r="L58" s="120"/>
      <c r="M58" s="120"/>
      <c r="N58" s="120"/>
      <c r="O58" s="120"/>
      <c r="P58" s="120"/>
      <c r="Q58" s="120"/>
      <c r="R58" s="117"/>
      <c r="S58" s="118"/>
      <c r="T58" s="121"/>
      <c r="U58" s="122"/>
      <c r="V58" s="117"/>
      <c r="W58" s="117"/>
    </row>
    <row r="59" spans="1:30" x14ac:dyDescent="0.2">
      <c r="D59" s="123"/>
      <c r="E59" s="124"/>
      <c r="F59" s="124"/>
      <c r="G59" s="124"/>
      <c r="H59" s="124"/>
      <c r="I59" s="124"/>
      <c r="J59" s="124"/>
      <c r="K59" s="105"/>
      <c r="L59" s="105"/>
      <c r="M59" s="105"/>
      <c r="N59" s="105"/>
      <c r="O59" s="105"/>
      <c r="P59" s="105"/>
      <c r="Q59" s="105"/>
      <c r="S59" s="123"/>
      <c r="T59" s="125"/>
    </row>
    <row r="60" spans="1:30" ht="15.75" x14ac:dyDescent="0.25">
      <c r="B60" s="126" t="s">
        <v>129</v>
      </c>
      <c r="C60" s="126"/>
      <c r="D60" s="123"/>
      <c r="E60" s="105"/>
      <c r="F60" s="105"/>
      <c r="G60" s="105"/>
      <c r="H60" s="105"/>
      <c r="I60" s="105"/>
      <c r="J60" s="105"/>
      <c r="K60" s="105"/>
      <c r="L60" s="105"/>
      <c r="M60" s="105"/>
      <c r="N60" s="105"/>
      <c r="O60" s="105"/>
      <c r="P60" s="105"/>
      <c r="Q60" s="105"/>
      <c r="S60" s="123"/>
      <c r="T60" s="125"/>
      <c r="V60" s="126" t="s">
        <v>129</v>
      </c>
      <c r="W60" s="126"/>
    </row>
    <row r="61" spans="1:30" x14ac:dyDescent="0.2">
      <c r="D61" s="123"/>
      <c r="E61" s="105"/>
      <c r="F61" s="105"/>
      <c r="G61" s="105"/>
      <c r="H61" s="105"/>
      <c r="I61" s="105"/>
      <c r="J61" s="105"/>
      <c r="K61" s="105"/>
      <c r="L61" s="105"/>
      <c r="M61" s="105"/>
      <c r="N61" s="105"/>
      <c r="O61" s="105"/>
      <c r="P61" s="105"/>
      <c r="Q61" s="105"/>
      <c r="S61" s="123"/>
      <c r="T61" s="125"/>
    </row>
    <row r="62" spans="1:30" x14ac:dyDescent="0.2">
      <c r="A62" s="249"/>
      <c r="B62" s="249"/>
      <c r="C62" s="249"/>
      <c r="D62" s="249"/>
      <c r="E62" s="249"/>
      <c r="F62" s="249"/>
      <c r="G62" s="249"/>
      <c r="H62" s="249"/>
      <c r="I62" s="249"/>
      <c r="J62" s="249"/>
      <c r="K62" s="249"/>
      <c r="L62" s="249"/>
      <c r="M62" s="249"/>
      <c r="N62" s="249"/>
      <c r="O62" s="251"/>
      <c r="P62" s="251"/>
      <c r="Q62" s="249"/>
      <c r="R62" s="249"/>
      <c r="S62" s="249"/>
      <c r="T62" s="249"/>
      <c r="U62" s="249"/>
      <c r="V62" s="249"/>
      <c r="W62" s="249"/>
    </row>
    <row r="63" spans="1:30" x14ac:dyDescent="0.2">
      <c r="A63" s="252">
        <v>100465</v>
      </c>
      <c r="B63" s="253">
        <v>2014</v>
      </c>
      <c r="C63" s="252" t="s">
        <v>130</v>
      </c>
      <c r="D63" s="273">
        <v>9.2100000000000009</v>
      </c>
      <c r="E63" s="287">
        <v>327</v>
      </c>
      <c r="F63" s="443"/>
      <c r="G63" s="443"/>
      <c r="H63" s="443"/>
      <c r="I63" s="443"/>
      <c r="J63" s="443"/>
      <c r="K63" s="443">
        <v>12</v>
      </c>
      <c r="L63" s="443"/>
      <c r="M63" s="443"/>
      <c r="N63" s="443">
        <v>31</v>
      </c>
      <c r="O63" s="443">
        <v>0</v>
      </c>
      <c r="P63" s="443">
        <v>0</v>
      </c>
      <c r="Q63" s="443">
        <v>0</v>
      </c>
      <c r="R63" s="439">
        <f>SUM(F63:Q63)</f>
        <v>43</v>
      </c>
      <c r="S63" s="440">
        <f>IFERROR((AVERAGE(F63:Q63)),0)</f>
        <v>8.6</v>
      </c>
      <c r="T63" s="441">
        <f>IFERROR((U63/S63),0)</f>
        <v>33.02325581395349</v>
      </c>
      <c r="U63" s="451">
        <f>SUM(E63-R63)</f>
        <v>284</v>
      </c>
      <c r="V63" s="253">
        <v>2014</v>
      </c>
      <c r="W63" s="252" t="s">
        <v>130</v>
      </c>
      <c r="AD63" s="104">
        <v>1</v>
      </c>
    </row>
    <row r="64" spans="1:30" x14ac:dyDescent="0.2">
      <c r="A64" s="252">
        <v>97511</v>
      </c>
      <c r="B64" s="492">
        <v>2014</v>
      </c>
      <c r="C64" s="252" t="s">
        <v>25</v>
      </c>
      <c r="D64" s="272">
        <v>6.92</v>
      </c>
      <c r="E64" s="255">
        <v>388</v>
      </c>
      <c r="F64" s="443"/>
      <c r="G64" s="443"/>
      <c r="H64" s="443"/>
      <c r="I64" s="443"/>
      <c r="J64" s="443">
        <v>1</v>
      </c>
      <c r="K64" s="443">
        <v>6</v>
      </c>
      <c r="L64" s="443"/>
      <c r="M64" s="443"/>
      <c r="N64" s="443">
        <v>43</v>
      </c>
      <c r="O64" s="443">
        <v>0</v>
      </c>
      <c r="P64" s="443">
        <v>0</v>
      </c>
      <c r="Q64" s="443">
        <v>0</v>
      </c>
      <c r="R64" s="439">
        <f>SUM(F64:Q64)</f>
        <v>50</v>
      </c>
      <c r="S64" s="440">
        <f>IFERROR((AVERAGE(F64:Q64)),0)</f>
        <v>8.3333333333333339</v>
      </c>
      <c r="T64" s="441">
        <f>IFERROR((U64/S64),0)</f>
        <v>40.559999999999995</v>
      </c>
      <c r="U64" s="451">
        <f>SUM(E64-R64)</f>
        <v>338</v>
      </c>
      <c r="V64" s="492">
        <v>2015</v>
      </c>
      <c r="W64" s="252" t="s">
        <v>25</v>
      </c>
    </row>
    <row r="65" spans="1:23" x14ac:dyDescent="0.2">
      <c r="A65" s="252">
        <v>102768</v>
      </c>
      <c r="B65" s="253">
        <v>2014</v>
      </c>
      <c r="C65" s="252" t="s">
        <v>131</v>
      </c>
      <c r="D65" s="273">
        <v>2.42</v>
      </c>
      <c r="E65" s="255">
        <v>136</v>
      </c>
      <c r="F65" s="443"/>
      <c r="G65" s="443"/>
      <c r="H65" s="443"/>
      <c r="I65" s="443"/>
      <c r="J65" s="443"/>
      <c r="K65" s="443"/>
      <c r="L65" s="443"/>
      <c r="M65" s="443"/>
      <c r="N65" s="443">
        <v>20</v>
      </c>
      <c r="O65" s="443">
        <v>0</v>
      </c>
      <c r="P65" s="443">
        <v>0</v>
      </c>
      <c r="Q65" s="443">
        <v>0</v>
      </c>
      <c r="R65" s="439">
        <f>SUM(F65:Q65)</f>
        <v>20</v>
      </c>
      <c r="S65" s="440">
        <f>IFERROR((AVERAGE(F65:Q65)),0)</f>
        <v>5</v>
      </c>
      <c r="T65" s="441">
        <f>IFERROR((U65/S65),0)</f>
        <v>23.2</v>
      </c>
      <c r="U65" s="451">
        <f>SUM(E65-R65)</f>
        <v>116</v>
      </c>
      <c r="V65" s="253">
        <v>2014</v>
      </c>
      <c r="W65" s="252" t="s">
        <v>131</v>
      </c>
    </row>
    <row r="66" spans="1:23" x14ac:dyDescent="0.2">
      <c r="A66" s="252">
        <v>101639</v>
      </c>
      <c r="B66" s="253">
        <v>2014</v>
      </c>
      <c r="C66" s="252" t="s">
        <v>120</v>
      </c>
      <c r="D66" s="273">
        <v>7.96</v>
      </c>
      <c r="E66" s="255">
        <v>446</v>
      </c>
      <c r="F66" s="443"/>
      <c r="G66" s="443"/>
      <c r="H66" s="443"/>
      <c r="I66" s="443"/>
      <c r="J66" s="443"/>
      <c r="K66" s="443"/>
      <c r="L66" s="443"/>
      <c r="M66" s="443"/>
      <c r="N66" s="443">
        <v>46</v>
      </c>
      <c r="O66" s="443">
        <v>0</v>
      </c>
      <c r="P66" s="443">
        <v>0</v>
      </c>
      <c r="Q66" s="443">
        <v>0</v>
      </c>
      <c r="R66" s="439">
        <f>SUM(F66:Q66)</f>
        <v>46</v>
      </c>
      <c r="S66" s="440">
        <f>IFERROR((AVERAGE(F66:Q66)),0)</f>
        <v>11.5</v>
      </c>
      <c r="T66" s="441">
        <f>IFERROR((U66/S66),0)</f>
        <v>34.782608695652172</v>
      </c>
      <c r="U66" s="451">
        <f>SUM(E66-R66)</f>
        <v>400</v>
      </c>
      <c r="V66" s="253">
        <v>2014</v>
      </c>
      <c r="W66" s="252" t="s">
        <v>120</v>
      </c>
    </row>
    <row r="67" spans="1:23" x14ac:dyDescent="0.2">
      <c r="A67" s="252">
        <v>100463</v>
      </c>
      <c r="B67" s="253">
        <v>2014</v>
      </c>
      <c r="C67" s="252" t="s">
        <v>132</v>
      </c>
      <c r="D67" s="273">
        <v>2.0699999999999998</v>
      </c>
      <c r="E67" s="255">
        <v>116</v>
      </c>
      <c r="F67" s="443"/>
      <c r="G67" s="443"/>
      <c r="H67" s="443"/>
      <c r="I67" s="443"/>
      <c r="J67" s="443"/>
      <c r="K67" s="443">
        <v>4</v>
      </c>
      <c r="L67" s="443"/>
      <c r="M67" s="443"/>
      <c r="N67" s="443">
        <v>47</v>
      </c>
      <c r="O67" s="443">
        <v>0</v>
      </c>
      <c r="P67" s="443">
        <v>0</v>
      </c>
      <c r="Q67" s="443">
        <v>0</v>
      </c>
      <c r="R67" s="439">
        <f>SUM(F67:Q67)</f>
        <v>51</v>
      </c>
      <c r="S67" s="440">
        <f>IFERROR((AVERAGE(F67:Q67)),0)</f>
        <v>10.199999999999999</v>
      </c>
      <c r="T67" s="441">
        <f>IFERROR((U67/S67),0)</f>
        <v>6.3725490196078436</v>
      </c>
      <c r="U67" s="451">
        <f>SUM(E67-R67)</f>
        <v>65</v>
      </c>
      <c r="V67" s="253">
        <v>2014</v>
      </c>
      <c r="W67" s="252" t="s">
        <v>132</v>
      </c>
    </row>
    <row r="68" spans="1:23" ht="14.25" customHeight="1" x14ac:dyDescent="0.2">
      <c r="A68" s="249"/>
      <c r="B68" s="249"/>
      <c r="C68" s="249"/>
      <c r="D68" s="249"/>
      <c r="E68" s="249"/>
      <c r="F68" s="249"/>
      <c r="G68" s="249"/>
      <c r="H68" s="249"/>
      <c r="I68" s="249"/>
      <c r="J68" s="249"/>
      <c r="K68" s="249"/>
      <c r="L68" s="249"/>
      <c r="M68" s="249"/>
      <c r="N68" s="249"/>
      <c r="O68" s="251"/>
      <c r="P68" s="251"/>
      <c r="Q68" s="249"/>
      <c r="R68" s="249"/>
      <c r="S68" s="249"/>
      <c r="T68" s="249"/>
      <c r="U68" s="249"/>
      <c r="V68" s="249"/>
      <c r="W68" s="249"/>
    </row>
    <row r="69" spans="1:23" x14ac:dyDescent="0.2">
      <c r="A69" s="252">
        <v>97509</v>
      </c>
      <c r="B69" s="253">
        <v>2015</v>
      </c>
      <c r="C69" s="252" t="s">
        <v>107</v>
      </c>
      <c r="D69" s="273">
        <v>6.58</v>
      </c>
      <c r="E69" s="255">
        <v>369</v>
      </c>
      <c r="F69" s="443"/>
      <c r="G69" s="443"/>
      <c r="H69" s="443"/>
      <c r="I69" s="443"/>
      <c r="J69" s="443">
        <v>1</v>
      </c>
      <c r="K69" s="443">
        <v>7</v>
      </c>
      <c r="L69" s="443"/>
      <c r="M69" s="443"/>
      <c r="N69" s="443">
        <v>30</v>
      </c>
      <c r="O69" s="443">
        <v>0</v>
      </c>
      <c r="P69" s="443">
        <v>26</v>
      </c>
      <c r="Q69" s="443">
        <v>18</v>
      </c>
      <c r="R69" s="439">
        <f t="shared" ref="R69:R76" si="15">SUM(F69:Q69)</f>
        <v>82</v>
      </c>
      <c r="S69" s="440">
        <f t="shared" ref="S69:S76" si="16">IFERROR((AVERAGE(F69:Q69)),0)</f>
        <v>13.666666666666666</v>
      </c>
      <c r="T69" s="441">
        <f t="shared" ref="T69:T79" si="17">IFERROR((U69/S69),0)</f>
        <v>21</v>
      </c>
      <c r="U69" s="451">
        <f t="shared" ref="U69:U76" si="18">SUM(E69-R69)</f>
        <v>287</v>
      </c>
      <c r="V69" s="253">
        <v>2015</v>
      </c>
      <c r="W69" s="252" t="s">
        <v>107</v>
      </c>
    </row>
    <row r="70" spans="1:23" x14ac:dyDescent="0.2">
      <c r="A70" s="252">
        <v>101636</v>
      </c>
      <c r="B70" s="492">
        <v>2015</v>
      </c>
      <c r="C70" s="252" t="s">
        <v>31</v>
      </c>
      <c r="D70" s="273">
        <v>4</v>
      </c>
      <c r="E70" s="255">
        <v>225</v>
      </c>
      <c r="F70" s="443"/>
      <c r="G70" s="443"/>
      <c r="H70" s="443"/>
      <c r="I70" s="443"/>
      <c r="J70" s="443"/>
      <c r="K70" s="443"/>
      <c r="L70" s="443"/>
      <c r="M70" s="443"/>
      <c r="N70" s="443">
        <v>52</v>
      </c>
      <c r="O70" s="443">
        <v>0</v>
      </c>
      <c r="P70" s="443">
        <v>0</v>
      </c>
      <c r="Q70" s="443">
        <v>0</v>
      </c>
      <c r="R70" s="439">
        <f t="shared" si="15"/>
        <v>52</v>
      </c>
      <c r="S70" s="440">
        <f t="shared" si="16"/>
        <v>13</v>
      </c>
      <c r="T70" s="441">
        <f t="shared" si="17"/>
        <v>13.307692307692308</v>
      </c>
      <c r="U70" s="451">
        <f t="shared" si="18"/>
        <v>173</v>
      </c>
      <c r="V70" s="492">
        <v>2015</v>
      </c>
      <c r="W70" s="252" t="s">
        <v>31</v>
      </c>
    </row>
    <row r="71" spans="1:23" x14ac:dyDescent="0.2">
      <c r="A71" s="252">
        <v>101819</v>
      </c>
      <c r="B71" s="493" t="s">
        <v>133</v>
      </c>
      <c r="C71" s="252" t="s">
        <v>134</v>
      </c>
      <c r="D71" s="272">
        <v>2.35</v>
      </c>
      <c r="E71" s="255">
        <v>132</v>
      </c>
      <c r="F71" s="443"/>
      <c r="G71" s="443"/>
      <c r="H71" s="443"/>
      <c r="I71" s="443"/>
      <c r="J71" s="443"/>
      <c r="K71" s="443">
        <v>7</v>
      </c>
      <c r="L71" s="443"/>
      <c r="M71" s="443"/>
      <c r="N71" s="443">
        <v>28</v>
      </c>
      <c r="O71" s="443">
        <v>0</v>
      </c>
      <c r="P71" s="443">
        <v>2</v>
      </c>
      <c r="Q71" s="443">
        <v>13</v>
      </c>
      <c r="R71" s="439">
        <f t="shared" si="15"/>
        <v>50</v>
      </c>
      <c r="S71" s="440">
        <f>IFERROR((AVERAGE(F71:Q71)),0)</f>
        <v>10</v>
      </c>
      <c r="T71" s="441">
        <f t="shared" si="17"/>
        <v>8.1999999999999993</v>
      </c>
      <c r="U71" s="451">
        <f>SUM(E71-R71)</f>
        <v>82</v>
      </c>
      <c r="V71" s="492" t="s">
        <v>35</v>
      </c>
      <c r="W71" s="252" t="s">
        <v>134</v>
      </c>
    </row>
    <row r="72" spans="1:23" x14ac:dyDescent="0.2">
      <c r="A72" s="252">
        <v>101638</v>
      </c>
      <c r="B72" s="492">
        <v>2015</v>
      </c>
      <c r="C72" s="252" t="s">
        <v>26</v>
      </c>
      <c r="D72" s="272"/>
      <c r="E72" s="255">
        <v>350</v>
      </c>
      <c r="F72" s="443"/>
      <c r="G72" s="443"/>
      <c r="H72" s="443"/>
      <c r="I72" s="443"/>
      <c r="J72" s="443"/>
      <c r="K72" s="443"/>
      <c r="L72" s="443"/>
      <c r="M72" s="443"/>
      <c r="N72" s="443">
        <v>51</v>
      </c>
      <c r="O72" s="443">
        <v>0</v>
      </c>
      <c r="P72" s="443">
        <v>0</v>
      </c>
      <c r="Q72" s="443">
        <v>0</v>
      </c>
      <c r="R72" s="439">
        <f t="shared" si="15"/>
        <v>51</v>
      </c>
      <c r="S72" s="440">
        <f>IFERROR((AVERAGE(F72:Q72)),0)</f>
        <v>12.75</v>
      </c>
      <c r="T72" s="441">
        <f>IFERROR((U72/S72),0)</f>
        <v>23.450980392156861</v>
      </c>
      <c r="U72" s="451">
        <f>SUM(E72-R72)</f>
        <v>299</v>
      </c>
      <c r="V72" s="492"/>
      <c r="W72" s="252"/>
    </row>
    <row r="73" spans="1:23" x14ac:dyDescent="0.2">
      <c r="A73" s="252">
        <v>100464</v>
      </c>
      <c r="B73" s="492">
        <v>2015</v>
      </c>
      <c r="C73" s="252" t="s">
        <v>110</v>
      </c>
      <c r="D73" s="272">
        <v>6.5</v>
      </c>
      <c r="E73" s="255">
        <v>364</v>
      </c>
      <c r="F73" s="443"/>
      <c r="G73" s="443"/>
      <c r="H73" s="443"/>
      <c r="I73" s="443"/>
      <c r="J73" s="443"/>
      <c r="K73" s="443"/>
      <c r="L73" s="443"/>
      <c r="M73" s="443"/>
      <c r="N73" s="443">
        <v>35</v>
      </c>
      <c r="O73" s="443">
        <v>0</v>
      </c>
      <c r="P73" s="443">
        <v>44</v>
      </c>
      <c r="Q73" s="443">
        <v>24</v>
      </c>
      <c r="R73" s="439">
        <f t="shared" si="15"/>
        <v>103</v>
      </c>
      <c r="S73" s="440">
        <f t="shared" si="16"/>
        <v>25.75</v>
      </c>
      <c r="T73" s="441">
        <f t="shared" si="17"/>
        <v>10.135922330097088</v>
      </c>
      <c r="U73" s="451">
        <f t="shared" si="18"/>
        <v>261</v>
      </c>
      <c r="V73" s="492">
        <v>2015</v>
      </c>
      <c r="W73" s="252" t="s">
        <v>110</v>
      </c>
    </row>
    <row r="74" spans="1:23" x14ac:dyDescent="0.2">
      <c r="A74" s="252">
        <v>100465</v>
      </c>
      <c r="B74" s="492">
        <v>2015</v>
      </c>
      <c r="C74" s="252" t="s">
        <v>135</v>
      </c>
      <c r="D74" s="272"/>
      <c r="E74" s="255">
        <v>189</v>
      </c>
      <c r="F74" s="443"/>
      <c r="G74" s="443"/>
      <c r="H74" s="443"/>
      <c r="I74" s="443"/>
      <c r="J74" s="443"/>
      <c r="K74" s="443"/>
      <c r="L74" s="443"/>
      <c r="M74" s="443"/>
      <c r="N74" s="443"/>
      <c r="O74" s="443">
        <v>0</v>
      </c>
      <c r="P74" s="443">
        <v>5</v>
      </c>
      <c r="Q74" s="443">
        <v>1</v>
      </c>
      <c r="R74" s="439">
        <f t="shared" si="15"/>
        <v>6</v>
      </c>
      <c r="S74" s="440">
        <f>IFERROR((AVERAGE(F74:Q74)),0)</f>
        <v>2</v>
      </c>
      <c r="T74" s="441"/>
      <c r="U74" s="451">
        <f t="shared" si="18"/>
        <v>183</v>
      </c>
      <c r="V74" s="492">
        <v>2015</v>
      </c>
      <c r="W74" s="252" t="s">
        <v>135</v>
      </c>
    </row>
    <row r="75" spans="1:23" x14ac:dyDescent="0.2">
      <c r="A75" s="252">
        <v>100463</v>
      </c>
      <c r="B75" s="492">
        <v>2015</v>
      </c>
      <c r="C75" s="252" t="s">
        <v>136</v>
      </c>
      <c r="D75" s="272"/>
      <c r="E75" s="255">
        <v>153</v>
      </c>
      <c r="F75" s="443"/>
      <c r="G75" s="443"/>
      <c r="H75" s="443"/>
      <c r="I75" s="443"/>
      <c r="J75" s="443"/>
      <c r="K75" s="443"/>
      <c r="L75" s="443"/>
      <c r="M75" s="443"/>
      <c r="N75" s="443"/>
      <c r="O75" s="443">
        <v>0</v>
      </c>
      <c r="P75" s="443">
        <v>0</v>
      </c>
      <c r="Q75" s="443">
        <v>0</v>
      </c>
      <c r="R75" s="439">
        <f t="shared" si="15"/>
        <v>0</v>
      </c>
      <c r="S75" s="440">
        <f>IFERROR((AVERAGE(F75:Q75)),0)</f>
        <v>0</v>
      </c>
      <c r="T75" s="441"/>
      <c r="U75" s="451">
        <f t="shared" si="18"/>
        <v>153</v>
      </c>
      <c r="V75" s="492">
        <v>2015</v>
      </c>
      <c r="W75" s="252" t="s">
        <v>136</v>
      </c>
    </row>
    <row r="76" spans="1:23" x14ac:dyDescent="0.2">
      <c r="A76" s="252">
        <v>97510</v>
      </c>
      <c r="B76" s="253">
        <v>2015</v>
      </c>
      <c r="C76" s="252" t="s">
        <v>23</v>
      </c>
      <c r="D76" s="273">
        <v>0</v>
      </c>
      <c r="E76" s="255">
        <v>0</v>
      </c>
      <c r="F76" s="443"/>
      <c r="G76" s="443"/>
      <c r="H76" s="443"/>
      <c r="I76" s="443"/>
      <c r="J76" s="443"/>
      <c r="K76" s="443"/>
      <c r="L76" s="443"/>
      <c r="M76" s="443"/>
      <c r="N76" s="443">
        <v>0</v>
      </c>
      <c r="O76" s="443">
        <v>0</v>
      </c>
      <c r="P76" s="443">
        <v>0</v>
      </c>
      <c r="Q76" s="443">
        <v>0</v>
      </c>
      <c r="R76" s="439">
        <f t="shared" si="15"/>
        <v>0</v>
      </c>
      <c r="S76" s="440">
        <f t="shared" si="16"/>
        <v>0</v>
      </c>
      <c r="T76" s="441">
        <f t="shared" si="17"/>
        <v>0</v>
      </c>
      <c r="U76" s="451">
        <f t="shared" si="18"/>
        <v>0</v>
      </c>
      <c r="V76" s="253">
        <v>2015</v>
      </c>
      <c r="W76" s="252" t="s">
        <v>23</v>
      </c>
    </row>
    <row r="77" spans="1:23" x14ac:dyDescent="0.2">
      <c r="A77" s="249"/>
      <c r="B77" s="117"/>
      <c r="C77" s="117"/>
      <c r="D77" s="118"/>
      <c r="E77" s="120"/>
      <c r="F77" s="120"/>
      <c r="G77" s="120"/>
      <c r="H77" s="120"/>
      <c r="I77" s="120"/>
      <c r="J77" s="120"/>
      <c r="K77" s="120"/>
      <c r="L77" s="120"/>
      <c r="M77" s="120"/>
      <c r="N77" s="120"/>
      <c r="O77" s="120"/>
      <c r="P77" s="120"/>
      <c r="Q77" s="120"/>
      <c r="R77" s="117"/>
      <c r="S77" s="118"/>
      <c r="T77" s="121"/>
      <c r="U77" s="122"/>
      <c r="V77" s="117"/>
      <c r="W77" s="117"/>
    </row>
    <row r="78" spans="1:23" x14ac:dyDescent="0.2">
      <c r="A78" s="252"/>
      <c r="B78" s="252">
        <v>2014</v>
      </c>
      <c r="C78" s="252"/>
      <c r="D78" s="452"/>
      <c r="E78" s="455">
        <f t="shared" ref="E78:R78" si="19">SUM(E63:E67)</f>
        <v>1413</v>
      </c>
      <c r="F78" s="455">
        <f t="shared" si="19"/>
        <v>0</v>
      </c>
      <c r="G78" s="455">
        <f t="shared" si="19"/>
        <v>0</v>
      </c>
      <c r="H78" s="455">
        <f t="shared" si="19"/>
        <v>0</v>
      </c>
      <c r="I78" s="455">
        <f t="shared" si="19"/>
        <v>0</v>
      </c>
      <c r="J78" s="455">
        <f t="shared" si="19"/>
        <v>1</v>
      </c>
      <c r="K78" s="455">
        <f t="shared" si="19"/>
        <v>22</v>
      </c>
      <c r="L78" s="455">
        <f t="shared" si="19"/>
        <v>0</v>
      </c>
      <c r="M78" s="455">
        <f t="shared" si="19"/>
        <v>0</v>
      </c>
      <c r="N78" s="455">
        <f t="shared" si="19"/>
        <v>187</v>
      </c>
      <c r="O78" s="455">
        <f t="shared" si="19"/>
        <v>0</v>
      </c>
      <c r="P78" s="455">
        <f t="shared" si="19"/>
        <v>0</v>
      </c>
      <c r="Q78" s="455">
        <f t="shared" si="19"/>
        <v>0</v>
      </c>
      <c r="R78" s="439">
        <f t="shared" si="19"/>
        <v>210</v>
      </c>
      <c r="S78" s="440">
        <f>IFERROR((AVERAGE(F78:Q78)),0)</f>
        <v>17.5</v>
      </c>
      <c r="T78" s="441">
        <f t="shared" si="17"/>
        <v>68.742857142857147</v>
      </c>
      <c r="U78" s="451">
        <f>SUM(E78-R78)</f>
        <v>1203</v>
      </c>
      <c r="V78" s="252">
        <v>2014</v>
      </c>
      <c r="W78" s="252"/>
    </row>
    <row r="79" spans="1:23" x14ac:dyDescent="0.2">
      <c r="A79" s="252"/>
      <c r="B79" s="252">
        <v>2015</v>
      </c>
      <c r="C79" s="252"/>
      <c r="D79" s="452"/>
      <c r="E79" s="455">
        <f t="shared" ref="E79:R79" si="20">SUM(E69:E76)</f>
        <v>1782</v>
      </c>
      <c r="F79" s="455">
        <f t="shared" si="20"/>
        <v>0</v>
      </c>
      <c r="G79" s="455">
        <f t="shared" si="20"/>
        <v>0</v>
      </c>
      <c r="H79" s="455">
        <f t="shared" si="20"/>
        <v>0</v>
      </c>
      <c r="I79" s="455">
        <f t="shared" si="20"/>
        <v>0</v>
      </c>
      <c r="J79" s="455">
        <f t="shared" si="20"/>
        <v>1</v>
      </c>
      <c r="K79" s="455">
        <f t="shared" si="20"/>
        <v>14</v>
      </c>
      <c r="L79" s="455">
        <f t="shared" si="20"/>
        <v>0</v>
      </c>
      <c r="M79" s="455">
        <f t="shared" si="20"/>
        <v>0</v>
      </c>
      <c r="N79" s="455">
        <f t="shared" si="20"/>
        <v>196</v>
      </c>
      <c r="O79" s="455">
        <f t="shared" si="20"/>
        <v>0</v>
      </c>
      <c r="P79" s="455">
        <f t="shared" si="20"/>
        <v>77</v>
      </c>
      <c r="Q79" s="455">
        <f t="shared" si="20"/>
        <v>56</v>
      </c>
      <c r="R79" s="439">
        <f t="shared" si="20"/>
        <v>344</v>
      </c>
      <c r="S79" s="440">
        <f>IFERROR((AVERAGE(F79:Q79)),0)</f>
        <v>28.666666666666668</v>
      </c>
      <c r="T79" s="441">
        <f t="shared" si="17"/>
        <v>50.162790697674417</v>
      </c>
      <c r="U79" s="451">
        <f>SUM(E79-R79)</f>
        <v>1438</v>
      </c>
      <c r="V79" s="252">
        <v>2015</v>
      </c>
      <c r="W79" s="252"/>
    </row>
    <row r="80" spans="1:23" x14ac:dyDescent="0.2">
      <c r="B80" s="116" t="s">
        <v>78</v>
      </c>
      <c r="C80" s="252"/>
      <c r="D80" s="252"/>
      <c r="E80" s="295">
        <f>SUM(E78:E79)</f>
        <v>3195</v>
      </c>
      <c r="F80" s="295">
        <f>SUM(F78:F79)</f>
        <v>0</v>
      </c>
      <c r="G80" s="295">
        <f t="shared" ref="G80:Q80" si="21">SUM(G78:G79)</f>
        <v>0</v>
      </c>
      <c r="H80" s="295">
        <f t="shared" si="21"/>
        <v>0</v>
      </c>
      <c r="I80" s="295">
        <f t="shared" si="21"/>
        <v>0</v>
      </c>
      <c r="J80" s="295">
        <f t="shared" si="21"/>
        <v>2</v>
      </c>
      <c r="K80" s="295">
        <f t="shared" si="21"/>
        <v>36</v>
      </c>
      <c r="L80" s="295">
        <f t="shared" si="21"/>
        <v>0</v>
      </c>
      <c r="M80" s="295">
        <f t="shared" si="21"/>
        <v>0</v>
      </c>
      <c r="N80" s="295">
        <f t="shared" si="21"/>
        <v>383</v>
      </c>
      <c r="O80" s="295">
        <f t="shared" si="21"/>
        <v>0</v>
      </c>
      <c r="P80" s="295">
        <f t="shared" si="21"/>
        <v>77</v>
      </c>
      <c r="Q80" s="295">
        <f t="shared" si="21"/>
        <v>56</v>
      </c>
      <c r="R80" s="252">
        <f>SUM(R78:R79)</f>
        <v>554</v>
      </c>
      <c r="S80" s="252">
        <f>SUM(S78:S79)</f>
        <v>46.166666666666671</v>
      </c>
      <c r="T80" s="252">
        <f>SUM(T78:T79)</f>
        <v>118.90564784053157</v>
      </c>
      <c r="U80" s="456">
        <f>SUM(U78:U79)</f>
        <v>2641</v>
      </c>
      <c r="V80" s="116" t="s">
        <v>78</v>
      </c>
      <c r="W80" s="252"/>
    </row>
    <row r="81" spans="1:23" x14ac:dyDescent="0.2">
      <c r="A81" s="249"/>
      <c r="B81" s="117"/>
      <c r="C81" s="117"/>
      <c r="D81" s="118"/>
      <c r="E81" s="120"/>
      <c r="F81" s="120"/>
      <c r="G81" s="120"/>
      <c r="H81" s="120"/>
      <c r="I81" s="120"/>
      <c r="J81" s="120"/>
      <c r="K81" s="120"/>
      <c r="L81" s="120"/>
      <c r="M81" s="120"/>
      <c r="N81" s="120"/>
      <c r="O81" s="120"/>
      <c r="P81" s="120"/>
      <c r="Q81" s="120"/>
      <c r="R81" s="117"/>
      <c r="S81" s="118"/>
      <c r="T81" s="121"/>
      <c r="U81" s="122"/>
      <c r="V81" s="117"/>
      <c r="W81" s="117"/>
    </row>
    <row r="83" spans="1:23" x14ac:dyDescent="0.2">
      <c r="A83" s="127"/>
      <c r="B83" s="128"/>
      <c r="C83" s="128"/>
      <c r="D83" s="129"/>
      <c r="E83" s="119"/>
      <c r="F83" s="119"/>
      <c r="G83" s="119"/>
      <c r="H83" s="119"/>
      <c r="I83" s="119"/>
      <c r="J83" s="119"/>
      <c r="K83" s="119"/>
      <c r="L83" s="119"/>
      <c r="M83" s="119"/>
      <c r="N83" s="119"/>
      <c r="O83" s="119"/>
      <c r="P83" s="119"/>
      <c r="Q83" s="119"/>
      <c r="R83" s="128"/>
      <c r="S83" s="129"/>
      <c r="T83" s="130"/>
      <c r="U83" s="128"/>
      <c r="V83" s="128"/>
      <c r="W83" s="128"/>
    </row>
    <row r="84" spans="1:23" ht="15.75" x14ac:dyDescent="0.25">
      <c r="B84" s="126" t="s">
        <v>137</v>
      </c>
      <c r="D84" s="123"/>
      <c r="E84" s="105"/>
      <c r="F84" s="105"/>
      <c r="G84" s="105"/>
      <c r="H84" s="105"/>
      <c r="I84" s="105"/>
      <c r="J84" s="105"/>
      <c r="K84" s="105"/>
      <c r="L84" s="105"/>
      <c r="M84" s="105"/>
      <c r="N84" s="105"/>
      <c r="O84" s="105"/>
      <c r="P84" s="105"/>
      <c r="Q84" s="105"/>
      <c r="S84" s="123"/>
      <c r="T84" s="125"/>
      <c r="V84" s="126" t="s">
        <v>137</v>
      </c>
    </row>
    <row r="85" spans="1:23" x14ac:dyDescent="0.2">
      <c r="A85" s="252"/>
      <c r="B85" s="112">
        <v>2012</v>
      </c>
      <c r="C85" s="252"/>
      <c r="D85" s="452"/>
      <c r="E85" s="359">
        <f t="shared" ref="E85:R85" si="22">E53</f>
        <v>304</v>
      </c>
      <c r="F85" s="359">
        <f t="shared" si="22"/>
        <v>45</v>
      </c>
      <c r="G85" s="359">
        <f t="shared" si="22"/>
        <v>28</v>
      </c>
      <c r="H85" s="359">
        <f t="shared" si="22"/>
        <v>21</v>
      </c>
      <c r="I85" s="359">
        <f t="shared" si="22"/>
        <v>43</v>
      </c>
      <c r="J85" s="359">
        <f t="shared" si="22"/>
        <v>43</v>
      </c>
      <c r="K85" s="359">
        <f t="shared" si="22"/>
        <v>16</v>
      </c>
      <c r="L85" s="359">
        <f t="shared" si="22"/>
        <v>15</v>
      </c>
      <c r="M85" s="359">
        <f t="shared" si="22"/>
        <v>15</v>
      </c>
      <c r="N85" s="359">
        <f t="shared" si="22"/>
        <v>23</v>
      </c>
      <c r="O85" s="359">
        <f t="shared" si="22"/>
        <v>28</v>
      </c>
      <c r="P85" s="359">
        <f t="shared" si="22"/>
        <v>22</v>
      </c>
      <c r="Q85" s="359">
        <f t="shared" si="22"/>
        <v>0</v>
      </c>
      <c r="R85" s="439">
        <f t="shared" si="22"/>
        <v>299</v>
      </c>
      <c r="S85" s="440">
        <f>AVERAGE(F85:Q85)</f>
        <v>24.916666666666668</v>
      </c>
      <c r="T85" s="441">
        <f>U85/S85</f>
        <v>0.20066889632107021</v>
      </c>
      <c r="U85" s="451">
        <f>SUM(E85-R85)</f>
        <v>5</v>
      </c>
      <c r="V85" s="112">
        <v>2012</v>
      </c>
      <c r="W85" s="252"/>
    </row>
    <row r="86" spans="1:23" x14ac:dyDescent="0.2">
      <c r="A86" s="252"/>
      <c r="B86" s="112">
        <v>2013</v>
      </c>
      <c r="C86" s="252"/>
      <c r="D86" s="452"/>
      <c r="E86" s="359">
        <f t="shared" ref="E86:R86" si="23">E54</f>
        <v>2192</v>
      </c>
      <c r="F86" s="359">
        <f t="shared" si="23"/>
        <v>232</v>
      </c>
      <c r="G86" s="359">
        <f t="shared" si="23"/>
        <v>169</v>
      </c>
      <c r="H86" s="359">
        <f t="shared" si="23"/>
        <v>151</v>
      </c>
      <c r="I86" s="359">
        <f t="shared" si="23"/>
        <v>241</v>
      </c>
      <c r="J86" s="359">
        <f t="shared" si="23"/>
        <v>172</v>
      </c>
      <c r="K86" s="359">
        <f t="shared" si="23"/>
        <v>221</v>
      </c>
      <c r="L86" s="359">
        <f t="shared" si="23"/>
        <v>215</v>
      </c>
      <c r="M86" s="359">
        <f t="shared" si="23"/>
        <v>162</v>
      </c>
      <c r="N86" s="359">
        <f t="shared" si="23"/>
        <v>169</v>
      </c>
      <c r="O86" s="359">
        <f t="shared" si="23"/>
        <v>97</v>
      </c>
      <c r="P86" s="359">
        <f t="shared" si="23"/>
        <v>47</v>
      </c>
      <c r="Q86" s="359">
        <f t="shared" si="23"/>
        <v>18</v>
      </c>
      <c r="R86" s="439">
        <f t="shared" si="23"/>
        <v>1894</v>
      </c>
      <c r="S86" s="453">
        <f>AVERAGE(F86:Q86)</f>
        <v>157.83333333333334</v>
      </c>
      <c r="T86" s="454">
        <f>U86/S86</f>
        <v>1.8880675818373811</v>
      </c>
      <c r="U86" s="451">
        <f>SUM(E86-R86)</f>
        <v>298</v>
      </c>
      <c r="V86" s="112">
        <v>2013</v>
      </c>
      <c r="W86" s="252"/>
    </row>
    <row r="87" spans="1:23" x14ac:dyDescent="0.2">
      <c r="A87" s="252"/>
      <c r="B87" s="112">
        <v>2014</v>
      </c>
      <c r="C87" s="252"/>
      <c r="D87" s="452"/>
      <c r="E87" s="359">
        <f t="shared" ref="E87:Q87" si="24">E78+E55</f>
        <v>5656</v>
      </c>
      <c r="F87" s="359">
        <f t="shared" si="24"/>
        <v>151</v>
      </c>
      <c r="G87" s="359">
        <f t="shared" si="24"/>
        <v>90</v>
      </c>
      <c r="H87" s="359">
        <f t="shared" si="24"/>
        <v>82</v>
      </c>
      <c r="I87" s="359">
        <f t="shared" si="24"/>
        <v>100</v>
      </c>
      <c r="J87" s="359">
        <f t="shared" si="24"/>
        <v>86</v>
      </c>
      <c r="K87" s="359">
        <f t="shared" si="24"/>
        <v>116</v>
      </c>
      <c r="L87" s="359">
        <f t="shared" si="24"/>
        <v>203</v>
      </c>
      <c r="M87" s="359">
        <f t="shared" si="24"/>
        <v>302</v>
      </c>
      <c r="N87" s="359">
        <f t="shared" si="24"/>
        <v>382</v>
      </c>
      <c r="O87" s="359">
        <f t="shared" si="24"/>
        <v>218</v>
      </c>
      <c r="P87" s="359">
        <f t="shared" si="24"/>
        <v>313</v>
      </c>
      <c r="Q87" s="359">
        <f t="shared" si="24"/>
        <v>331</v>
      </c>
      <c r="R87" s="439">
        <f>R55+R78</f>
        <v>2374</v>
      </c>
      <c r="S87" s="453">
        <f>AVERAGE(F87:Q87)</f>
        <v>197.83333333333334</v>
      </c>
      <c r="T87" s="454">
        <f>U87/S87</f>
        <v>16.589721988205561</v>
      </c>
      <c r="U87" s="451">
        <f>SUM(E87-R87)</f>
        <v>3282</v>
      </c>
      <c r="V87" s="112">
        <v>2014</v>
      </c>
      <c r="W87" s="252"/>
    </row>
    <row r="88" spans="1:23" x14ac:dyDescent="0.2">
      <c r="A88" s="252"/>
      <c r="B88" s="112">
        <v>2015</v>
      </c>
      <c r="C88" s="252"/>
      <c r="D88" s="452"/>
      <c r="E88" s="359">
        <f t="shared" ref="E88:Q88" si="25">E79+E56</f>
        <v>6200</v>
      </c>
      <c r="F88" s="359">
        <f t="shared" si="25"/>
        <v>2</v>
      </c>
      <c r="G88" s="359">
        <f t="shared" si="25"/>
        <v>47</v>
      </c>
      <c r="H88" s="359">
        <f t="shared" si="25"/>
        <v>56</v>
      </c>
      <c r="I88" s="359">
        <f t="shared" si="25"/>
        <v>99</v>
      </c>
      <c r="J88" s="359">
        <f t="shared" si="25"/>
        <v>91</v>
      </c>
      <c r="K88" s="359">
        <f t="shared" si="25"/>
        <v>79</v>
      </c>
      <c r="L88" s="359">
        <f t="shared" si="25"/>
        <v>85</v>
      </c>
      <c r="M88" s="359">
        <f t="shared" si="25"/>
        <v>197</v>
      </c>
      <c r="N88" s="359">
        <f t="shared" si="25"/>
        <v>309</v>
      </c>
      <c r="O88" s="359">
        <f t="shared" si="25"/>
        <v>105</v>
      </c>
      <c r="P88" s="359">
        <f t="shared" si="25"/>
        <v>200</v>
      </c>
      <c r="Q88" s="359">
        <f t="shared" si="25"/>
        <v>221</v>
      </c>
      <c r="R88" s="439">
        <f>R56+R79</f>
        <v>1956</v>
      </c>
      <c r="S88" s="453">
        <f>AVERAGE(F88:Q88)</f>
        <v>124.25</v>
      </c>
      <c r="T88" s="454">
        <f>U88/S88</f>
        <v>34.156941649899395</v>
      </c>
      <c r="U88" s="451">
        <f>SUM(E88-R88)</f>
        <v>4244</v>
      </c>
      <c r="V88" s="112">
        <v>2015</v>
      </c>
      <c r="W88" s="252"/>
    </row>
    <row r="89" spans="1:23" x14ac:dyDescent="0.2">
      <c r="A89" s="252"/>
      <c r="B89" s="116" t="s">
        <v>78</v>
      </c>
      <c r="C89" s="252"/>
      <c r="D89" s="452"/>
      <c r="E89" s="455">
        <f>SUM(E85:E88)</f>
        <v>14352</v>
      </c>
      <c r="F89" s="455">
        <f t="shared" ref="F89:Q89" si="26">SUM(F85:F88)</f>
        <v>430</v>
      </c>
      <c r="G89" s="455">
        <f t="shared" si="26"/>
        <v>334</v>
      </c>
      <c r="H89" s="455">
        <f t="shared" si="26"/>
        <v>310</v>
      </c>
      <c r="I89" s="455">
        <f t="shared" si="26"/>
        <v>483</v>
      </c>
      <c r="J89" s="455">
        <f t="shared" si="26"/>
        <v>392</v>
      </c>
      <c r="K89" s="455">
        <f t="shared" si="26"/>
        <v>432</v>
      </c>
      <c r="L89" s="455">
        <f t="shared" si="26"/>
        <v>518</v>
      </c>
      <c r="M89" s="455">
        <f t="shared" si="26"/>
        <v>676</v>
      </c>
      <c r="N89" s="455">
        <f t="shared" si="26"/>
        <v>883</v>
      </c>
      <c r="O89" s="455">
        <f t="shared" si="26"/>
        <v>448</v>
      </c>
      <c r="P89" s="455">
        <f t="shared" si="26"/>
        <v>582</v>
      </c>
      <c r="Q89" s="455">
        <f t="shared" si="26"/>
        <v>570</v>
      </c>
      <c r="R89" s="439">
        <f>SUM(R85:R88)</f>
        <v>6523</v>
      </c>
      <c r="S89" s="308">
        <f>SUM(S85:S88)</f>
        <v>504.83333333333337</v>
      </c>
      <c r="T89" s="441">
        <f>U89/S89</f>
        <v>15.508088478045558</v>
      </c>
      <c r="U89" s="451">
        <f>SUM(E89-R89)</f>
        <v>7829</v>
      </c>
      <c r="V89" s="116" t="s">
        <v>78</v>
      </c>
      <c r="W89" s="252"/>
    </row>
    <row r="90" spans="1:23" x14ac:dyDescent="0.2">
      <c r="A90" s="249"/>
      <c r="B90" s="117"/>
      <c r="C90" s="117"/>
      <c r="D90" s="118"/>
      <c r="E90" s="120"/>
      <c r="F90" s="120"/>
      <c r="G90" s="120"/>
      <c r="H90" s="120"/>
      <c r="I90" s="120"/>
      <c r="J90" s="120"/>
      <c r="K90" s="120"/>
      <c r="L90" s="120"/>
      <c r="M90" s="120"/>
      <c r="N90" s="120"/>
      <c r="O90" s="120"/>
      <c r="P90" s="120"/>
      <c r="Q90" s="120"/>
      <c r="R90" s="117"/>
      <c r="S90" s="118"/>
      <c r="T90" s="121"/>
      <c r="U90" s="122"/>
      <c r="V90" s="117"/>
      <c r="W90" s="117"/>
    </row>
    <row r="91" spans="1:23" ht="15.75" thickBot="1" x14ac:dyDescent="0.25">
      <c r="E91" s="105"/>
      <c r="F91" s="105"/>
      <c r="G91" s="105"/>
      <c r="H91" s="105"/>
      <c r="I91" s="105"/>
      <c r="J91" s="105"/>
      <c r="K91" s="105"/>
      <c r="L91" s="105"/>
      <c r="M91" s="105"/>
      <c r="N91" s="105"/>
      <c r="O91" s="105"/>
      <c r="P91" s="105"/>
      <c r="Q91" s="105"/>
      <c r="S91" s="123"/>
      <c r="T91" s="125"/>
      <c r="U91" s="131"/>
    </row>
    <row r="92" spans="1:23" ht="48" thickBot="1" x14ac:dyDescent="0.3">
      <c r="B92" s="132" t="s">
        <v>79</v>
      </c>
      <c r="C92" s="133"/>
      <c r="D92" s="133"/>
      <c r="E92" s="72" t="s">
        <v>138</v>
      </c>
      <c r="F92" s="572" t="s">
        <v>139</v>
      </c>
      <c r="G92" s="573"/>
      <c r="H92" s="573"/>
      <c r="I92" s="573"/>
      <c r="J92" s="573"/>
      <c r="K92" s="573"/>
      <c r="L92" s="573"/>
      <c r="M92" s="573"/>
      <c r="N92" s="573"/>
      <c r="O92" s="573"/>
      <c r="P92" s="573"/>
      <c r="Q92" s="573"/>
      <c r="R92" s="65" t="s">
        <v>82</v>
      </c>
      <c r="S92" s="134"/>
      <c r="T92" s="134"/>
      <c r="V92" s="132" t="s">
        <v>79</v>
      </c>
      <c r="W92" s="133"/>
    </row>
    <row r="93" spans="1:23" ht="15.75" x14ac:dyDescent="0.25">
      <c r="B93" s="135"/>
      <c r="C93" s="135"/>
      <c r="D93" s="135"/>
      <c r="E93" s="136"/>
      <c r="F93" s="137"/>
      <c r="G93" s="137"/>
      <c r="H93" s="137"/>
      <c r="I93" s="137"/>
      <c r="J93" s="137"/>
      <c r="K93" s="137"/>
      <c r="L93" s="137"/>
      <c r="M93" s="137"/>
      <c r="N93" s="137"/>
      <c r="O93" s="137"/>
      <c r="P93" s="137"/>
      <c r="Q93" s="138"/>
      <c r="R93" s="135"/>
      <c r="U93" s="134"/>
      <c r="V93" s="135"/>
      <c r="W93" s="135"/>
    </row>
    <row r="94" spans="1:23" x14ac:dyDescent="0.2">
      <c r="B94" s="252"/>
      <c r="C94" s="252"/>
      <c r="D94" s="252"/>
      <c r="E94" s="137"/>
      <c r="F94" s="255"/>
      <c r="G94" s="255"/>
      <c r="H94" s="255"/>
      <c r="I94" s="255"/>
      <c r="J94" s="255"/>
      <c r="K94" s="255"/>
      <c r="L94" s="255"/>
      <c r="M94" s="255"/>
      <c r="N94" s="255"/>
      <c r="O94" s="255"/>
      <c r="P94" s="255"/>
      <c r="Q94" s="457"/>
      <c r="R94" s="252"/>
      <c r="V94" s="252"/>
      <c r="W94" s="252"/>
    </row>
    <row r="95" spans="1:23" x14ac:dyDescent="0.2">
      <c r="B95" s="435"/>
      <c r="C95" s="435"/>
      <c r="D95" s="435"/>
      <c r="E95" s="436"/>
      <c r="F95" s="436"/>
      <c r="G95" s="436"/>
      <c r="H95" s="436"/>
      <c r="I95" s="436"/>
      <c r="J95" s="436"/>
      <c r="K95" s="436"/>
      <c r="L95" s="436"/>
      <c r="M95" s="436"/>
      <c r="N95" s="436"/>
      <c r="O95" s="436"/>
      <c r="P95" s="436"/>
      <c r="Q95" s="458"/>
      <c r="R95" s="435"/>
      <c r="V95" s="435"/>
      <c r="W95" s="435"/>
    </row>
    <row r="96" spans="1:23" x14ac:dyDescent="0.2">
      <c r="B96" s="252"/>
      <c r="C96" s="252"/>
      <c r="D96" s="252"/>
      <c r="E96" s="255"/>
      <c r="F96" s="255"/>
      <c r="G96" s="255"/>
      <c r="H96" s="255"/>
      <c r="I96" s="255"/>
      <c r="J96" s="255"/>
      <c r="K96" s="255"/>
      <c r="L96" s="255"/>
      <c r="M96" s="255"/>
      <c r="N96" s="255"/>
      <c r="O96" s="255"/>
      <c r="P96" s="255"/>
      <c r="Q96" s="457"/>
      <c r="R96" s="252"/>
      <c r="V96" s="252"/>
      <c r="W96" s="252"/>
    </row>
    <row r="97" spans="2:23" x14ac:dyDescent="0.2">
      <c r="B97" s="252"/>
      <c r="C97" s="252"/>
      <c r="D97" s="252"/>
      <c r="E97" s="255"/>
      <c r="F97" s="255"/>
      <c r="G97" s="255"/>
      <c r="H97" s="255"/>
      <c r="I97" s="255"/>
      <c r="J97" s="255"/>
      <c r="K97" s="255"/>
      <c r="L97" s="255"/>
      <c r="M97" s="255"/>
      <c r="N97" s="255"/>
      <c r="O97" s="255"/>
      <c r="P97" s="255"/>
      <c r="Q97" s="457"/>
      <c r="R97" s="252"/>
      <c r="V97" s="252"/>
      <c r="W97" s="252"/>
    </row>
    <row r="98" spans="2:23" x14ac:dyDescent="0.2">
      <c r="B98" s="128"/>
      <c r="C98" s="128"/>
      <c r="D98" s="128"/>
      <c r="E98" s="119"/>
      <c r="F98" s="119"/>
      <c r="G98" s="119"/>
      <c r="H98" s="119"/>
      <c r="I98" s="119"/>
      <c r="J98" s="119"/>
      <c r="K98" s="119"/>
      <c r="L98" s="119"/>
      <c r="M98" s="119"/>
      <c r="N98" s="119"/>
      <c r="O98" s="119"/>
      <c r="P98" s="119"/>
      <c r="Q98" s="119"/>
      <c r="R98" s="435"/>
      <c r="V98" s="128"/>
      <c r="W98" s="128"/>
    </row>
    <row r="99" spans="2:23" ht="15.75" thickBot="1" x14ac:dyDescent="0.25">
      <c r="E99" s="105"/>
      <c r="F99" s="105"/>
      <c r="G99" s="105"/>
      <c r="H99" s="105"/>
      <c r="I99" s="105"/>
      <c r="J99" s="105"/>
      <c r="K99" s="105"/>
      <c r="L99" s="105"/>
      <c r="M99" s="105"/>
      <c r="N99" s="105"/>
      <c r="O99" s="105"/>
      <c r="P99" s="105"/>
      <c r="Q99" s="105"/>
    </row>
    <row r="100" spans="2:23" ht="63.75" thickBot="1" x14ac:dyDescent="0.3">
      <c r="B100" s="574" t="s">
        <v>79</v>
      </c>
      <c r="C100" s="575"/>
      <c r="D100" s="576"/>
      <c r="E100" s="72" t="s">
        <v>83</v>
      </c>
      <c r="F100" s="572" t="s">
        <v>140</v>
      </c>
      <c r="G100" s="573"/>
      <c r="H100" s="573"/>
      <c r="I100" s="573"/>
      <c r="J100" s="573"/>
      <c r="K100" s="573"/>
      <c r="L100" s="573"/>
      <c r="M100" s="573"/>
      <c r="N100" s="573"/>
      <c r="O100" s="573"/>
      <c r="P100" s="573"/>
      <c r="Q100" s="577"/>
      <c r="R100" s="65" t="s">
        <v>85</v>
      </c>
    </row>
    <row r="101" spans="2:23" ht="15.75" x14ac:dyDescent="0.25">
      <c r="B101" s="135"/>
      <c r="C101" s="135"/>
      <c r="D101" s="135"/>
      <c r="E101" s="68"/>
      <c r="F101" s="137"/>
      <c r="G101" s="137"/>
      <c r="H101" s="137"/>
      <c r="I101" s="137"/>
      <c r="J101" s="137"/>
      <c r="K101" s="137"/>
      <c r="L101" s="137"/>
      <c r="M101" s="137"/>
      <c r="N101" s="137"/>
      <c r="O101" s="137"/>
      <c r="P101" s="137"/>
      <c r="Q101" s="137"/>
      <c r="R101" s="135"/>
      <c r="V101" s="135"/>
      <c r="W101" s="135"/>
    </row>
    <row r="102" spans="2:23" x14ac:dyDescent="0.2">
      <c r="B102" s="252"/>
      <c r="C102" s="252"/>
      <c r="D102" s="252"/>
      <c r="E102" s="137"/>
      <c r="F102" s="255"/>
      <c r="G102" s="255"/>
      <c r="H102" s="255"/>
      <c r="I102" s="255"/>
      <c r="J102" s="255"/>
      <c r="K102" s="255"/>
      <c r="L102" s="255"/>
      <c r="M102" s="255"/>
      <c r="N102" s="255"/>
      <c r="O102" s="255"/>
      <c r="P102" s="255"/>
      <c r="Q102" s="255"/>
      <c r="R102" s="252"/>
      <c r="V102" s="252"/>
      <c r="W102" s="252"/>
    </row>
    <row r="103" spans="2:23" x14ac:dyDescent="0.2">
      <c r="B103" s="435"/>
      <c r="C103" s="435"/>
      <c r="D103" s="435"/>
      <c r="E103" s="436"/>
      <c r="F103" s="436"/>
      <c r="G103" s="436"/>
      <c r="H103" s="436"/>
      <c r="I103" s="436"/>
      <c r="J103" s="436"/>
      <c r="K103" s="436"/>
      <c r="L103" s="436"/>
      <c r="M103" s="436"/>
      <c r="N103" s="436"/>
      <c r="O103" s="436"/>
      <c r="P103" s="436"/>
      <c r="Q103" s="436"/>
      <c r="R103" s="435"/>
      <c r="V103" s="435"/>
      <c r="W103" s="435"/>
    </row>
    <row r="104" spans="2:23" x14ac:dyDescent="0.2">
      <c r="B104" s="252"/>
      <c r="C104" s="252"/>
      <c r="D104" s="252"/>
      <c r="E104" s="255"/>
      <c r="F104" s="255"/>
      <c r="G104" s="255"/>
      <c r="H104" s="255"/>
      <c r="I104" s="255"/>
      <c r="J104" s="255"/>
      <c r="K104" s="255"/>
      <c r="L104" s="255"/>
      <c r="M104" s="255"/>
      <c r="N104" s="255"/>
      <c r="O104" s="255"/>
      <c r="P104" s="255"/>
      <c r="Q104" s="255"/>
      <c r="R104" s="252"/>
      <c r="V104" s="252"/>
      <c r="W104" s="252"/>
    </row>
    <row r="105" spans="2:23" x14ac:dyDescent="0.2">
      <c r="B105" s="252"/>
      <c r="C105" s="252"/>
      <c r="D105" s="252"/>
      <c r="E105" s="255"/>
      <c r="F105" s="255"/>
      <c r="G105" s="255"/>
      <c r="H105" s="255"/>
      <c r="I105" s="255"/>
      <c r="J105" s="255"/>
      <c r="K105" s="255"/>
      <c r="L105" s="255"/>
      <c r="M105" s="255"/>
      <c r="N105" s="255"/>
      <c r="O105" s="255"/>
      <c r="P105" s="255"/>
      <c r="Q105" s="255"/>
      <c r="R105" s="252"/>
      <c r="V105" s="252"/>
      <c r="W105" s="252"/>
    </row>
  </sheetData>
  <mergeCells count="3">
    <mergeCell ref="F92:Q92"/>
    <mergeCell ref="B100:D100"/>
    <mergeCell ref="F100:Q100"/>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126"/>
  <sheetViews>
    <sheetView topLeftCell="A17" zoomScale="90" zoomScaleNormal="90" workbookViewId="0">
      <selection activeCell="A29" sqref="A29"/>
    </sheetView>
  </sheetViews>
  <sheetFormatPr defaultColWidth="9.42578125" defaultRowHeight="15" x14ac:dyDescent="0.2"/>
  <cols>
    <col min="1" max="2" width="9.42578125" style="140"/>
    <col min="3" max="3" width="29" style="140" customWidth="1"/>
    <col min="4" max="4" width="9.42578125" style="140" customWidth="1"/>
    <col min="5" max="6" width="8.5703125" style="140" customWidth="1"/>
    <col min="7" max="7" width="7.42578125" style="140" customWidth="1"/>
    <col min="8" max="8" width="6.42578125" style="140" customWidth="1"/>
    <col min="9" max="10" width="7.42578125" style="140" customWidth="1"/>
    <col min="11" max="11" width="8.42578125" style="140" customWidth="1"/>
    <col min="12" max="12" width="6.5703125" style="140" customWidth="1"/>
    <col min="13" max="13" width="8.42578125" style="140" customWidth="1"/>
    <col min="14" max="18" width="8.5703125" style="140" customWidth="1"/>
    <col min="19" max="19" width="10.42578125" style="140" customWidth="1"/>
    <col min="20" max="20" width="8.5703125" style="140" customWidth="1"/>
    <col min="21" max="21" width="8.5703125" style="141" customWidth="1"/>
    <col min="22" max="22" width="9.42578125" style="140"/>
    <col min="23" max="23" width="15.5703125" style="140" customWidth="1"/>
    <col min="24" max="27" width="9.42578125" style="140"/>
    <col min="28" max="28" width="22.5703125" style="143" customWidth="1"/>
    <col min="29" max="29" width="10.42578125" style="140" customWidth="1"/>
    <col min="30" max="30" width="46.42578125" style="140" customWidth="1"/>
    <col min="31" max="32" width="19.42578125" style="140" customWidth="1"/>
    <col min="33" max="37" width="9.42578125" style="140"/>
    <col min="38" max="38" width="14.42578125" style="140" customWidth="1"/>
    <col min="39" max="39" width="8.5703125" style="140" customWidth="1"/>
    <col min="40" max="40" width="74.5703125" style="140" customWidth="1"/>
    <col min="41" max="45" width="9.42578125" style="140"/>
    <col min="46" max="53" width="24.42578125" style="140" customWidth="1"/>
    <col min="54" max="16384" width="9.42578125" style="140"/>
  </cols>
  <sheetData>
    <row r="1" spans="1:50" x14ac:dyDescent="0.2">
      <c r="A1" s="104"/>
      <c r="B1" s="104"/>
      <c r="C1" s="104"/>
      <c r="D1" s="104"/>
      <c r="E1" s="105"/>
      <c r="F1" s="105"/>
      <c r="G1" s="105"/>
      <c r="H1" s="105"/>
      <c r="I1" s="105"/>
      <c r="J1" s="105"/>
      <c r="K1" s="105"/>
      <c r="L1" s="105"/>
      <c r="M1" s="105"/>
      <c r="N1" s="105"/>
      <c r="O1" s="105"/>
      <c r="P1" s="105"/>
      <c r="Q1" s="105"/>
      <c r="R1" s="104"/>
      <c r="S1" s="104"/>
      <c r="T1" s="104"/>
      <c r="U1" s="105"/>
      <c r="V1" s="104"/>
      <c r="W1" s="104"/>
      <c r="X1" s="104"/>
      <c r="Y1" s="104"/>
      <c r="Z1" s="104"/>
      <c r="AA1" s="104"/>
      <c r="AB1" s="150"/>
      <c r="AC1" s="104"/>
      <c r="AD1" s="104"/>
      <c r="AE1" s="104"/>
      <c r="AF1" s="104"/>
      <c r="AG1" s="104"/>
      <c r="AH1" s="104"/>
      <c r="AI1" s="104"/>
      <c r="AJ1" s="104"/>
      <c r="AK1" s="104"/>
      <c r="AL1" s="104"/>
      <c r="AM1" s="104"/>
      <c r="AN1" s="104"/>
      <c r="AO1" s="104"/>
      <c r="AP1" s="104"/>
      <c r="AQ1" s="104"/>
      <c r="AR1" s="104"/>
      <c r="AS1" s="104"/>
      <c r="AT1" s="104"/>
      <c r="AU1" s="104"/>
      <c r="AV1" s="104"/>
      <c r="AW1" s="104"/>
      <c r="AX1" s="104"/>
    </row>
    <row r="2" spans="1:50" ht="15.75" x14ac:dyDescent="0.2">
      <c r="A2" s="104"/>
      <c r="B2" s="104"/>
      <c r="C2" s="104"/>
      <c r="D2" s="104"/>
      <c r="E2" s="91"/>
      <c r="F2" s="105"/>
      <c r="G2" s="105"/>
      <c r="H2" s="105"/>
      <c r="I2" s="105"/>
      <c r="J2" s="105"/>
      <c r="K2" s="105"/>
      <c r="L2" s="105"/>
      <c r="M2" s="105"/>
      <c r="N2" s="105"/>
      <c r="O2" s="105"/>
      <c r="P2" s="105"/>
      <c r="Q2" s="105"/>
      <c r="R2" s="104"/>
      <c r="S2" s="104"/>
      <c r="T2" s="104"/>
      <c r="U2" s="105"/>
      <c r="V2" s="104"/>
      <c r="W2" s="104"/>
      <c r="X2" s="104"/>
      <c r="Y2" s="104"/>
      <c r="Z2" s="104"/>
      <c r="AA2" s="104"/>
      <c r="AB2" s="150"/>
      <c r="AC2" s="104"/>
      <c r="AD2" s="104"/>
      <c r="AE2" s="104"/>
      <c r="AF2" s="104"/>
      <c r="AG2" s="104"/>
      <c r="AH2" s="104"/>
      <c r="AI2" s="104"/>
      <c r="AJ2" s="104"/>
      <c r="AK2" s="104"/>
      <c r="AL2" s="104"/>
      <c r="AM2" s="104"/>
      <c r="AN2" s="104"/>
      <c r="AO2" s="104"/>
      <c r="AP2" s="104"/>
      <c r="AQ2" s="104"/>
      <c r="AR2" s="104"/>
      <c r="AS2" s="104"/>
      <c r="AT2" s="104"/>
      <c r="AU2" s="104"/>
      <c r="AV2" s="104"/>
      <c r="AW2" s="104"/>
      <c r="AX2" s="104"/>
    </row>
    <row r="3" spans="1:50" ht="15.75" x14ac:dyDescent="0.2">
      <c r="A3" s="104"/>
      <c r="B3" s="104"/>
      <c r="C3" s="104"/>
      <c r="D3" s="104"/>
      <c r="E3" s="91"/>
      <c r="F3" s="105"/>
      <c r="G3" s="105"/>
      <c r="H3" s="105"/>
      <c r="I3" s="105"/>
      <c r="J3" s="105"/>
      <c r="K3" s="105"/>
      <c r="L3" s="105"/>
      <c r="M3" s="105"/>
      <c r="N3" s="105"/>
      <c r="O3" s="105"/>
      <c r="P3" s="105"/>
      <c r="Q3" s="105"/>
      <c r="R3" s="104"/>
      <c r="S3" s="104"/>
      <c r="T3" s="104"/>
      <c r="U3" s="105"/>
      <c r="V3" s="104"/>
      <c r="W3" s="104"/>
      <c r="X3" s="104"/>
      <c r="Y3" s="104"/>
      <c r="Z3" s="104"/>
      <c r="AA3" s="104"/>
      <c r="AB3" s="150"/>
      <c r="AC3" s="104"/>
      <c r="AD3" s="104"/>
      <c r="AE3" s="104"/>
      <c r="AF3" s="104"/>
      <c r="AG3" s="104"/>
      <c r="AH3" s="104"/>
      <c r="AI3" s="104"/>
      <c r="AJ3" s="104"/>
      <c r="AK3" s="104"/>
      <c r="AL3" s="104"/>
      <c r="AM3" s="104"/>
      <c r="AN3" s="104"/>
      <c r="AO3" s="104"/>
      <c r="AP3" s="104"/>
      <c r="AQ3" s="104"/>
      <c r="AR3" s="104"/>
      <c r="AS3" s="104"/>
      <c r="AT3" s="104"/>
      <c r="AU3" s="104"/>
      <c r="AV3" s="104"/>
      <c r="AW3" s="104"/>
      <c r="AX3" s="104"/>
    </row>
    <row r="4" spans="1:50" ht="15.75" x14ac:dyDescent="0.2">
      <c r="A4" s="104"/>
      <c r="B4" s="104"/>
      <c r="C4" s="104"/>
      <c r="D4" s="104"/>
      <c r="E4" s="91"/>
      <c r="F4" s="105"/>
      <c r="G4" s="105"/>
      <c r="H4" s="105"/>
      <c r="I4" s="105"/>
      <c r="J4" s="105"/>
      <c r="K4" s="105"/>
      <c r="L4" s="105"/>
      <c r="M4" s="105"/>
      <c r="N4" s="105"/>
      <c r="O4" s="105"/>
      <c r="P4" s="105"/>
      <c r="Q4" s="105"/>
      <c r="R4" s="104"/>
      <c r="S4" s="104"/>
      <c r="T4" s="104"/>
      <c r="U4" s="105"/>
      <c r="V4" s="104"/>
      <c r="W4" s="104"/>
      <c r="X4" s="104"/>
      <c r="Y4" s="104"/>
      <c r="Z4" s="104"/>
      <c r="AA4" s="104"/>
      <c r="AB4" s="150"/>
      <c r="AC4" s="104"/>
      <c r="AD4" s="104"/>
      <c r="AE4" s="104"/>
      <c r="AF4" s="104"/>
      <c r="AG4" s="104"/>
      <c r="AH4" s="104"/>
      <c r="AI4" s="104"/>
      <c r="AJ4" s="104"/>
      <c r="AK4" s="104"/>
      <c r="AL4" s="104"/>
      <c r="AM4" s="104"/>
      <c r="AN4" s="104"/>
      <c r="AO4" s="104"/>
      <c r="AP4" s="104"/>
      <c r="AQ4" s="104"/>
      <c r="AR4" s="104"/>
      <c r="AS4" s="104"/>
      <c r="AT4" s="104"/>
      <c r="AU4" s="104"/>
      <c r="AV4" s="104"/>
      <c r="AW4" s="104"/>
      <c r="AX4" s="104"/>
    </row>
    <row r="5" spans="1:50" x14ac:dyDescent="0.2">
      <c r="A5" s="104"/>
      <c r="B5" s="104"/>
      <c r="C5" s="104"/>
      <c r="D5" s="104"/>
      <c r="E5" s="105"/>
      <c r="F5" s="105"/>
      <c r="G5" s="105"/>
      <c r="H5" s="105"/>
      <c r="I5" s="105"/>
      <c r="J5" s="105"/>
      <c r="K5" s="105"/>
      <c r="L5" s="105"/>
      <c r="M5" s="105"/>
      <c r="N5" s="105"/>
      <c r="O5" s="105"/>
      <c r="P5" s="105"/>
      <c r="Q5" s="105"/>
      <c r="R5" s="104"/>
      <c r="S5" s="104"/>
      <c r="T5" s="104"/>
      <c r="U5" s="105"/>
      <c r="V5" s="104"/>
      <c r="W5" s="104"/>
      <c r="X5" s="104"/>
      <c r="Y5" s="104"/>
      <c r="Z5" s="104"/>
      <c r="AA5" s="104"/>
      <c r="AB5" s="150"/>
      <c r="AC5" s="104"/>
      <c r="AD5" s="104"/>
      <c r="AE5" s="104"/>
      <c r="AF5" s="104"/>
      <c r="AG5" s="104"/>
      <c r="AH5" s="104"/>
      <c r="AI5" s="104"/>
      <c r="AJ5" s="104"/>
      <c r="AK5" s="104"/>
      <c r="AL5" s="104"/>
      <c r="AM5" s="104"/>
      <c r="AN5" s="104"/>
      <c r="AO5" s="104"/>
      <c r="AP5" s="104"/>
      <c r="AQ5" s="104"/>
      <c r="AR5" s="104"/>
      <c r="AS5" s="104"/>
      <c r="AT5" s="104"/>
      <c r="AU5" s="104"/>
      <c r="AV5" s="104"/>
      <c r="AW5" s="104"/>
      <c r="AX5" s="104"/>
    </row>
    <row r="6" spans="1:50" ht="15.75" thickBot="1" x14ac:dyDescent="0.25">
      <c r="A6" s="104"/>
      <c r="B6" s="104"/>
      <c r="C6" s="104"/>
      <c r="D6" s="104"/>
      <c r="E6" s="105"/>
      <c r="F6" s="105"/>
      <c r="G6" s="105"/>
      <c r="H6" s="105"/>
      <c r="I6" s="105"/>
      <c r="J6" s="105"/>
      <c r="K6" s="105"/>
      <c r="L6" s="105"/>
      <c r="M6" s="105"/>
      <c r="N6" s="105"/>
      <c r="O6" s="105"/>
      <c r="P6" s="105"/>
      <c r="Q6" s="105"/>
      <c r="R6" s="104"/>
      <c r="S6" s="104"/>
      <c r="T6" s="104"/>
      <c r="U6" s="105"/>
      <c r="V6" s="104"/>
      <c r="W6" s="104"/>
      <c r="X6" s="104"/>
      <c r="Y6" s="104"/>
      <c r="Z6" s="104"/>
      <c r="AA6" s="104"/>
      <c r="AB6" s="150"/>
      <c r="AC6" s="104"/>
      <c r="AD6" s="104"/>
      <c r="AE6" s="104"/>
      <c r="AF6" s="104"/>
      <c r="AG6" s="104"/>
      <c r="AH6" s="104"/>
      <c r="AI6" s="104"/>
      <c r="AJ6" s="104"/>
      <c r="AK6" s="104"/>
      <c r="AL6" s="104"/>
      <c r="AM6" s="104"/>
      <c r="AN6" s="104"/>
      <c r="AO6" s="104"/>
      <c r="AP6" s="104"/>
      <c r="AQ6" s="104"/>
      <c r="AR6" s="104"/>
      <c r="AS6" s="104"/>
      <c r="AT6" s="104"/>
      <c r="AU6" s="104"/>
      <c r="AV6" s="104"/>
      <c r="AW6" s="104"/>
      <c r="AX6" s="104"/>
    </row>
    <row r="7" spans="1:50" ht="16.5" thickBot="1" x14ac:dyDescent="0.3">
      <c r="A7" s="106"/>
      <c r="B7" s="107" t="s">
        <v>0</v>
      </c>
      <c r="C7" s="108"/>
      <c r="D7" s="108"/>
      <c r="E7" s="170"/>
      <c r="F7" s="170"/>
      <c r="G7" s="170"/>
      <c r="H7" s="170"/>
      <c r="I7" s="170"/>
      <c r="J7" s="170"/>
      <c r="K7" s="170"/>
      <c r="L7" s="170"/>
      <c r="M7" s="170"/>
      <c r="N7" s="170"/>
      <c r="O7" s="170"/>
      <c r="P7" s="170"/>
      <c r="Q7" s="170"/>
      <c r="R7" s="108"/>
      <c r="S7" s="108"/>
      <c r="T7" s="108"/>
      <c r="U7" s="151"/>
      <c r="V7" s="107" t="s">
        <v>0</v>
      </c>
      <c r="W7" s="108"/>
      <c r="X7" s="104"/>
      <c r="Y7" s="104"/>
      <c r="Z7" s="104"/>
      <c r="AA7" s="104"/>
      <c r="AB7" s="150"/>
      <c r="AC7" s="104"/>
      <c r="AD7" s="104"/>
      <c r="AE7" s="104"/>
      <c r="AF7" s="104"/>
      <c r="AG7" s="104"/>
      <c r="AH7" s="104"/>
      <c r="AI7" s="104"/>
      <c r="AJ7" s="104"/>
      <c r="AK7" s="104"/>
      <c r="AL7" s="104"/>
      <c r="AM7" s="104"/>
      <c r="AN7" s="104"/>
      <c r="AO7" s="104"/>
      <c r="AP7" s="104"/>
      <c r="AQ7" s="104"/>
      <c r="AR7" s="104"/>
      <c r="AS7" s="104"/>
      <c r="AT7" s="104"/>
      <c r="AU7" s="104"/>
      <c r="AV7" s="104"/>
      <c r="AW7" s="104"/>
      <c r="AX7" s="104"/>
    </row>
    <row r="8" spans="1:50" ht="63.75" thickBot="1" x14ac:dyDescent="0.3">
      <c r="A8" s="248" t="s">
        <v>60</v>
      </c>
      <c r="B8" s="83" t="s">
        <v>3</v>
      </c>
      <c r="C8" s="55" t="s">
        <v>2</v>
      </c>
      <c r="D8" s="56" t="s">
        <v>125</v>
      </c>
      <c r="E8" s="57" t="s">
        <v>141</v>
      </c>
      <c r="F8" s="103" t="s">
        <v>4</v>
      </c>
      <c r="G8" s="58" t="s">
        <v>5</v>
      </c>
      <c r="H8" s="58" t="s">
        <v>6</v>
      </c>
      <c r="I8" s="58" t="s">
        <v>7</v>
      </c>
      <c r="J8" s="58" t="s">
        <v>8</v>
      </c>
      <c r="K8" s="58" t="s">
        <v>9</v>
      </c>
      <c r="L8" s="58" t="s">
        <v>10</v>
      </c>
      <c r="M8" s="58" t="s">
        <v>11</v>
      </c>
      <c r="N8" s="58" t="s">
        <v>12</v>
      </c>
      <c r="O8" s="58" t="s">
        <v>13</v>
      </c>
      <c r="P8" s="58" t="s">
        <v>14</v>
      </c>
      <c r="Q8" s="58" t="s">
        <v>15</v>
      </c>
      <c r="R8" s="59" t="s">
        <v>16</v>
      </c>
      <c r="S8" s="60" t="s">
        <v>125</v>
      </c>
      <c r="T8" s="57" t="s">
        <v>19</v>
      </c>
      <c r="U8" s="61" t="s">
        <v>41</v>
      </c>
      <c r="V8" s="83" t="s">
        <v>3</v>
      </c>
      <c r="W8" s="55" t="s">
        <v>2</v>
      </c>
      <c r="X8" s="104"/>
      <c r="Y8" s="104"/>
      <c r="Z8" s="104"/>
      <c r="AA8" s="104"/>
      <c r="AB8" s="152" t="s">
        <v>142</v>
      </c>
      <c r="AC8" s="148"/>
      <c r="AD8" s="148" t="s">
        <v>143</v>
      </c>
      <c r="AE8" s="148"/>
      <c r="AF8" s="104"/>
      <c r="AG8" s="104"/>
      <c r="AH8" s="104"/>
      <c r="AI8" s="104"/>
      <c r="AJ8" s="104"/>
      <c r="AK8" s="104"/>
      <c r="AL8" s="142" t="s">
        <v>144</v>
      </c>
      <c r="AM8" s="142"/>
      <c r="AN8" s="147" t="s">
        <v>145</v>
      </c>
      <c r="AO8" s="142"/>
      <c r="AP8" s="104"/>
      <c r="AQ8" s="104"/>
      <c r="AR8" s="104"/>
      <c r="AS8" s="104"/>
      <c r="AT8" s="104"/>
      <c r="AU8" s="104"/>
      <c r="AV8" s="104"/>
      <c r="AW8" s="104"/>
      <c r="AX8" s="104"/>
    </row>
    <row r="9" spans="1:50" ht="15.75" x14ac:dyDescent="0.25">
      <c r="A9" s="249"/>
      <c r="B9" s="110"/>
      <c r="C9" s="435"/>
      <c r="D9" s="435"/>
      <c r="E9" s="436"/>
      <c r="F9" s="436">
        <v>1</v>
      </c>
      <c r="G9" s="436"/>
      <c r="H9" s="436"/>
      <c r="I9" s="436"/>
      <c r="J9" s="436"/>
      <c r="K9" s="436"/>
      <c r="L9" s="436"/>
      <c r="M9" s="436"/>
      <c r="N9" s="436"/>
      <c r="O9" s="436"/>
      <c r="P9" s="436"/>
      <c r="Q9" s="436"/>
      <c r="R9" s="435"/>
      <c r="S9" s="437"/>
      <c r="T9" s="438"/>
      <c r="U9" s="153"/>
      <c r="V9" s="110"/>
      <c r="W9" s="435"/>
      <c r="X9" s="104"/>
      <c r="Y9" s="104"/>
      <c r="Z9" s="104"/>
      <c r="AA9" s="104"/>
      <c r="AB9" s="144" t="s">
        <v>146</v>
      </c>
      <c r="AC9" s="145" t="s">
        <v>147</v>
      </c>
      <c r="AD9" s="145" t="s">
        <v>148</v>
      </c>
      <c r="AE9" s="145" t="s">
        <v>149</v>
      </c>
      <c r="AF9" s="104"/>
      <c r="AG9" s="104"/>
      <c r="AH9" s="104"/>
      <c r="AI9" s="104"/>
      <c r="AJ9" s="104"/>
      <c r="AK9" s="104"/>
      <c r="AL9" s="142"/>
      <c r="AM9" s="142"/>
      <c r="AN9" s="147"/>
      <c r="AO9" s="142"/>
      <c r="AP9" s="104"/>
      <c r="AQ9" s="104"/>
      <c r="AR9" s="104"/>
      <c r="AS9" s="104"/>
      <c r="AT9" s="104"/>
      <c r="AU9" s="104"/>
      <c r="AV9" s="104"/>
      <c r="AW9" s="104"/>
      <c r="AX9" s="104"/>
    </row>
    <row r="10" spans="1:50" ht="15.75" x14ac:dyDescent="0.25">
      <c r="A10" s="252">
        <v>22384</v>
      </c>
      <c r="B10" s="112">
        <v>2013</v>
      </c>
      <c r="C10" s="252" t="s">
        <v>26</v>
      </c>
      <c r="D10" s="272"/>
      <c r="E10" s="255">
        <v>204</v>
      </c>
      <c r="F10" s="443">
        <v>17</v>
      </c>
      <c r="G10" s="255">
        <v>23</v>
      </c>
      <c r="H10" s="255">
        <v>0</v>
      </c>
      <c r="I10" s="255">
        <v>14</v>
      </c>
      <c r="J10" s="255">
        <v>21</v>
      </c>
      <c r="K10" s="255">
        <v>21</v>
      </c>
      <c r="L10" s="255">
        <v>62</v>
      </c>
      <c r="M10" s="255">
        <v>18</v>
      </c>
      <c r="N10" s="255"/>
      <c r="O10" s="459"/>
      <c r="P10" s="459"/>
      <c r="Q10" s="459"/>
      <c r="R10" s="439">
        <f t="shared" ref="R10:R55" si="0">SUM(F10:Q10)</f>
        <v>176</v>
      </c>
      <c r="S10" s="440">
        <f>IFERROR((AVERAGE(F10:Q10)),0)</f>
        <v>22</v>
      </c>
      <c r="T10" s="441">
        <f>IFERROR((U10/S10),0)</f>
        <v>1.2727272727272727</v>
      </c>
      <c r="U10" s="154">
        <f>SUM(E10-R10)</f>
        <v>28</v>
      </c>
      <c r="V10" s="112">
        <v>2013</v>
      </c>
      <c r="W10" s="252" t="s">
        <v>26</v>
      </c>
      <c r="X10" s="104"/>
      <c r="Y10" s="104"/>
      <c r="Z10" s="104"/>
      <c r="AA10" s="104"/>
      <c r="AB10" s="144"/>
      <c r="AC10" s="145"/>
      <c r="AD10" s="145"/>
      <c r="AE10" s="145"/>
      <c r="AF10" s="104"/>
      <c r="AG10" s="104"/>
      <c r="AH10" s="104"/>
      <c r="AI10" s="104"/>
      <c r="AJ10" s="104"/>
      <c r="AK10" s="104"/>
      <c r="AL10" s="142"/>
      <c r="AM10" s="142"/>
      <c r="AN10" s="147"/>
      <c r="AO10" s="142"/>
      <c r="AP10" s="104"/>
      <c r="AQ10" s="104"/>
      <c r="AR10" s="104"/>
      <c r="AS10" s="104"/>
      <c r="AT10" s="104"/>
      <c r="AU10" s="104"/>
      <c r="AV10" s="104"/>
      <c r="AW10" s="104"/>
      <c r="AX10" s="104"/>
    </row>
    <row r="11" spans="1:50" x14ac:dyDescent="0.2">
      <c r="A11" s="252">
        <v>28361</v>
      </c>
      <c r="B11" s="112">
        <v>2013</v>
      </c>
      <c r="C11" s="252" t="s">
        <v>24</v>
      </c>
      <c r="D11" s="272"/>
      <c r="E11" s="255">
        <v>87</v>
      </c>
      <c r="F11" s="443">
        <v>18</v>
      </c>
      <c r="G11" s="443">
        <v>12</v>
      </c>
      <c r="H11" s="443">
        <v>31</v>
      </c>
      <c r="I11" s="443">
        <v>23</v>
      </c>
      <c r="J11" s="443">
        <v>3</v>
      </c>
      <c r="K11" s="260" t="s">
        <v>35</v>
      </c>
      <c r="L11" s="260"/>
      <c r="M11" s="260"/>
      <c r="N11" s="260"/>
      <c r="O11" s="260"/>
      <c r="P11" s="260"/>
      <c r="Q11" s="260"/>
      <c r="R11" s="439">
        <f t="shared" si="0"/>
        <v>87</v>
      </c>
      <c r="S11" s="440">
        <f>IFERROR((AVERAGE(F11:Q11)),0)</f>
        <v>17.399999999999999</v>
      </c>
      <c r="T11" s="441">
        <f>IFERROR((U11/S11),0)</f>
        <v>0</v>
      </c>
      <c r="U11" s="154">
        <f>SUM(E11-R11)</f>
        <v>0</v>
      </c>
      <c r="V11" s="112">
        <v>2013</v>
      </c>
      <c r="W11" s="252" t="s">
        <v>24</v>
      </c>
      <c r="X11" s="104"/>
      <c r="Y11" s="104"/>
      <c r="Z11" s="104"/>
      <c r="AA11" s="104"/>
      <c r="AB11" s="144">
        <v>42772</v>
      </c>
      <c r="AC11" s="145">
        <v>2016</v>
      </c>
      <c r="AD11" s="145" t="s">
        <v>150</v>
      </c>
      <c r="AE11" s="145">
        <v>394</v>
      </c>
      <c r="AF11" s="104"/>
      <c r="AG11" s="104"/>
      <c r="AH11" s="104"/>
      <c r="AI11" s="104"/>
      <c r="AJ11" s="104"/>
      <c r="AK11" s="104"/>
      <c r="AL11" s="142"/>
      <c r="AM11" s="142"/>
      <c r="AN11" s="142"/>
      <c r="AO11" s="142"/>
      <c r="AP11" s="104"/>
      <c r="AQ11" s="104"/>
      <c r="AR11" s="104"/>
      <c r="AS11" s="104"/>
      <c r="AT11" s="155"/>
      <c r="AU11" s="105"/>
      <c r="AV11" s="105"/>
      <c r="AW11" s="105"/>
      <c r="AX11" s="104"/>
    </row>
    <row r="12" spans="1:50" x14ac:dyDescent="0.2">
      <c r="A12" s="249"/>
      <c r="B12" s="110"/>
      <c r="C12" s="435"/>
      <c r="D12" s="437"/>
      <c r="E12" s="436"/>
      <c r="F12" s="436"/>
      <c r="G12" s="436"/>
      <c r="H12" s="436"/>
      <c r="I12" s="436"/>
      <c r="J12" s="436"/>
      <c r="K12" s="436"/>
      <c r="L12" s="436"/>
      <c r="M12" s="436"/>
      <c r="N12" s="436"/>
      <c r="O12" s="436"/>
      <c r="P12" s="436"/>
      <c r="Q12" s="436"/>
      <c r="R12" s="435"/>
      <c r="S12" s="437"/>
      <c r="T12" s="438"/>
      <c r="U12" s="156"/>
      <c r="V12" s="110"/>
      <c r="W12" s="435"/>
      <c r="X12" s="104"/>
      <c r="Y12" s="104"/>
      <c r="Z12" s="104"/>
      <c r="AA12" s="104"/>
      <c r="AB12" s="144">
        <v>42772</v>
      </c>
      <c r="AC12" s="145">
        <v>2016</v>
      </c>
      <c r="AD12" s="145" t="s">
        <v>151</v>
      </c>
      <c r="AE12" s="145">
        <v>442</v>
      </c>
      <c r="AF12" s="104"/>
      <c r="AG12" s="104"/>
      <c r="AH12" s="104"/>
      <c r="AI12" s="104"/>
      <c r="AJ12" s="104"/>
      <c r="AK12" s="104"/>
      <c r="AL12" s="157">
        <v>42750</v>
      </c>
      <c r="AM12" s="142"/>
      <c r="AN12" s="142" t="s">
        <v>152</v>
      </c>
      <c r="AO12" s="142"/>
      <c r="AP12" s="104"/>
      <c r="AQ12" s="104"/>
      <c r="AR12" s="104"/>
      <c r="AS12" s="104"/>
      <c r="AT12" s="155"/>
      <c r="AU12" s="105"/>
      <c r="AV12" s="105"/>
      <c r="AW12" s="105"/>
      <c r="AX12" s="104"/>
    </row>
    <row r="13" spans="1:50" x14ac:dyDescent="0.2">
      <c r="A13" s="252">
        <v>57632</v>
      </c>
      <c r="B13" s="492">
        <v>2014</v>
      </c>
      <c r="C13" s="252" t="s">
        <v>31</v>
      </c>
      <c r="D13" s="272"/>
      <c r="E13" s="255">
        <v>54</v>
      </c>
      <c r="F13" s="443">
        <v>0</v>
      </c>
      <c r="G13" s="443">
        <v>31</v>
      </c>
      <c r="H13" s="443">
        <v>23</v>
      </c>
      <c r="I13" s="260" t="s">
        <v>35</v>
      </c>
      <c r="J13" s="260" t="s">
        <v>35</v>
      </c>
      <c r="K13" s="260" t="s">
        <v>35</v>
      </c>
      <c r="L13" s="260"/>
      <c r="M13" s="260"/>
      <c r="N13" s="260"/>
      <c r="O13" s="260"/>
      <c r="P13" s="260"/>
      <c r="Q13" s="260"/>
      <c r="R13" s="439">
        <f t="shared" si="0"/>
        <v>54</v>
      </c>
      <c r="S13" s="440">
        <f t="shared" ref="S13:S22" si="1">IFERROR((AVERAGE(F13:Q13)),0)</f>
        <v>18</v>
      </c>
      <c r="T13" s="441">
        <f t="shared" ref="T13:T22" si="2">IFERROR((U13/S13),0)</f>
        <v>0</v>
      </c>
      <c r="U13" s="154">
        <f t="shared" ref="U13:U20" si="3">SUM(E13-R13)</f>
        <v>0</v>
      </c>
      <c r="V13" s="492">
        <v>2014</v>
      </c>
      <c r="W13" s="252" t="s">
        <v>31</v>
      </c>
      <c r="X13" s="104"/>
      <c r="Y13" s="104"/>
      <c r="Z13" s="104"/>
      <c r="AA13" s="104"/>
      <c r="AB13" s="144">
        <v>42772</v>
      </c>
      <c r="AC13" s="145">
        <v>2016</v>
      </c>
      <c r="AD13" s="145" t="s">
        <v>153</v>
      </c>
      <c r="AE13" s="145">
        <v>2227</v>
      </c>
      <c r="AF13" s="104"/>
      <c r="AG13" s="104"/>
      <c r="AH13" s="104"/>
      <c r="AI13" s="104"/>
      <c r="AJ13" s="104"/>
      <c r="AK13" s="104"/>
      <c r="AL13" s="157">
        <v>42769</v>
      </c>
      <c r="AM13" s="142"/>
      <c r="AN13" s="142" t="s">
        <v>154</v>
      </c>
      <c r="AO13" s="142"/>
      <c r="AP13" s="104"/>
      <c r="AQ13" s="104"/>
      <c r="AR13" s="104"/>
      <c r="AS13" s="104"/>
      <c r="AT13" s="155"/>
      <c r="AU13" s="105"/>
      <c r="AV13" s="105"/>
      <c r="AW13" s="105"/>
      <c r="AX13" s="104"/>
    </row>
    <row r="14" spans="1:50" x14ac:dyDescent="0.2">
      <c r="A14" s="252">
        <v>57630</v>
      </c>
      <c r="B14" s="492">
        <v>2014</v>
      </c>
      <c r="C14" s="252" t="s">
        <v>25</v>
      </c>
      <c r="D14" s="272"/>
      <c r="E14" s="255">
        <v>257</v>
      </c>
      <c r="F14" s="443">
        <v>7</v>
      </c>
      <c r="G14" s="443">
        <v>100</v>
      </c>
      <c r="H14" s="443">
        <v>29</v>
      </c>
      <c r="I14" s="443">
        <v>39</v>
      </c>
      <c r="J14" s="443">
        <v>37</v>
      </c>
      <c r="K14" s="443">
        <v>41</v>
      </c>
      <c r="L14" s="443">
        <v>4</v>
      </c>
      <c r="M14" s="260"/>
      <c r="N14" s="260"/>
      <c r="O14" s="260"/>
      <c r="P14" s="260"/>
      <c r="Q14" s="260"/>
      <c r="R14" s="439">
        <f t="shared" si="0"/>
        <v>257</v>
      </c>
      <c r="S14" s="440">
        <f t="shared" si="1"/>
        <v>36.714285714285715</v>
      </c>
      <c r="T14" s="441">
        <f t="shared" si="2"/>
        <v>0</v>
      </c>
      <c r="U14" s="154">
        <f t="shared" si="3"/>
        <v>0</v>
      </c>
      <c r="V14" s="492">
        <v>2014</v>
      </c>
      <c r="W14" s="252" t="s">
        <v>25</v>
      </c>
      <c r="X14" s="104"/>
      <c r="Y14" s="104"/>
      <c r="Z14" s="104"/>
      <c r="AA14" s="104"/>
      <c r="AB14" s="144">
        <v>42772</v>
      </c>
      <c r="AC14" s="145">
        <v>2016</v>
      </c>
      <c r="AD14" s="145" t="s">
        <v>155</v>
      </c>
      <c r="AE14" s="145">
        <v>33</v>
      </c>
      <c r="AF14" s="104"/>
      <c r="AG14" s="104"/>
      <c r="AH14" s="104"/>
      <c r="AI14" s="104"/>
      <c r="AJ14" s="104"/>
      <c r="AK14" s="104"/>
      <c r="AL14" s="157"/>
      <c r="AM14" s="142"/>
      <c r="AN14" s="142"/>
      <c r="AO14" s="142"/>
      <c r="AP14" s="104"/>
      <c r="AQ14" s="104"/>
      <c r="AR14" s="104"/>
      <c r="AS14" s="104"/>
      <c r="AT14" s="155"/>
      <c r="AU14" s="105"/>
      <c r="AV14" s="105"/>
      <c r="AW14" s="105"/>
      <c r="AX14" s="104"/>
    </row>
    <row r="15" spans="1:50" x14ac:dyDescent="0.2">
      <c r="A15" s="252">
        <v>22382</v>
      </c>
      <c r="B15" s="492">
        <v>2014</v>
      </c>
      <c r="C15" s="252" t="s">
        <v>23</v>
      </c>
      <c r="D15" s="272"/>
      <c r="E15" s="255">
        <v>75</v>
      </c>
      <c r="F15" s="443">
        <v>42</v>
      </c>
      <c r="G15" s="443">
        <v>33</v>
      </c>
      <c r="H15" s="260" t="s">
        <v>35</v>
      </c>
      <c r="I15" s="260" t="s">
        <v>35</v>
      </c>
      <c r="J15" s="260" t="s">
        <v>35</v>
      </c>
      <c r="K15" s="260" t="s">
        <v>35</v>
      </c>
      <c r="L15" s="260"/>
      <c r="M15" s="260"/>
      <c r="N15" s="260"/>
      <c r="O15" s="260"/>
      <c r="P15" s="260"/>
      <c r="Q15" s="260"/>
      <c r="R15" s="439">
        <f t="shared" si="0"/>
        <v>75</v>
      </c>
      <c r="S15" s="440">
        <f t="shared" si="1"/>
        <v>37.5</v>
      </c>
      <c r="T15" s="441">
        <f t="shared" si="2"/>
        <v>0</v>
      </c>
      <c r="U15" s="154">
        <f t="shared" si="3"/>
        <v>0</v>
      </c>
      <c r="V15" s="492">
        <v>2014</v>
      </c>
      <c r="W15" s="252" t="s">
        <v>23</v>
      </c>
      <c r="X15" s="104"/>
      <c r="Y15" s="104"/>
      <c r="Z15" s="104"/>
      <c r="AA15" s="104"/>
      <c r="AB15" s="144">
        <v>42800</v>
      </c>
      <c r="AC15" s="145">
        <v>2016</v>
      </c>
      <c r="AD15" s="145" t="s">
        <v>156</v>
      </c>
      <c r="AE15" s="145">
        <v>518</v>
      </c>
      <c r="AF15" s="104" t="s">
        <v>157</v>
      </c>
      <c r="AG15" s="104"/>
      <c r="AH15" s="104"/>
      <c r="AI15" s="104"/>
      <c r="AJ15" s="104"/>
      <c r="AK15" s="104"/>
      <c r="AL15" s="157">
        <v>42782</v>
      </c>
      <c r="AM15" s="142"/>
      <c r="AN15" s="142" t="s">
        <v>158</v>
      </c>
      <c r="AO15" s="142"/>
      <c r="AP15" s="104"/>
      <c r="AQ15" s="104"/>
      <c r="AR15" s="104"/>
      <c r="AS15" s="104"/>
      <c r="AT15" s="155"/>
      <c r="AU15" s="105"/>
      <c r="AV15" s="105"/>
      <c r="AW15" s="105"/>
      <c r="AX15" s="104"/>
    </row>
    <row r="16" spans="1:50" x14ac:dyDescent="0.2">
      <c r="A16" s="252">
        <v>84802</v>
      </c>
      <c r="B16" s="492">
        <v>2014</v>
      </c>
      <c r="C16" s="252" t="s">
        <v>93</v>
      </c>
      <c r="D16" s="272"/>
      <c r="E16" s="255">
        <v>205</v>
      </c>
      <c r="F16" s="443">
        <v>0</v>
      </c>
      <c r="G16" s="443">
        <v>5</v>
      </c>
      <c r="H16" s="443">
        <v>17</v>
      </c>
      <c r="I16" s="443">
        <v>7</v>
      </c>
      <c r="J16" s="443">
        <v>0</v>
      </c>
      <c r="K16" s="443">
        <v>4</v>
      </c>
      <c r="L16" s="443">
        <v>8</v>
      </c>
      <c r="M16" s="443">
        <v>8</v>
      </c>
      <c r="N16" s="443">
        <v>12</v>
      </c>
      <c r="O16" s="443">
        <v>16</v>
      </c>
      <c r="P16" s="443">
        <v>22</v>
      </c>
      <c r="Q16" s="443">
        <v>51</v>
      </c>
      <c r="R16" s="439">
        <f t="shared" si="0"/>
        <v>150</v>
      </c>
      <c r="S16" s="440">
        <f t="shared" si="1"/>
        <v>12.5</v>
      </c>
      <c r="T16" s="441">
        <f t="shared" si="2"/>
        <v>4.4000000000000004</v>
      </c>
      <c r="U16" s="154">
        <f t="shared" si="3"/>
        <v>55</v>
      </c>
      <c r="V16" s="492">
        <v>2014</v>
      </c>
      <c r="W16" s="252" t="s">
        <v>93</v>
      </c>
      <c r="X16" s="104"/>
      <c r="Y16" s="104"/>
      <c r="Z16" s="104"/>
      <c r="AA16" s="104"/>
      <c r="AB16" s="144">
        <v>42800</v>
      </c>
      <c r="AC16" s="145">
        <v>2016</v>
      </c>
      <c r="AD16" s="145" t="s">
        <v>159</v>
      </c>
      <c r="AE16" s="145">
        <v>50</v>
      </c>
      <c r="AF16" s="104" t="s">
        <v>157</v>
      </c>
      <c r="AG16" s="104"/>
      <c r="AH16" s="104"/>
      <c r="AI16" s="104"/>
      <c r="AJ16" s="104"/>
      <c r="AK16" s="104"/>
      <c r="AL16" s="157">
        <v>42769</v>
      </c>
      <c r="AM16" s="142"/>
      <c r="AN16" s="142" t="s">
        <v>160</v>
      </c>
      <c r="AO16" s="142"/>
      <c r="AP16" s="104"/>
      <c r="AQ16" s="104"/>
      <c r="AR16" s="104"/>
      <c r="AS16" s="104"/>
      <c r="AT16" s="155"/>
      <c r="AU16" s="105"/>
      <c r="AV16" s="105"/>
      <c r="AW16" s="105"/>
      <c r="AX16" s="104"/>
    </row>
    <row r="17" spans="1:50" x14ac:dyDescent="0.2">
      <c r="A17" s="252">
        <v>22384</v>
      </c>
      <c r="B17" s="492">
        <v>2014</v>
      </c>
      <c r="C17" s="252" t="s">
        <v>26</v>
      </c>
      <c r="D17" s="272"/>
      <c r="E17" s="255">
        <v>196</v>
      </c>
      <c r="F17" s="443">
        <v>0</v>
      </c>
      <c r="G17" s="443">
        <v>0</v>
      </c>
      <c r="H17" s="443">
        <v>20</v>
      </c>
      <c r="I17" s="443">
        <v>0</v>
      </c>
      <c r="J17" s="443">
        <v>0</v>
      </c>
      <c r="K17" s="443">
        <v>0</v>
      </c>
      <c r="L17" s="443">
        <v>9</v>
      </c>
      <c r="M17" s="443">
        <v>0</v>
      </c>
      <c r="N17" s="443">
        <v>0</v>
      </c>
      <c r="O17" s="443">
        <v>20</v>
      </c>
      <c r="P17" s="443">
        <v>14</v>
      </c>
      <c r="Q17" s="443">
        <v>14</v>
      </c>
      <c r="R17" s="439">
        <f t="shared" si="0"/>
        <v>77</v>
      </c>
      <c r="S17" s="440">
        <f t="shared" si="1"/>
        <v>6.416666666666667</v>
      </c>
      <c r="T17" s="441">
        <f t="shared" si="2"/>
        <v>18.545454545454543</v>
      </c>
      <c r="U17" s="154">
        <f t="shared" si="3"/>
        <v>119</v>
      </c>
      <c r="V17" s="492">
        <v>2014</v>
      </c>
      <c r="W17" s="252" t="s">
        <v>26</v>
      </c>
      <c r="X17" s="104"/>
      <c r="Y17" s="104"/>
      <c r="Z17" s="104"/>
      <c r="AA17" s="104"/>
      <c r="AB17" s="144">
        <v>42800</v>
      </c>
      <c r="AC17" s="145">
        <v>2016</v>
      </c>
      <c r="AD17" s="145" t="s">
        <v>161</v>
      </c>
      <c r="AE17" s="145">
        <v>253</v>
      </c>
      <c r="AF17" s="104" t="s">
        <v>157</v>
      </c>
      <c r="AG17" s="104"/>
      <c r="AH17" s="104"/>
      <c r="AI17" s="104"/>
      <c r="AJ17" s="104"/>
      <c r="AK17" s="104"/>
      <c r="AL17" s="158">
        <v>42851</v>
      </c>
      <c r="AM17" s="142"/>
      <c r="AN17" s="142" t="s">
        <v>162</v>
      </c>
      <c r="AO17" s="142"/>
      <c r="AP17" s="104"/>
      <c r="AQ17" s="104"/>
      <c r="AR17" s="104"/>
      <c r="AS17" s="104"/>
      <c r="AT17" s="155"/>
      <c r="AU17" s="105"/>
      <c r="AV17" s="105"/>
      <c r="AW17" s="105"/>
      <c r="AX17" s="104"/>
    </row>
    <row r="18" spans="1:50" x14ac:dyDescent="0.2">
      <c r="A18" s="252">
        <v>27736</v>
      </c>
      <c r="B18" s="492">
        <v>2014</v>
      </c>
      <c r="C18" s="252" t="s">
        <v>70</v>
      </c>
      <c r="D18" s="272"/>
      <c r="E18" s="255">
        <v>179</v>
      </c>
      <c r="F18" s="443">
        <v>31</v>
      </c>
      <c r="G18" s="443">
        <v>25</v>
      </c>
      <c r="H18" s="443">
        <v>42</v>
      </c>
      <c r="I18" s="443">
        <v>74</v>
      </c>
      <c r="J18" s="443">
        <v>7</v>
      </c>
      <c r="K18" s="260" t="s">
        <v>35</v>
      </c>
      <c r="L18" s="260"/>
      <c r="M18" s="260"/>
      <c r="N18" s="260"/>
      <c r="O18" s="260"/>
      <c r="P18" s="260"/>
      <c r="Q18" s="260"/>
      <c r="R18" s="439">
        <f t="shared" si="0"/>
        <v>179</v>
      </c>
      <c r="S18" s="440">
        <f t="shared" si="1"/>
        <v>35.799999999999997</v>
      </c>
      <c r="T18" s="441">
        <f t="shared" si="2"/>
        <v>0</v>
      </c>
      <c r="U18" s="154">
        <f t="shared" si="3"/>
        <v>0</v>
      </c>
      <c r="V18" s="492">
        <v>2014</v>
      </c>
      <c r="W18" s="252" t="s">
        <v>70</v>
      </c>
      <c r="X18" s="104"/>
      <c r="Y18" s="104"/>
      <c r="Z18" s="104"/>
      <c r="AA18" s="104"/>
      <c r="AB18" s="144">
        <v>42800</v>
      </c>
      <c r="AC18" s="145">
        <v>2016</v>
      </c>
      <c r="AD18" s="145" t="s">
        <v>163</v>
      </c>
      <c r="AE18" s="145">
        <v>456</v>
      </c>
      <c r="AF18" s="104"/>
      <c r="AG18" s="104"/>
      <c r="AH18" s="104"/>
      <c r="AI18" s="104"/>
      <c r="AJ18" s="104"/>
      <c r="AK18" s="104"/>
      <c r="AL18" s="150">
        <v>42872</v>
      </c>
      <c r="AM18" s="104"/>
      <c r="AN18" s="104" t="s">
        <v>164</v>
      </c>
      <c r="AO18" s="142"/>
      <c r="AP18" s="104"/>
      <c r="AQ18" s="104"/>
      <c r="AR18" s="104"/>
      <c r="AS18" s="104"/>
      <c r="AT18" s="155"/>
      <c r="AU18" s="105"/>
      <c r="AV18" s="105"/>
      <c r="AW18" s="105"/>
      <c r="AX18" s="104"/>
    </row>
    <row r="19" spans="1:50" x14ac:dyDescent="0.2">
      <c r="A19" s="252">
        <v>28361</v>
      </c>
      <c r="B19" s="492">
        <v>2014</v>
      </c>
      <c r="C19" s="252" t="s">
        <v>24</v>
      </c>
      <c r="D19" s="272"/>
      <c r="E19" s="255">
        <v>101</v>
      </c>
      <c r="F19" s="443">
        <v>3</v>
      </c>
      <c r="G19" s="443">
        <v>0</v>
      </c>
      <c r="H19" s="443">
        <v>2</v>
      </c>
      <c r="I19" s="443">
        <v>0</v>
      </c>
      <c r="J19" s="443">
        <v>42</v>
      </c>
      <c r="K19" s="443">
        <v>20</v>
      </c>
      <c r="L19" s="443">
        <v>0</v>
      </c>
      <c r="M19" s="443">
        <v>34</v>
      </c>
      <c r="N19" s="260"/>
      <c r="O19" s="260"/>
      <c r="P19" s="260"/>
      <c r="Q19" s="260"/>
      <c r="R19" s="439">
        <f t="shared" si="0"/>
        <v>101</v>
      </c>
      <c r="S19" s="440">
        <f t="shared" si="1"/>
        <v>12.625</v>
      </c>
      <c r="T19" s="441">
        <f t="shared" si="2"/>
        <v>0</v>
      </c>
      <c r="U19" s="154">
        <f t="shared" si="3"/>
        <v>0</v>
      </c>
      <c r="V19" s="492">
        <v>2014</v>
      </c>
      <c r="W19" s="252" t="s">
        <v>24</v>
      </c>
      <c r="X19" s="104"/>
      <c r="Y19" s="104"/>
      <c r="Z19" s="104"/>
      <c r="AA19" s="104"/>
      <c r="AB19" s="144" t="s">
        <v>165</v>
      </c>
      <c r="AC19" s="145">
        <v>2016</v>
      </c>
      <c r="AD19" s="145" t="s">
        <v>166</v>
      </c>
      <c r="AE19" s="145">
        <v>147</v>
      </c>
      <c r="AF19" s="104" t="s">
        <v>167</v>
      </c>
      <c r="AG19" s="104"/>
      <c r="AH19" s="104"/>
      <c r="AI19" s="104" t="s">
        <v>168</v>
      </c>
      <c r="AJ19" s="104"/>
      <c r="AK19" s="104"/>
      <c r="AL19" s="158">
        <v>42895</v>
      </c>
      <c r="AM19" s="142"/>
      <c r="AN19" s="142" t="s">
        <v>169</v>
      </c>
      <c r="AO19" s="142"/>
      <c r="AP19" s="104"/>
      <c r="AQ19" s="104"/>
      <c r="AR19" s="104"/>
      <c r="AS19" s="104"/>
      <c r="AT19" s="155"/>
      <c r="AU19" s="105"/>
      <c r="AV19" s="105"/>
      <c r="AW19" s="105"/>
      <c r="AX19" s="104"/>
    </row>
    <row r="20" spans="1:50" x14ac:dyDescent="0.2">
      <c r="A20" s="252">
        <v>22921</v>
      </c>
      <c r="B20" s="492">
        <v>2014</v>
      </c>
      <c r="C20" s="252" t="s">
        <v>22</v>
      </c>
      <c r="D20" s="272"/>
      <c r="E20" s="255">
        <v>513</v>
      </c>
      <c r="F20" s="443">
        <v>52</v>
      </c>
      <c r="G20" s="443">
        <v>96</v>
      </c>
      <c r="H20" s="443">
        <v>52</v>
      </c>
      <c r="I20" s="443">
        <v>50</v>
      </c>
      <c r="J20" s="443">
        <v>69</v>
      </c>
      <c r="K20" s="443">
        <v>50</v>
      </c>
      <c r="L20" s="443">
        <v>62</v>
      </c>
      <c r="M20" s="443">
        <v>51</v>
      </c>
      <c r="N20" s="443">
        <v>31</v>
      </c>
      <c r="O20" s="260"/>
      <c r="P20" s="260"/>
      <c r="Q20" s="260"/>
      <c r="R20" s="439">
        <f t="shared" si="0"/>
        <v>513</v>
      </c>
      <c r="S20" s="440">
        <f t="shared" si="1"/>
        <v>57</v>
      </c>
      <c r="T20" s="441">
        <f t="shared" si="2"/>
        <v>0</v>
      </c>
      <c r="U20" s="154">
        <f t="shared" si="3"/>
        <v>0</v>
      </c>
      <c r="V20" s="492">
        <v>2014</v>
      </c>
      <c r="W20" s="252" t="s">
        <v>22</v>
      </c>
      <c r="X20" s="104"/>
      <c r="Y20" s="104"/>
      <c r="Z20" s="104"/>
      <c r="AA20" s="104"/>
      <c r="AB20" s="144">
        <v>42863</v>
      </c>
      <c r="AC20" s="145">
        <v>2016</v>
      </c>
      <c r="AD20" s="145" t="s">
        <v>170</v>
      </c>
      <c r="AE20" s="145">
        <v>521</v>
      </c>
      <c r="AF20" s="104" t="s">
        <v>171</v>
      </c>
      <c r="AG20" s="104"/>
      <c r="AH20" s="104"/>
      <c r="AI20" s="104"/>
      <c r="AJ20" s="104"/>
      <c r="AK20" s="104"/>
      <c r="AL20" s="158">
        <v>42557</v>
      </c>
      <c r="AM20" s="142"/>
      <c r="AN20" s="142" t="s">
        <v>172</v>
      </c>
      <c r="AO20" s="142"/>
      <c r="AP20" s="104"/>
      <c r="AQ20" s="104"/>
      <c r="AR20" s="104"/>
      <c r="AS20" s="104"/>
      <c r="AT20" s="155"/>
      <c r="AU20" s="105"/>
      <c r="AV20" s="105"/>
      <c r="AW20" s="105"/>
      <c r="AX20" s="104"/>
    </row>
    <row r="21" spans="1:50" x14ac:dyDescent="0.2">
      <c r="A21" s="361">
        <v>34641</v>
      </c>
      <c r="B21" s="492">
        <v>2014</v>
      </c>
      <c r="C21" s="361" t="s">
        <v>66</v>
      </c>
      <c r="D21" s="444"/>
      <c r="E21" s="445">
        <v>357</v>
      </c>
      <c r="F21" s="446">
        <v>39</v>
      </c>
      <c r="G21" s="446">
        <v>11</v>
      </c>
      <c r="H21" s="446">
        <v>42</v>
      </c>
      <c r="I21" s="446">
        <v>41</v>
      </c>
      <c r="J21" s="446">
        <v>3</v>
      </c>
      <c r="K21" s="446">
        <v>55</v>
      </c>
      <c r="L21" s="446">
        <v>35</v>
      </c>
      <c r="M21" s="446">
        <v>32</v>
      </c>
      <c r="N21" s="446">
        <v>35</v>
      </c>
      <c r="O21" s="446">
        <v>25</v>
      </c>
      <c r="P21" s="446">
        <v>39</v>
      </c>
      <c r="Q21" s="460"/>
      <c r="R21" s="439">
        <f t="shared" si="0"/>
        <v>357</v>
      </c>
      <c r="S21" s="440">
        <f t="shared" si="1"/>
        <v>32.454545454545453</v>
      </c>
      <c r="T21" s="441">
        <f t="shared" si="2"/>
        <v>0</v>
      </c>
      <c r="U21" s="461">
        <f>SUM(E21-R21)</f>
        <v>0</v>
      </c>
      <c r="V21" s="492">
        <v>2014</v>
      </c>
      <c r="W21" s="361" t="s">
        <v>66</v>
      </c>
      <c r="X21" s="104"/>
      <c r="Y21" s="104"/>
      <c r="Z21" s="104"/>
      <c r="AA21" s="104"/>
      <c r="AB21" s="144">
        <v>42863</v>
      </c>
      <c r="AC21" s="145">
        <v>2016</v>
      </c>
      <c r="AD21" s="145" t="s">
        <v>173</v>
      </c>
      <c r="AE21" s="145">
        <v>450</v>
      </c>
      <c r="AF21" s="104"/>
      <c r="AG21" s="104"/>
      <c r="AH21" s="104"/>
      <c r="AI21" s="104"/>
      <c r="AJ21" s="104"/>
      <c r="AK21" s="104"/>
      <c r="AL21" s="158">
        <v>42989</v>
      </c>
      <c r="AM21" s="142"/>
      <c r="AN21" s="142" t="s">
        <v>174</v>
      </c>
      <c r="AO21" s="142"/>
      <c r="AP21" s="104"/>
      <c r="AQ21" s="104"/>
      <c r="AR21" s="104"/>
      <c r="AS21" s="104"/>
      <c r="AT21" s="155"/>
      <c r="AU21" s="105"/>
      <c r="AV21" s="105"/>
      <c r="AW21" s="105"/>
      <c r="AX21" s="104"/>
    </row>
    <row r="22" spans="1:50" x14ac:dyDescent="0.2">
      <c r="A22" s="252">
        <v>18004</v>
      </c>
      <c r="B22" s="253">
        <v>2014</v>
      </c>
      <c r="C22" s="252" t="s">
        <v>126</v>
      </c>
      <c r="D22" s="272"/>
      <c r="E22" s="255">
        <v>82</v>
      </c>
      <c r="F22" s="443">
        <v>14</v>
      </c>
      <c r="G22" s="443">
        <v>4</v>
      </c>
      <c r="H22" s="443">
        <v>20</v>
      </c>
      <c r="I22" s="443">
        <v>12</v>
      </c>
      <c r="J22" s="443">
        <v>8</v>
      </c>
      <c r="K22" s="443">
        <v>0</v>
      </c>
      <c r="L22" s="443">
        <v>15</v>
      </c>
      <c r="M22" s="443">
        <v>9</v>
      </c>
      <c r="N22" s="260"/>
      <c r="O22" s="260"/>
      <c r="P22" s="260"/>
      <c r="Q22" s="260"/>
      <c r="R22" s="439">
        <f t="shared" si="0"/>
        <v>82</v>
      </c>
      <c r="S22" s="440">
        <f t="shared" si="1"/>
        <v>10.25</v>
      </c>
      <c r="T22" s="441">
        <f t="shared" si="2"/>
        <v>0</v>
      </c>
      <c r="U22" s="461">
        <f>SUM(E22-R22)</f>
        <v>0</v>
      </c>
      <c r="V22" s="253">
        <v>2014</v>
      </c>
      <c r="W22" s="252" t="s">
        <v>126</v>
      </c>
      <c r="X22" s="104"/>
      <c r="Y22" s="104"/>
      <c r="Z22" s="104"/>
      <c r="AA22" s="104"/>
      <c r="AB22" s="144">
        <v>42863</v>
      </c>
      <c r="AC22" s="145">
        <v>2016</v>
      </c>
      <c r="AD22" s="145" t="s">
        <v>175</v>
      </c>
      <c r="AE22" s="145">
        <v>670</v>
      </c>
      <c r="AF22" s="104"/>
      <c r="AG22" s="104"/>
      <c r="AH22" s="104"/>
      <c r="AI22" s="104"/>
      <c r="AJ22" s="104"/>
      <c r="AK22" s="104"/>
      <c r="AL22" s="158">
        <v>42989</v>
      </c>
      <c r="AM22" s="142"/>
      <c r="AN22" s="142" t="s">
        <v>176</v>
      </c>
      <c r="AO22" s="142"/>
      <c r="AP22" s="104"/>
      <c r="AQ22" s="104"/>
      <c r="AR22" s="104"/>
      <c r="AS22" s="104"/>
      <c r="AT22" s="155"/>
      <c r="AU22" s="105"/>
      <c r="AV22" s="105"/>
      <c r="AW22" s="105"/>
      <c r="AX22" s="104"/>
    </row>
    <row r="23" spans="1:50" x14ac:dyDescent="0.2">
      <c r="A23" s="252">
        <v>28381</v>
      </c>
      <c r="B23" s="253">
        <v>2014</v>
      </c>
      <c r="C23" s="252" t="s">
        <v>100</v>
      </c>
      <c r="D23" s="273"/>
      <c r="E23" s="255">
        <v>138</v>
      </c>
      <c r="F23" s="443">
        <v>0</v>
      </c>
      <c r="G23" s="443">
        <v>9</v>
      </c>
      <c r="H23" s="443">
        <v>1</v>
      </c>
      <c r="I23" s="443">
        <v>7</v>
      </c>
      <c r="J23" s="443">
        <v>9</v>
      </c>
      <c r="K23" s="443">
        <v>9</v>
      </c>
      <c r="L23" s="443">
        <v>0</v>
      </c>
      <c r="M23" s="443">
        <v>30</v>
      </c>
      <c r="N23" s="443">
        <v>5</v>
      </c>
      <c r="O23" s="443">
        <v>6</v>
      </c>
      <c r="P23" s="443">
        <v>13</v>
      </c>
      <c r="Q23" s="443">
        <v>16</v>
      </c>
      <c r="R23" s="439">
        <f t="shared" si="0"/>
        <v>105</v>
      </c>
      <c r="S23" s="440">
        <f>IFERROR((AVERAGE(F23:Q23)),0)</f>
        <v>8.75</v>
      </c>
      <c r="T23" s="441">
        <f>IFERROR((U23/S23),0)</f>
        <v>3.7714285714285714</v>
      </c>
      <c r="U23" s="461">
        <f>SUM(E23-R23)</f>
        <v>33</v>
      </c>
      <c r="V23" s="253">
        <v>2014</v>
      </c>
      <c r="W23" s="252" t="s">
        <v>100</v>
      </c>
      <c r="X23" s="104"/>
      <c r="Y23" s="104"/>
      <c r="Z23" s="104"/>
      <c r="AA23" s="104"/>
      <c r="AB23" s="144">
        <v>42870</v>
      </c>
      <c r="AC23" s="145">
        <v>2016</v>
      </c>
      <c r="AD23" s="145" t="s">
        <v>177</v>
      </c>
      <c r="AE23" s="145">
        <v>90</v>
      </c>
      <c r="AF23" s="104" t="s">
        <v>178</v>
      </c>
      <c r="AG23" s="104" t="s">
        <v>179</v>
      </c>
      <c r="AH23" s="104"/>
      <c r="AI23" s="104"/>
      <c r="AJ23" s="104"/>
      <c r="AK23" s="104"/>
      <c r="AL23" s="158">
        <v>42989</v>
      </c>
      <c r="AM23" s="142"/>
      <c r="AN23" s="142" t="s">
        <v>180</v>
      </c>
      <c r="AO23" s="142"/>
      <c r="AP23" s="104"/>
      <c r="AQ23" s="104"/>
      <c r="AR23" s="104"/>
      <c r="AS23" s="104"/>
      <c r="AT23" s="155"/>
      <c r="AU23" s="105"/>
      <c r="AV23" s="105"/>
      <c r="AW23" s="105"/>
      <c r="AX23" s="104"/>
    </row>
    <row r="24" spans="1:50" x14ac:dyDescent="0.2">
      <c r="A24" s="249"/>
      <c r="B24" s="249"/>
      <c r="C24" s="249"/>
      <c r="D24" s="249"/>
      <c r="E24" s="251"/>
      <c r="F24" s="249"/>
      <c r="G24" s="249"/>
      <c r="H24" s="249"/>
      <c r="I24" s="249"/>
      <c r="J24" s="249"/>
      <c r="K24" s="249"/>
      <c r="L24" s="249"/>
      <c r="M24" s="249"/>
      <c r="N24" s="249"/>
      <c r="O24" s="251"/>
      <c r="P24" s="251"/>
      <c r="Q24" s="251"/>
      <c r="R24" s="369"/>
      <c r="S24" s="448"/>
      <c r="T24" s="449"/>
      <c r="U24" s="462"/>
      <c r="V24" s="249"/>
      <c r="W24" s="249"/>
      <c r="X24" s="104"/>
      <c r="Y24" s="104"/>
      <c r="Z24" s="104"/>
      <c r="AA24" s="104"/>
      <c r="AB24" s="144">
        <v>42874</v>
      </c>
      <c r="AC24" s="145">
        <v>2016</v>
      </c>
      <c r="AD24" s="145" t="s">
        <v>181</v>
      </c>
      <c r="AE24" s="145">
        <v>249</v>
      </c>
      <c r="AF24" s="104" t="s">
        <v>182</v>
      </c>
      <c r="AG24" s="104"/>
      <c r="AH24" s="104"/>
      <c r="AI24" s="104"/>
      <c r="AJ24" s="104"/>
      <c r="AK24" s="104"/>
      <c r="AL24" s="158">
        <v>42989</v>
      </c>
      <c r="AM24" s="142"/>
      <c r="AN24" s="142" t="s">
        <v>183</v>
      </c>
      <c r="AO24" s="142"/>
      <c r="AP24" s="104"/>
      <c r="AQ24" s="104"/>
      <c r="AR24" s="104"/>
      <c r="AS24" s="104"/>
      <c r="AT24" s="155"/>
      <c r="AU24" s="105"/>
      <c r="AV24" s="105"/>
      <c r="AW24" s="105"/>
      <c r="AX24" s="104"/>
    </row>
    <row r="25" spans="1:50" x14ac:dyDescent="0.2">
      <c r="A25" s="252">
        <v>57632</v>
      </c>
      <c r="B25" s="253">
        <v>2015</v>
      </c>
      <c r="C25" s="252" t="s">
        <v>31</v>
      </c>
      <c r="D25" s="273"/>
      <c r="E25" s="255">
        <v>342</v>
      </c>
      <c r="F25" s="443">
        <v>19</v>
      </c>
      <c r="G25" s="443">
        <v>0</v>
      </c>
      <c r="H25" s="443">
        <v>11</v>
      </c>
      <c r="I25" s="443">
        <v>57</v>
      </c>
      <c r="J25" s="443">
        <v>59</v>
      </c>
      <c r="K25" s="443">
        <v>53</v>
      </c>
      <c r="L25" s="443">
        <v>55</v>
      </c>
      <c r="M25" s="443">
        <v>33</v>
      </c>
      <c r="N25" s="443">
        <v>49</v>
      </c>
      <c r="O25" s="260"/>
      <c r="P25" s="260"/>
      <c r="Q25" s="260"/>
      <c r="R25" s="439">
        <f t="shared" si="0"/>
        <v>336</v>
      </c>
      <c r="S25" s="440">
        <f>IFERROR((AVERAGE(F25:Q25)),0)</f>
        <v>37.333333333333336</v>
      </c>
      <c r="T25" s="441">
        <f>IFERROR((U25/S25),0)</f>
        <v>0.1607142857142857</v>
      </c>
      <c r="U25" s="461">
        <f t="shared" ref="U25:U36" si="4">SUM(E25-R25)</f>
        <v>6</v>
      </c>
      <c r="V25" s="253">
        <v>2015</v>
      </c>
      <c r="W25" s="252" t="s">
        <v>31</v>
      </c>
      <c r="X25" s="104"/>
      <c r="Y25" s="104"/>
      <c r="Z25" s="104"/>
      <c r="AA25" s="104"/>
      <c r="AB25" s="144">
        <v>42877</v>
      </c>
      <c r="AC25" s="145">
        <v>2016</v>
      </c>
      <c r="AD25" s="145" t="s">
        <v>184</v>
      </c>
      <c r="AE25" s="145">
        <v>288</v>
      </c>
      <c r="AF25" s="104"/>
      <c r="AG25" s="104"/>
      <c r="AH25" s="104"/>
      <c r="AI25" s="104"/>
      <c r="AJ25" s="104"/>
      <c r="AK25" s="104"/>
      <c r="AL25" s="158">
        <v>42989</v>
      </c>
      <c r="AM25" s="142"/>
      <c r="AN25" s="142" t="s">
        <v>185</v>
      </c>
      <c r="AO25" s="142"/>
      <c r="AP25" s="104"/>
      <c r="AQ25" s="104"/>
      <c r="AR25" s="104"/>
      <c r="AS25" s="104"/>
      <c r="AT25" s="155"/>
      <c r="AU25" s="105"/>
      <c r="AV25" s="105"/>
      <c r="AW25" s="105"/>
      <c r="AX25" s="104"/>
    </row>
    <row r="26" spans="1:50" x14ac:dyDescent="0.2">
      <c r="A26" s="252">
        <v>57630</v>
      </c>
      <c r="B26" s="253">
        <v>2015</v>
      </c>
      <c r="C26" s="252" t="s">
        <v>25</v>
      </c>
      <c r="D26" s="273"/>
      <c r="E26" s="255">
        <v>462</v>
      </c>
      <c r="F26" s="443">
        <v>20</v>
      </c>
      <c r="G26" s="443">
        <v>0</v>
      </c>
      <c r="H26" s="443">
        <v>32</v>
      </c>
      <c r="I26" s="443">
        <v>18</v>
      </c>
      <c r="J26" s="443">
        <v>15</v>
      </c>
      <c r="K26" s="443">
        <v>1</v>
      </c>
      <c r="L26" s="443">
        <v>48</v>
      </c>
      <c r="M26" s="443">
        <v>39</v>
      </c>
      <c r="N26" s="443">
        <v>40</v>
      </c>
      <c r="O26" s="443">
        <v>35</v>
      </c>
      <c r="P26" s="443">
        <v>40</v>
      </c>
      <c r="Q26" s="443">
        <v>36</v>
      </c>
      <c r="R26" s="439">
        <f t="shared" si="0"/>
        <v>324</v>
      </c>
      <c r="S26" s="440">
        <f t="shared" ref="S26:S42" si="5">IFERROR((AVERAGE(F26:Q26)),0)</f>
        <v>27</v>
      </c>
      <c r="T26" s="441">
        <f t="shared" ref="T26:T42" si="6">IFERROR((U26/S26),0)</f>
        <v>5.1111111111111107</v>
      </c>
      <c r="U26" s="461">
        <f t="shared" si="4"/>
        <v>138</v>
      </c>
      <c r="V26" s="253">
        <v>2015</v>
      </c>
      <c r="W26" s="252" t="s">
        <v>25</v>
      </c>
      <c r="X26" s="104"/>
      <c r="Y26" s="104"/>
      <c r="Z26" s="104"/>
      <c r="AA26" s="104"/>
      <c r="AB26" s="144">
        <v>42900</v>
      </c>
      <c r="AC26" s="145">
        <v>2016</v>
      </c>
      <c r="AD26" s="145" t="s">
        <v>186</v>
      </c>
      <c r="AE26" s="145">
        <v>30</v>
      </c>
      <c r="AF26" s="104"/>
      <c r="AG26" s="104"/>
      <c r="AH26" s="104"/>
      <c r="AI26" s="104"/>
      <c r="AJ26" s="104"/>
      <c r="AK26" s="104"/>
      <c r="AL26" s="158">
        <v>42989</v>
      </c>
      <c r="AM26" s="142"/>
      <c r="AN26" s="142" t="s">
        <v>187</v>
      </c>
      <c r="AO26" s="142"/>
      <c r="AP26" s="104"/>
      <c r="AQ26" s="104"/>
      <c r="AR26" s="104"/>
      <c r="AS26" s="104"/>
      <c r="AT26" s="159"/>
      <c r="AU26" s="105"/>
      <c r="AV26" s="105"/>
      <c r="AW26" s="105"/>
      <c r="AX26" s="104"/>
    </row>
    <row r="27" spans="1:50" x14ac:dyDescent="0.2">
      <c r="A27" s="252">
        <v>22382</v>
      </c>
      <c r="B27" s="253">
        <v>2015</v>
      </c>
      <c r="C27" s="252" t="s">
        <v>23</v>
      </c>
      <c r="D27" s="273"/>
      <c r="E27" s="255">
        <v>373</v>
      </c>
      <c r="F27" s="443">
        <v>0</v>
      </c>
      <c r="G27" s="443">
        <v>7</v>
      </c>
      <c r="H27" s="443">
        <v>31</v>
      </c>
      <c r="I27" s="443">
        <v>23</v>
      </c>
      <c r="J27" s="443">
        <v>67</v>
      </c>
      <c r="K27" s="443">
        <v>36</v>
      </c>
      <c r="L27" s="443">
        <v>36</v>
      </c>
      <c r="M27" s="443">
        <v>30</v>
      </c>
      <c r="N27" s="443">
        <v>0</v>
      </c>
      <c r="O27" s="443">
        <v>18</v>
      </c>
      <c r="P27" s="443">
        <v>20</v>
      </c>
      <c r="Q27" s="443">
        <v>35</v>
      </c>
      <c r="R27" s="439">
        <f t="shared" si="0"/>
        <v>303</v>
      </c>
      <c r="S27" s="440">
        <f t="shared" si="5"/>
        <v>25.25</v>
      </c>
      <c r="T27" s="441">
        <f t="shared" si="6"/>
        <v>2.7722772277227721</v>
      </c>
      <c r="U27" s="461">
        <f t="shared" si="4"/>
        <v>70</v>
      </c>
      <c r="V27" s="253">
        <v>2015</v>
      </c>
      <c r="W27" s="252" t="s">
        <v>23</v>
      </c>
      <c r="X27" s="104"/>
      <c r="Y27" s="104"/>
      <c r="Z27" s="104"/>
      <c r="AA27" s="104"/>
      <c r="AB27" s="144">
        <v>42900</v>
      </c>
      <c r="AC27" s="145">
        <v>2016</v>
      </c>
      <c r="AD27" s="145" t="s">
        <v>188</v>
      </c>
      <c r="AE27" s="145">
        <v>30</v>
      </c>
      <c r="AF27" s="104"/>
      <c r="AG27" s="104"/>
      <c r="AH27" s="104"/>
      <c r="AI27" s="104"/>
      <c r="AJ27" s="104"/>
      <c r="AK27" s="104"/>
      <c r="AL27" s="158">
        <v>42989</v>
      </c>
      <c r="AM27" s="142"/>
      <c r="AN27" s="142" t="s">
        <v>189</v>
      </c>
      <c r="AO27" s="142"/>
      <c r="AP27" s="104"/>
      <c r="AQ27" s="104"/>
      <c r="AR27" s="104"/>
      <c r="AS27" s="104"/>
      <c r="AT27" s="155"/>
      <c r="AU27" s="105"/>
      <c r="AV27" s="105"/>
      <c r="AW27" s="105"/>
      <c r="AX27" s="104"/>
    </row>
    <row r="28" spans="1:50" x14ac:dyDescent="0.2">
      <c r="A28" s="252">
        <v>84802</v>
      </c>
      <c r="B28" s="253">
        <v>2015</v>
      </c>
      <c r="C28" s="252" t="s">
        <v>93</v>
      </c>
      <c r="D28" s="273"/>
      <c r="E28" s="255">
        <v>224</v>
      </c>
      <c r="F28" s="443">
        <v>6</v>
      </c>
      <c r="G28" s="443">
        <v>0</v>
      </c>
      <c r="H28" s="443">
        <v>0</v>
      </c>
      <c r="I28" s="443">
        <v>0</v>
      </c>
      <c r="J28" s="443">
        <v>0</v>
      </c>
      <c r="K28" s="443">
        <v>2</v>
      </c>
      <c r="L28" s="443">
        <v>5</v>
      </c>
      <c r="M28" s="443">
        <v>0</v>
      </c>
      <c r="N28" s="443">
        <v>0</v>
      </c>
      <c r="O28" s="443">
        <v>1</v>
      </c>
      <c r="P28" s="443">
        <v>0</v>
      </c>
      <c r="Q28" s="443">
        <v>0</v>
      </c>
      <c r="R28" s="439">
        <f t="shared" si="0"/>
        <v>14</v>
      </c>
      <c r="S28" s="440">
        <f t="shared" si="5"/>
        <v>1.1666666666666667</v>
      </c>
      <c r="T28" s="441">
        <f t="shared" si="6"/>
        <v>180</v>
      </c>
      <c r="U28" s="461">
        <f t="shared" si="4"/>
        <v>210</v>
      </c>
      <c r="V28" s="253">
        <v>2015</v>
      </c>
      <c r="W28" s="252" t="s">
        <v>93</v>
      </c>
      <c r="X28" s="104"/>
      <c r="Y28" s="104"/>
      <c r="Z28" s="104"/>
      <c r="AA28" s="104"/>
      <c r="AB28" s="144">
        <v>42900</v>
      </c>
      <c r="AC28" s="145">
        <v>2016</v>
      </c>
      <c r="AD28" s="145" t="s">
        <v>190</v>
      </c>
      <c r="AE28" s="145">
        <v>659</v>
      </c>
      <c r="AF28" s="104"/>
      <c r="AG28" s="104"/>
      <c r="AH28" s="104"/>
      <c r="AI28" s="104"/>
      <c r="AJ28" s="104"/>
      <c r="AK28" s="104"/>
      <c r="AL28" s="158">
        <v>42989</v>
      </c>
      <c r="AM28" s="142"/>
      <c r="AN28" s="142" t="s">
        <v>191</v>
      </c>
      <c r="AO28" s="142"/>
      <c r="AP28" s="104"/>
      <c r="AQ28" s="104"/>
      <c r="AR28" s="104"/>
      <c r="AS28" s="104"/>
      <c r="AT28" s="155"/>
      <c r="AU28" s="105"/>
      <c r="AV28" s="105"/>
      <c r="AW28" s="105"/>
      <c r="AX28" s="104"/>
    </row>
    <row r="29" spans="1:50" x14ac:dyDescent="0.2">
      <c r="A29" s="252">
        <v>22384</v>
      </c>
      <c r="B29" s="253">
        <v>2015</v>
      </c>
      <c r="C29" s="252" t="s">
        <v>26</v>
      </c>
      <c r="D29" s="273"/>
      <c r="E29" s="255">
        <v>0</v>
      </c>
      <c r="F29" s="287" t="s">
        <v>35</v>
      </c>
      <c r="G29" s="287" t="s">
        <v>35</v>
      </c>
      <c r="H29" s="287" t="s">
        <v>35</v>
      </c>
      <c r="I29" s="287" t="s">
        <v>35</v>
      </c>
      <c r="J29" s="287" t="s">
        <v>35</v>
      </c>
      <c r="K29" s="287" t="s">
        <v>35</v>
      </c>
      <c r="L29" s="287"/>
      <c r="M29" s="287"/>
      <c r="N29" s="287"/>
      <c r="O29" s="287"/>
      <c r="P29" s="287"/>
      <c r="Q29" s="287"/>
      <c r="R29" s="439">
        <f t="shared" si="0"/>
        <v>0</v>
      </c>
      <c r="S29" s="440">
        <f t="shared" si="5"/>
        <v>0</v>
      </c>
      <c r="T29" s="441">
        <f t="shared" si="6"/>
        <v>0</v>
      </c>
      <c r="U29" s="461">
        <f t="shared" si="4"/>
        <v>0</v>
      </c>
      <c r="V29" s="253">
        <v>2015</v>
      </c>
      <c r="W29" s="252" t="s">
        <v>26</v>
      </c>
      <c r="X29" s="104"/>
      <c r="Y29" s="104"/>
      <c r="Z29" s="104"/>
      <c r="AA29" s="104"/>
      <c r="AB29" s="144">
        <v>42900</v>
      </c>
      <c r="AC29" s="145">
        <v>2016</v>
      </c>
      <c r="AD29" s="145" t="s">
        <v>192</v>
      </c>
      <c r="AE29" s="145">
        <v>594</v>
      </c>
      <c r="AF29" s="104"/>
      <c r="AG29" s="104"/>
      <c r="AH29" s="104"/>
      <c r="AI29" s="104"/>
      <c r="AJ29" s="104"/>
      <c r="AK29" s="104"/>
      <c r="AL29" s="158">
        <v>43125</v>
      </c>
      <c r="AM29" s="142"/>
      <c r="AN29" s="142" t="s">
        <v>193</v>
      </c>
      <c r="AO29" s="142"/>
      <c r="AP29" s="104"/>
      <c r="AQ29" s="104"/>
      <c r="AR29" s="104"/>
      <c r="AS29" s="104"/>
      <c r="AT29" s="155"/>
      <c r="AU29" s="105"/>
      <c r="AV29" s="105"/>
      <c r="AW29" s="105"/>
      <c r="AX29" s="104"/>
    </row>
    <row r="30" spans="1:50" x14ac:dyDescent="0.2">
      <c r="A30" s="252">
        <v>27736</v>
      </c>
      <c r="B30" s="253">
        <v>2015</v>
      </c>
      <c r="C30" s="252" t="s">
        <v>70</v>
      </c>
      <c r="D30" s="273"/>
      <c r="E30" s="255">
        <v>309</v>
      </c>
      <c r="F30" s="443">
        <v>0</v>
      </c>
      <c r="G30" s="443">
        <v>0</v>
      </c>
      <c r="H30" s="443">
        <v>15</v>
      </c>
      <c r="I30" s="443">
        <v>2</v>
      </c>
      <c r="J30" s="443">
        <v>41</v>
      </c>
      <c r="K30" s="443">
        <v>24</v>
      </c>
      <c r="L30" s="443">
        <v>26</v>
      </c>
      <c r="M30" s="443">
        <v>26</v>
      </c>
      <c r="N30" s="443">
        <v>39</v>
      </c>
      <c r="O30" s="443">
        <v>29</v>
      </c>
      <c r="P30" s="443">
        <v>39</v>
      </c>
      <c r="Q30" s="443">
        <v>41</v>
      </c>
      <c r="R30" s="439">
        <f t="shared" si="0"/>
        <v>282</v>
      </c>
      <c r="S30" s="440">
        <f t="shared" si="5"/>
        <v>23.5</v>
      </c>
      <c r="T30" s="441">
        <f t="shared" si="6"/>
        <v>1.1489361702127661</v>
      </c>
      <c r="U30" s="461">
        <f t="shared" si="4"/>
        <v>27</v>
      </c>
      <c r="V30" s="253">
        <v>2015</v>
      </c>
      <c r="W30" s="252" t="s">
        <v>70</v>
      </c>
      <c r="X30" s="104"/>
      <c r="Y30" s="104"/>
      <c r="Z30" s="104"/>
      <c r="AA30" s="104"/>
      <c r="AB30" s="144">
        <v>42927</v>
      </c>
      <c r="AC30" s="145">
        <v>2016</v>
      </c>
      <c r="AD30" s="145" t="s">
        <v>194</v>
      </c>
      <c r="AE30" s="145">
        <v>663</v>
      </c>
      <c r="AF30" s="104" t="s">
        <v>157</v>
      </c>
      <c r="AG30" s="104"/>
      <c r="AH30" s="104"/>
      <c r="AI30" s="104"/>
      <c r="AJ30" s="104"/>
      <c r="AK30" s="104"/>
      <c r="AL30" s="142"/>
      <c r="AM30" s="142"/>
      <c r="AN30" s="142"/>
      <c r="AO30" s="142"/>
      <c r="AP30" s="104"/>
      <c r="AQ30" s="104"/>
      <c r="AR30" s="104"/>
      <c r="AS30" s="104"/>
      <c r="AT30" s="155"/>
      <c r="AU30" s="105"/>
      <c r="AV30" s="105"/>
      <c r="AW30" s="105"/>
      <c r="AX30" s="104"/>
    </row>
    <row r="31" spans="1:50" x14ac:dyDescent="0.2">
      <c r="A31" s="252">
        <v>28361</v>
      </c>
      <c r="B31" s="253">
        <v>2015</v>
      </c>
      <c r="C31" s="252" t="s">
        <v>24</v>
      </c>
      <c r="D31" s="273"/>
      <c r="E31" s="255">
        <v>115</v>
      </c>
      <c r="F31" s="443">
        <v>0</v>
      </c>
      <c r="G31" s="443">
        <v>0</v>
      </c>
      <c r="H31" s="443">
        <v>3</v>
      </c>
      <c r="I31" s="443">
        <v>0</v>
      </c>
      <c r="J31" s="443">
        <v>0</v>
      </c>
      <c r="K31" s="443">
        <v>0</v>
      </c>
      <c r="L31" s="443">
        <v>43</v>
      </c>
      <c r="M31" s="443">
        <v>11</v>
      </c>
      <c r="N31" s="443">
        <v>25</v>
      </c>
      <c r="O31" s="443">
        <v>18</v>
      </c>
      <c r="P31" s="443">
        <v>15</v>
      </c>
      <c r="Q31" s="260"/>
      <c r="R31" s="439">
        <f t="shared" si="0"/>
        <v>115</v>
      </c>
      <c r="S31" s="440">
        <f t="shared" si="5"/>
        <v>10.454545454545455</v>
      </c>
      <c r="T31" s="441">
        <f t="shared" si="6"/>
        <v>0</v>
      </c>
      <c r="U31" s="461">
        <f t="shared" si="4"/>
        <v>0</v>
      </c>
      <c r="V31" s="253">
        <v>2015</v>
      </c>
      <c r="W31" s="252" t="s">
        <v>24</v>
      </c>
      <c r="X31" s="104"/>
      <c r="Y31" s="104"/>
      <c r="Z31" s="104"/>
      <c r="AA31" s="104"/>
      <c r="AB31" s="144">
        <v>42927</v>
      </c>
      <c r="AC31" s="145">
        <v>2016</v>
      </c>
      <c r="AD31" s="145" t="s">
        <v>195</v>
      </c>
      <c r="AE31" s="145">
        <v>733</v>
      </c>
      <c r="AF31" s="104" t="s">
        <v>157</v>
      </c>
      <c r="AG31" s="104"/>
      <c r="AH31" s="104"/>
      <c r="AI31" s="104"/>
      <c r="AJ31" s="104"/>
      <c r="AK31" s="104"/>
      <c r="AL31" s="142"/>
      <c r="AM31" s="142"/>
      <c r="AN31" s="142"/>
      <c r="AO31" s="142"/>
      <c r="AP31" s="104"/>
      <c r="AQ31" s="104"/>
      <c r="AR31" s="104"/>
      <c r="AS31" s="104"/>
      <c r="AT31" s="155"/>
      <c r="AU31" s="105"/>
      <c r="AV31" s="105"/>
      <c r="AW31" s="105"/>
      <c r="AX31" s="104"/>
    </row>
    <row r="32" spans="1:50" x14ac:dyDescent="0.2">
      <c r="A32" s="252">
        <v>22921</v>
      </c>
      <c r="B32" s="253">
        <v>2015</v>
      </c>
      <c r="C32" s="252" t="s">
        <v>196</v>
      </c>
      <c r="D32" s="273"/>
      <c r="E32" s="255">
        <v>560</v>
      </c>
      <c r="F32" s="443">
        <v>13</v>
      </c>
      <c r="G32" s="443">
        <v>0</v>
      </c>
      <c r="H32" s="443">
        <v>33</v>
      </c>
      <c r="I32" s="443">
        <v>4</v>
      </c>
      <c r="J32" s="443">
        <v>1</v>
      </c>
      <c r="K32" s="443">
        <v>2</v>
      </c>
      <c r="L32" s="443">
        <v>0</v>
      </c>
      <c r="M32" s="443">
        <v>2</v>
      </c>
      <c r="N32" s="443">
        <v>41</v>
      </c>
      <c r="O32" s="443">
        <v>61</v>
      </c>
      <c r="P32" s="443">
        <v>66</v>
      </c>
      <c r="Q32" s="443">
        <v>73</v>
      </c>
      <c r="R32" s="439">
        <f t="shared" si="0"/>
        <v>296</v>
      </c>
      <c r="S32" s="440">
        <f t="shared" si="5"/>
        <v>24.666666666666668</v>
      </c>
      <c r="T32" s="441">
        <f t="shared" si="6"/>
        <v>10.702702702702702</v>
      </c>
      <c r="U32" s="461">
        <f t="shared" si="4"/>
        <v>264</v>
      </c>
      <c r="V32" s="253">
        <v>2015</v>
      </c>
      <c r="W32" s="252" t="s">
        <v>22</v>
      </c>
      <c r="X32" s="104"/>
      <c r="Y32" s="104"/>
      <c r="Z32" s="104"/>
      <c r="AA32" s="104"/>
      <c r="AB32" s="144">
        <v>42927</v>
      </c>
      <c r="AC32" s="145">
        <v>2016</v>
      </c>
      <c r="AD32" s="145" t="s">
        <v>197</v>
      </c>
      <c r="AE32" s="145">
        <v>30</v>
      </c>
      <c r="AF32" s="104" t="s">
        <v>178</v>
      </c>
      <c r="AG32" s="104"/>
      <c r="AH32" s="104"/>
      <c r="AI32" s="104"/>
      <c r="AJ32" s="104"/>
      <c r="AK32" s="104"/>
      <c r="AL32" s="142"/>
      <c r="AM32" s="142"/>
      <c r="AN32" s="142"/>
      <c r="AO32" s="142"/>
      <c r="AP32" s="104"/>
      <c r="AQ32" s="104"/>
      <c r="AR32" s="104"/>
      <c r="AS32" s="104"/>
      <c r="AT32" s="155"/>
      <c r="AU32" s="105"/>
      <c r="AV32" s="105"/>
      <c r="AW32" s="105"/>
      <c r="AX32" s="104"/>
    </row>
    <row r="33" spans="1:50" x14ac:dyDescent="0.2">
      <c r="A33" s="361">
        <v>34641</v>
      </c>
      <c r="B33" s="253">
        <v>2015</v>
      </c>
      <c r="C33" s="361" t="s">
        <v>66</v>
      </c>
      <c r="D33" s="273"/>
      <c r="E33" s="255">
        <v>269</v>
      </c>
      <c r="F33" s="443">
        <v>0</v>
      </c>
      <c r="G33" s="443">
        <v>0</v>
      </c>
      <c r="H33" s="443">
        <v>0</v>
      </c>
      <c r="I33" s="443">
        <v>3</v>
      </c>
      <c r="J33" s="443">
        <v>10</v>
      </c>
      <c r="K33" s="443">
        <v>0</v>
      </c>
      <c r="L33" s="443">
        <v>46</v>
      </c>
      <c r="M33" s="443">
        <v>0</v>
      </c>
      <c r="N33" s="443">
        <v>0</v>
      </c>
      <c r="O33" s="443">
        <v>0</v>
      </c>
      <c r="P33" s="443">
        <v>0</v>
      </c>
      <c r="Q33" s="443">
        <v>0</v>
      </c>
      <c r="R33" s="439">
        <f t="shared" si="0"/>
        <v>59</v>
      </c>
      <c r="S33" s="440">
        <f t="shared" si="5"/>
        <v>4.916666666666667</v>
      </c>
      <c r="T33" s="441">
        <f t="shared" si="6"/>
        <v>42.711864406779661</v>
      </c>
      <c r="U33" s="461">
        <f t="shared" si="4"/>
        <v>210</v>
      </c>
      <c r="V33" s="253">
        <v>2015</v>
      </c>
      <c r="W33" s="361" t="s">
        <v>66</v>
      </c>
      <c r="X33" s="104"/>
      <c r="Y33" s="104"/>
      <c r="Z33" s="104"/>
      <c r="AA33" s="104"/>
      <c r="AB33" s="144">
        <v>42927</v>
      </c>
      <c r="AC33" s="145">
        <v>2016</v>
      </c>
      <c r="AD33" s="145" t="s">
        <v>198</v>
      </c>
      <c r="AE33" s="145">
        <v>310</v>
      </c>
      <c r="AF33" s="104" t="s">
        <v>157</v>
      </c>
      <c r="AG33" s="104"/>
      <c r="AH33" s="104"/>
      <c r="AI33" s="104"/>
      <c r="AJ33" s="104"/>
      <c r="AK33" s="104"/>
      <c r="AL33" s="142"/>
      <c r="AM33" s="142"/>
      <c r="AN33" s="142"/>
      <c r="AO33" s="142"/>
      <c r="AP33" s="104"/>
      <c r="AQ33" s="104"/>
      <c r="AR33" s="104"/>
      <c r="AS33" s="104"/>
      <c r="AT33" s="155"/>
      <c r="AU33" s="105"/>
      <c r="AV33" s="105"/>
      <c r="AW33" s="105"/>
      <c r="AX33" s="104"/>
    </row>
    <row r="34" spans="1:50" x14ac:dyDescent="0.2">
      <c r="A34" s="252">
        <v>18004</v>
      </c>
      <c r="B34" s="253">
        <v>2015</v>
      </c>
      <c r="C34" s="252" t="s">
        <v>29</v>
      </c>
      <c r="D34" s="273"/>
      <c r="E34" s="255">
        <v>220</v>
      </c>
      <c r="F34" s="443">
        <v>0</v>
      </c>
      <c r="G34" s="443">
        <v>0</v>
      </c>
      <c r="H34" s="443">
        <v>0</v>
      </c>
      <c r="I34" s="443">
        <v>0</v>
      </c>
      <c r="J34" s="443">
        <v>0</v>
      </c>
      <c r="K34" s="443">
        <v>0</v>
      </c>
      <c r="L34" s="443">
        <v>0</v>
      </c>
      <c r="M34" s="443">
        <v>0</v>
      </c>
      <c r="N34" s="443">
        <v>0</v>
      </c>
      <c r="O34" s="443">
        <v>20</v>
      </c>
      <c r="P34" s="443">
        <v>0</v>
      </c>
      <c r="Q34" s="443">
        <v>5</v>
      </c>
      <c r="R34" s="439">
        <f t="shared" si="0"/>
        <v>25</v>
      </c>
      <c r="S34" s="440">
        <f t="shared" si="5"/>
        <v>2.0833333333333335</v>
      </c>
      <c r="T34" s="441">
        <f t="shared" si="6"/>
        <v>93.6</v>
      </c>
      <c r="U34" s="461">
        <f t="shared" si="4"/>
        <v>195</v>
      </c>
      <c r="V34" s="253">
        <v>2015</v>
      </c>
      <c r="W34" s="252" t="s">
        <v>29</v>
      </c>
      <c r="X34" s="104"/>
      <c r="Y34" s="104"/>
      <c r="Z34" s="104"/>
      <c r="AA34" s="104"/>
      <c r="AB34" s="144">
        <v>42927</v>
      </c>
      <c r="AC34" s="145">
        <v>2016</v>
      </c>
      <c r="AD34" s="145" t="s">
        <v>199</v>
      </c>
      <c r="AE34" s="145">
        <v>141</v>
      </c>
      <c r="AF34" s="104" t="s">
        <v>178</v>
      </c>
      <c r="AG34" s="104"/>
      <c r="AH34" s="104"/>
      <c r="AI34" s="104"/>
      <c r="AJ34" s="104"/>
      <c r="AK34" s="104"/>
      <c r="AL34" s="142"/>
      <c r="AM34" s="142"/>
      <c r="AN34" s="142"/>
      <c r="AO34" s="142"/>
      <c r="AP34" s="104"/>
      <c r="AQ34" s="104"/>
      <c r="AR34" s="104"/>
      <c r="AS34" s="104"/>
      <c r="AT34" s="155"/>
      <c r="AU34" s="105"/>
      <c r="AV34" s="105"/>
      <c r="AW34" s="105"/>
      <c r="AX34" s="104"/>
    </row>
    <row r="35" spans="1:50" x14ac:dyDescent="0.2">
      <c r="A35" s="252">
        <v>86051</v>
      </c>
      <c r="B35" s="253">
        <v>2015</v>
      </c>
      <c r="C35" s="252" t="s">
        <v>94</v>
      </c>
      <c r="D35" s="273"/>
      <c r="E35" s="255">
        <v>392</v>
      </c>
      <c r="F35" s="443">
        <v>6</v>
      </c>
      <c r="G35" s="443">
        <v>13</v>
      </c>
      <c r="H35" s="443">
        <v>22</v>
      </c>
      <c r="I35" s="443">
        <v>16</v>
      </c>
      <c r="J35" s="443">
        <v>79</v>
      </c>
      <c r="K35" s="443">
        <v>0</v>
      </c>
      <c r="L35" s="443">
        <v>0</v>
      </c>
      <c r="M35" s="443">
        <v>21</v>
      </c>
      <c r="N35" s="443">
        <v>27</v>
      </c>
      <c r="O35" s="443">
        <v>18</v>
      </c>
      <c r="P35" s="443">
        <v>28</v>
      </c>
      <c r="Q35" s="443">
        <v>36</v>
      </c>
      <c r="R35" s="439">
        <f t="shared" si="0"/>
        <v>266</v>
      </c>
      <c r="S35" s="440">
        <f t="shared" si="5"/>
        <v>22.166666666666668</v>
      </c>
      <c r="T35" s="441">
        <f t="shared" si="6"/>
        <v>5.6842105263157894</v>
      </c>
      <c r="U35" s="461">
        <f t="shared" si="4"/>
        <v>126</v>
      </c>
      <c r="V35" s="253">
        <v>2015</v>
      </c>
      <c r="W35" s="252" t="s">
        <v>94</v>
      </c>
      <c r="X35" s="104"/>
      <c r="Y35" s="104"/>
      <c r="Z35" s="104"/>
      <c r="AA35" s="104"/>
      <c r="AB35" s="144">
        <v>42928</v>
      </c>
      <c r="AC35" s="145">
        <v>2016</v>
      </c>
      <c r="AD35" s="145" t="s">
        <v>200</v>
      </c>
      <c r="AE35" s="145">
        <v>307</v>
      </c>
      <c r="AF35" s="104"/>
      <c r="AG35" s="104"/>
      <c r="AH35" s="104"/>
      <c r="AI35" s="104"/>
      <c r="AJ35" s="104"/>
      <c r="AK35" s="104"/>
      <c r="AL35" s="142"/>
      <c r="AM35" s="142"/>
      <c r="AN35" s="142"/>
      <c r="AO35" s="142"/>
      <c r="AP35" s="104"/>
      <c r="AQ35" s="104"/>
      <c r="AR35" s="104"/>
      <c r="AS35" s="104"/>
      <c r="AT35" s="155"/>
      <c r="AU35" s="105"/>
      <c r="AV35" s="105"/>
      <c r="AW35" s="105"/>
      <c r="AX35" s="104"/>
    </row>
    <row r="36" spans="1:50" x14ac:dyDescent="0.2">
      <c r="A36" s="252">
        <v>28381</v>
      </c>
      <c r="B36" s="253">
        <v>2015</v>
      </c>
      <c r="C36" s="252" t="s">
        <v>100</v>
      </c>
      <c r="D36" s="273"/>
      <c r="E36" s="255">
        <v>0</v>
      </c>
      <c r="F36" s="255" t="s">
        <v>35</v>
      </c>
      <c r="G36" s="255" t="s">
        <v>35</v>
      </c>
      <c r="H36" s="255" t="s">
        <v>35</v>
      </c>
      <c r="I36" s="255" t="s">
        <v>35</v>
      </c>
      <c r="J36" s="255" t="s">
        <v>35</v>
      </c>
      <c r="K36" s="255" t="s">
        <v>35</v>
      </c>
      <c r="L36" s="255"/>
      <c r="M36" s="255"/>
      <c r="N36" s="255"/>
      <c r="O36" s="255"/>
      <c r="P36" s="255"/>
      <c r="Q36" s="255"/>
      <c r="R36" s="439">
        <f t="shared" si="0"/>
        <v>0</v>
      </c>
      <c r="S36" s="440">
        <f t="shared" si="5"/>
        <v>0</v>
      </c>
      <c r="T36" s="441">
        <f t="shared" si="6"/>
        <v>0</v>
      </c>
      <c r="U36" s="461">
        <f t="shared" si="4"/>
        <v>0</v>
      </c>
      <c r="V36" s="253">
        <v>2015</v>
      </c>
      <c r="W36" s="252" t="s">
        <v>100</v>
      </c>
      <c r="X36" s="104"/>
      <c r="Y36" s="104"/>
      <c r="Z36" s="104"/>
      <c r="AA36" s="104"/>
      <c r="AB36" s="144">
        <v>42928</v>
      </c>
      <c r="AC36" s="145">
        <v>2016</v>
      </c>
      <c r="AD36" s="145" t="s">
        <v>201</v>
      </c>
      <c r="AE36" s="145">
        <v>149</v>
      </c>
      <c r="AF36" s="104" t="s">
        <v>35</v>
      </c>
      <c r="AG36" s="104"/>
      <c r="AH36" s="104"/>
      <c r="AI36" s="104"/>
      <c r="AJ36" s="104"/>
      <c r="AK36" s="104"/>
      <c r="AL36" s="142"/>
      <c r="AM36" s="142"/>
      <c r="AN36" s="142"/>
      <c r="AO36" s="142"/>
      <c r="AP36" s="104"/>
      <c r="AQ36" s="104"/>
      <c r="AR36" s="104"/>
      <c r="AS36" s="104"/>
      <c r="AT36" s="155"/>
      <c r="AU36" s="105"/>
      <c r="AV36" s="105"/>
      <c r="AW36" s="105"/>
      <c r="AX36" s="104"/>
    </row>
    <row r="37" spans="1:50" x14ac:dyDescent="0.2">
      <c r="A37" s="249"/>
      <c r="B37" s="249"/>
      <c r="C37" s="249"/>
      <c r="D37" s="249"/>
      <c r="E37" s="249"/>
      <c r="F37" s="249"/>
      <c r="G37" s="249"/>
      <c r="H37" s="249"/>
      <c r="I37" s="249"/>
      <c r="J37" s="249"/>
      <c r="K37" s="249"/>
      <c r="L37" s="249"/>
      <c r="M37" s="249"/>
      <c r="N37" s="249"/>
      <c r="O37" s="251"/>
      <c r="P37" s="251"/>
      <c r="Q37" s="249"/>
      <c r="R37" s="249"/>
      <c r="S37" s="249"/>
      <c r="T37" s="249"/>
      <c r="U37" s="251"/>
      <c r="V37" s="249"/>
      <c r="W37" s="249"/>
      <c r="X37" s="104"/>
      <c r="Y37" s="104"/>
      <c r="Z37" s="104"/>
      <c r="AA37" s="104"/>
      <c r="AB37" s="144">
        <v>42928</v>
      </c>
      <c r="AC37" s="145">
        <v>2016</v>
      </c>
      <c r="AD37" s="145" t="s">
        <v>202</v>
      </c>
      <c r="AE37" s="145">
        <v>58</v>
      </c>
      <c r="AF37" s="104" t="s">
        <v>157</v>
      </c>
      <c r="AG37" s="104"/>
      <c r="AH37" s="104"/>
      <c r="AI37" s="104"/>
      <c r="AJ37" s="104"/>
      <c r="AK37" s="104"/>
      <c r="AL37" s="142"/>
      <c r="AM37" s="142"/>
      <c r="AN37" s="142"/>
      <c r="AO37" s="142"/>
      <c r="AP37" s="104"/>
      <c r="AQ37" s="104"/>
      <c r="AR37" s="104"/>
      <c r="AS37" s="104"/>
      <c r="AT37" s="155"/>
      <c r="AU37" s="105"/>
      <c r="AV37" s="105"/>
      <c r="AW37" s="105"/>
      <c r="AX37" s="104"/>
    </row>
    <row r="38" spans="1:50" x14ac:dyDescent="0.2">
      <c r="A38" s="252">
        <v>111575</v>
      </c>
      <c r="B38" s="112">
        <v>2016</v>
      </c>
      <c r="C38" s="252" t="s">
        <v>159</v>
      </c>
      <c r="D38" s="261" t="s">
        <v>35</v>
      </c>
      <c r="E38" s="367">
        <v>50</v>
      </c>
      <c r="F38" s="365" t="s">
        <v>35</v>
      </c>
      <c r="G38" s="365" t="s">
        <v>35</v>
      </c>
      <c r="H38" s="365" t="s">
        <v>35</v>
      </c>
      <c r="I38" s="365" t="s">
        <v>35</v>
      </c>
      <c r="J38" s="463">
        <v>31</v>
      </c>
      <c r="K38" s="463">
        <v>10</v>
      </c>
      <c r="L38" s="463">
        <v>9</v>
      </c>
      <c r="M38" s="464"/>
      <c r="N38" s="464"/>
      <c r="O38" s="464"/>
      <c r="P38" s="464"/>
      <c r="Q38" s="464"/>
      <c r="R38" s="439">
        <f t="shared" si="0"/>
        <v>50</v>
      </c>
      <c r="S38" s="440">
        <f t="shared" si="5"/>
        <v>16.666666666666668</v>
      </c>
      <c r="T38" s="441">
        <f t="shared" si="6"/>
        <v>0</v>
      </c>
      <c r="U38" s="461">
        <f>SUM(E38-R38)</f>
        <v>0</v>
      </c>
      <c r="V38" s="112">
        <v>2016</v>
      </c>
      <c r="W38" s="252" t="s">
        <v>159</v>
      </c>
      <c r="X38" s="104"/>
      <c r="Y38" s="104"/>
      <c r="Z38" s="104"/>
      <c r="AA38" s="104"/>
      <c r="AB38" s="144">
        <v>42977</v>
      </c>
      <c r="AC38" s="145">
        <v>2016</v>
      </c>
      <c r="AD38" s="145" t="s">
        <v>203</v>
      </c>
      <c r="AE38" s="145">
        <v>400</v>
      </c>
      <c r="AF38" s="104" t="s">
        <v>204</v>
      </c>
      <c r="AG38" s="104"/>
      <c r="AH38" s="104"/>
      <c r="AI38" s="104"/>
      <c r="AJ38" s="104"/>
      <c r="AK38" s="104"/>
      <c r="AL38" s="104"/>
      <c r="AM38" s="104"/>
      <c r="AN38" s="104"/>
      <c r="AO38" s="104"/>
      <c r="AP38" s="104"/>
      <c r="AQ38" s="104"/>
      <c r="AR38" s="104"/>
      <c r="AS38" s="104"/>
      <c r="AT38" s="155"/>
      <c r="AU38" s="105"/>
      <c r="AV38" s="105"/>
      <c r="AW38" s="105"/>
      <c r="AX38" s="104"/>
    </row>
    <row r="39" spans="1:50" x14ac:dyDescent="0.2">
      <c r="A39" s="252">
        <v>111574</v>
      </c>
      <c r="B39" s="112">
        <v>2016</v>
      </c>
      <c r="C39" s="252" t="s">
        <v>205</v>
      </c>
      <c r="D39" s="261"/>
      <c r="E39" s="367">
        <v>518</v>
      </c>
      <c r="F39" s="365" t="s">
        <v>35</v>
      </c>
      <c r="G39" s="365" t="s">
        <v>35</v>
      </c>
      <c r="H39" s="365" t="s">
        <v>35</v>
      </c>
      <c r="I39" s="463">
        <v>55</v>
      </c>
      <c r="J39" s="463">
        <v>35</v>
      </c>
      <c r="K39" s="463">
        <v>31</v>
      </c>
      <c r="L39" s="463">
        <v>28</v>
      </c>
      <c r="M39" s="463">
        <v>34</v>
      </c>
      <c r="N39" s="463">
        <v>27</v>
      </c>
      <c r="O39" s="463">
        <v>24</v>
      </c>
      <c r="P39" s="463">
        <v>33</v>
      </c>
      <c r="Q39" s="463">
        <v>55</v>
      </c>
      <c r="R39" s="439">
        <f t="shared" si="0"/>
        <v>322</v>
      </c>
      <c r="S39" s="440">
        <f t="shared" si="5"/>
        <v>35.777777777777779</v>
      </c>
      <c r="T39" s="441">
        <f t="shared" si="6"/>
        <v>5.4782608695652169</v>
      </c>
      <c r="U39" s="461">
        <f>SUM(E39-R39)</f>
        <v>196</v>
      </c>
      <c r="V39" s="112">
        <v>2016</v>
      </c>
      <c r="W39" s="252" t="s">
        <v>205</v>
      </c>
      <c r="X39" s="104"/>
      <c r="Y39" s="104"/>
      <c r="Z39" s="104"/>
      <c r="AA39" s="104"/>
      <c r="AB39" s="144">
        <v>42977</v>
      </c>
      <c r="AC39" s="145">
        <v>2016</v>
      </c>
      <c r="AD39" s="145" t="s">
        <v>206</v>
      </c>
      <c r="AE39" s="145">
        <v>432</v>
      </c>
      <c r="AF39" s="104" t="s">
        <v>204</v>
      </c>
      <c r="AG39" s="104"/>
      <c r="AH39" s="104"/>
      <c r="AI39" s="104"/>
      <c r="AJ39" s="104"/>
      <c r="AK39" s="104"/>
      <c r="AL39" s="104"/>
      <c r="AM39" s="104"/>
      <c r="AN39" s="104"/>
      <c r="AO39" s="104"/>
      <c r="AP39" s="104"/>
      <c r="AQ39" s="104"/>
      <c r="AR39" s="104"/>
      <c r="AS39" s="104"/>
      <c r="AT39" s="155"/>
      <c r="AU39" s="105"/>
      <c r="AV39" s="105"/>
      <c r="AW39" s="105"/>
      <c r="AX39" s="104"/>
    </row>
    <row r="40" spans="1:50" x14ac:dyDescent="0.2">
      <c r="A40" s="252">
        <v>116506</v>
      </c>
      <c r="B40" s="112">
        <v>2016</v>
      </c>
      <c r="C40" s="252" t="s">
        <v>207</v>
      </c>
      <c r="D40" s="261"/>
      <c r="E40" s="367">
        <v>90</v>
      </c>
      <c r="F40" s="365" t="s">
        <v>35</v>
      </c>
      <c r="G40" s="365" t="s">
        <v>35</v>
      </c>
      <c r="H40" s="365" t="s">
        <v>35</v>
      </c>
      <c r="I40" s="365" t="s">
        <v>35</v>
      </c>
      <c r="J40" s="365" t="s">
        <v>35</v>
      </c>
      <c r="K40" s="365" t="s">
        <v>35</v>
      </c>
      <c r="L40" s="463">
        <v>4</v>
      </c>
      <c r="M40" s="463">
        <v>46</v>
      </c>
      <c r="N40" s="463">
        <v>27</v>
      </c>
      <c r="O40" s="463">
        <v>5</v>
      </c>
      <c r="P40" s="463">
        <v>4</v>
      </c>
      <c r="Q40" s="463">
        <v>0</v>
      </c>
      <c r="R40" s="439">
        <f>SUM(F40:Q40)</f>
        <v>86</v>
      </c>
      <c r="S40" s="440">
        <f>IFERROR((AVERAGE(F40:Q40)),0)</f>
        <v>14.333333333333334</v>
      </c>
      <c r="T40" s="441">
        <f>IFERROR((U40/S40),0)</f>
        <v>0.27906976744186046</v>
      </c>
      <c r="U40" s="461">
        <f>SUM(E40-R40)</f>
        <v>4</v>
      </c>
      <c r="V40" s="112">
        <v>2016</v>
      </c>
      <c r="W40" s="252" t="s">
        <v>207</v>
      </c>
      <c r="X40" s="104"/>
      <c r="Y40" s="104"/>
      <c r="Z40" s="104"/>
      <c r="AA40" s="104"/>
      <c r="AB40" s="144">
        <v>42977</v>
      </c>
      <c r="AC40" s="145">
        <v>2015</v>
      </c>
      <c r="AD40" s="145" t="s">
        <v>208</v>
      </c>
      <c r="AE40" s="145">
        <v>864</v>
      </c>
      <c r="AF40" s="104" t="s">
        <v>204</v>
      </c>
      <c r="AG40" s="104"/>
      <c r="AH40" s="104"/>
      <c r="AI40" s="104"/>
      <c r="AJ40" s="104"/>
      <c r="AK40" s="104"/>
      <c r="AL40" s="104"/>
      <c r="AM40" s="104"/>
      <c r="AN40" s="104"/>
      <c r="AO40" s="104"/>
      <c r="AP40" s="104"/>
      <c r="AQ40" s="104"/>
      <c r="AR40" s="104"/>
      <c r="AS40" s="104"/>
      <c r="AT40" s="155"/>
      <c r="AU40" s="105"/>
      <c r="AV40" s="105"/>
      <c r="AW40" s="105"/>
      <c r="AX40" s="104"/>
    </row>
    <row r="41" spans="1:50" x14ac:dyDescent="0.2">
      <c r="A41" s="252">
        <v>22385</v>
      </c>
      <c r="B41" s="112">
        <v>2016</v>
      </c>
      <c r="C41" s="252" t="s">
        <v>33</v>
      </c>
      <c r="D41" s="261"/>
      <c r="E41" s="367">
        <v>249</v>
      </c>
      <c r="F41" s="365" t="s">
        <v>35</v>
      </c>
      <c r="G41" s="365" t="s">
        <v>35</v>
      </c>
      <c r="H41" s="365" t="s">
        <v>35</v>
      </c>
      <c r="I41" s="365" t="s">
        <v>35</v>
      </c>
      <c r="J41" s="463">
        <v>16</v>
      </c>
      <c r="K41" s="463">
        <v>56</v>
      </c>
      <c r="L41" s="463">
        <v>31</v>
      </c>
      <c r="M41" s="463">
        <v>28</v>
      </c>
      <c r="N41" s="463">
        <v>31</v>
      </c>
      <c r="O41" s="463">
        <v>18</v>
      </c>
      <c r="P41" s="463">
        <v>69</v>
      </c>
      <c r="Q41" s="464"/>
      <c r="R41" s="439">
        <f>SUM(F41:Q41)</f>
        <v>249</v>
      </c>
      <c r="S41" s="440">
        <f>IFERROR((AVERAGE(F41:Q41)),0)</f>
        <v>35.571428571428569</v>
      </c>
      <c r="T41" s="441">
        <f>IFERROR((U41/S41),0)</f>
        <v>0</v>
      </c>
      <c r="U41" s="461">
        <f>SUM(E41-R41)</f>
        <v>0</v>
      </c>
      <c r="V41" s="112">
        <v>2016</v>
      </c>
      <c r="W41" s="252" t="s">
        <v>33</v>
      </c>
      <c r="X41" s="104"/>
      <c r="Y41" s="104"/>
      <c r="Z41" s="104"/>
      <c r="AA41" s="104"/>
      <c r="AB41" s="144">
        <v>42978</v>
      </c>
      <c r="AC41" s="145">
        <v>2016</v>
      </c>
      <c r="AD41" s="145" t="s">
        <v>209</v>
      </c>
      <c r="AE41" s="145">
        <v>57</v>
      </c>
      <c r="AF41" s="104" t="s">
        <v>210</v>
      </c>
      <c r="AG41" s="104"/>
      <c r="AH41" s="104"/>
      <c r="AI41" s="104"/>
      <c r="AJ41" s="104"/>
      <c r="AK41" s="104"/>
      <c r="AL41" s="104"/>
      <c r="AM41" s="104"/>
      <c r="AN41" s="104"/>
      <c r="AO41" s="104"/>
      <c r="AP41" s="104"/>
      <c r="AQ41" s="104"/>
      <c r="AR41" s="104"/>
      <c r="AS41" s="104"/>
      <c r="AT41" s="155"/>
      <c r="AU41" s="105"/>
      <c r="AV41" s="105"/>
      <c r="AW41" s="105"/>
      <c r="AX41" s="104"/>
    </row>
    <row r="42" spans="1:50" x14ac:dyDescent="0.2">
      <c r="A42" s="252">
        <v>11198</v>
      </c>
      <c r="B42" s="112">
        <v>2016</v>
      </c>
      <c r="C42" s="252" t="s">
        <v>46</v>
      </c>
      <c r="D42" s="261"/>
      <c r="E42" s="367">
        <v>521</v>
      </c>
      <c r="F42" s="365" t="s">
        <v>35</v>
      </c>
      <c r="G42" s="365" t="s">
        <v>35</v>
      </c>
      <c r="H42" s="365" t="s">
        <v>35</v>
      </c>
      <c r="I42" s="365" t="s">
        <v>35</v>
      </c>
      <c r="J42" s="463">
        <v>65</v>
      </c>
      <c r="K42" s="463">
        <v>44</v>
      </c>
      <c r="L42" s="463">
        <v>40</v>
      </c>
      <c r="M42" s="463">
        <v>48</v>
      </c>
      <c r="N42" s="463">
        <v>48</v>
      </c>
      <c r="O42" s="463">
        <v>66</v>
      </c>
      <c r="P42" s="463">
        <v>6</v>
      </c>
      <c r="Q42" s="463">
        <v>31</v>
      </c>
      <c r="R42" s="439">
        <f t="shared" si="0"/>
        <v>348</v>
      </c>
      <c r="S42" s="440">
        <f t="shared" si="5"/>
        <v>43.5</v>
      </c>
      <c r="T42" s="441">
        <f t="shared" si="6"/>
        <v>3.9770114942528734</v>
      </c>
      <c r="U42" s="461">
        <f>SUM(E42-R42)</f>
        <v>173</v>
      </c>
      <c r="V42" s="112">
        <v>2016</v>
      </c>
      <c r="W42" s="252" t="s">
        <v>46</v>
      </c>
      <c r="X42" s="104"/>
      <c r="Y42" s="104"/>
      <c r="Z42" s="104"/>
      <c r="AA42" s="104"/>
      <c r="AB42" s="144">
        <v>42978</v>
      </c>
      <c r="AC42" s="145">
        <v>2016</v>
      </c>
      <c r="AD42" s="145" t="s">
        <v>211</v>
      </c>
      <c r="AE42" s="145">
        <v>56</v>
      </c>
      <c r="AF42" s="104" t="s">
        <v>178</v>
      </c>
      <c r="AG42" s="104"/>
      <c r="AH42" s="104"/>
      <c r="AI42" s="104"/>
      <c r="AJ42" s="104"/>
      <c r="AK42" s="104"/>
      <c r="AL42" s="104"/>
      <c r="AM42" s="104"/>
      <c r="AN42" s="104"/>
      <c r="AO42" s="104"/>
      <c r="AP42" s="104"/>
      <c r="AQ42" s="104"/>
      <c r="AR42" s="104"/>
      <c r="AS42" s="104"/>
      <c r="AT42" s="155"/>
      <c r="AU42" s="105"/>
      <c r="AV42" s="105"/>
      <c r="AW42" s="105"/>
      <c r="AX42" s="104"/>
    </row>
    <row r="43" spans="1:50" x14ac:dyDescent="0.2">
      <c r="A43" s="252">
        <v>57632</v>
      </c>
      <c r="B43" s="253">
        <v>2016</v>
      </c>
      <c r="C43" s="252" t="s">
        <v>31</v>
      </c>
      <c r="D43" s="262"/>
      <c r="E43" s="255">
        <v>663</v>
      </c>
      <c r="F43" s="287"/>
      <c r="G43" s="287"/>
      <c r="H43" s="287"/>
      <c r="I43" s="287"/>
      <c r="J43" s="287"/>
      <c r="K43" s="287"/>
      <c r="L43" s="443">
        <v>6</v>
      </c>
      <c r="M43" s="443">
        <v>41</v>
      </c>
      <c r="N43" s="443">
        <v>18</v>
      </c>
      <c r="O43" s="443">
        <v>46</v>
      </c>
      <c r="P43" s="443">
        <v>52</v>
      </c>
      <c r="Q43" s="443">
        <v>40</v>
      </c>
      <c r="R43" s="439">
        <f t="shared" si="0"/>
        <v>203</v>
      </c>
      <c r="S43" s="440">
        <f>IFERROR((AVERAGE(F43:Q43)),0)</f>
        <v>33.833333333333336</v>
      </c>
      <c r="T43" s="441">
        <f>IFERROR((U43/S43),0)</f>
        <v>13.596059113300491</v>
      </c>
      <c r="U43" s="461">
        <f t="shared" ref="U43:U54" si="7">SUM(E43-R43)</f>
        <v>460</v>
      </c>
      <c r="V43" s="112">
        <v>2016</v>
      </c>
      <c r="W43" s="252" t="s">
        <v>31</v>
      </c>
      <c r="X43" s="104"/>
      <c r="Y43" s="104"/>
      <c r="Z43" s="104"/>
      <c r="AA43" s="104"/>
      <c r="AB43" s="144">
        <v>42978</v>
      </c>
      <c r="AC43" s="145">
        <v>2016</v>
      </c>
      <c r="AD43" s="145" t="s">
        <v>212</v>
      </c>
      <c r="AE43" s="145">
        <v>200</v>
      </c>
      <c r="AF43" s="104" t="s">
        <v>157</v>
      </c>
      <c r="AG43" s="104"/>
      <c r="AH43" s="104"/>
      <c r="AI43" s="104"/>
      <c r="AJ43" s="104"/>
      <c r="AK43" s="104"/>
      <c r="AL43" s="104"/>
      <c r="AM43" s="104"/>
      <c r="AN43" s="104"/>
      <c r="AO43" s="104"/>
      <c r="AP43" s="104"/>
      <c r="AQ43" s="104"/>
      <c r="AR43" s="104"/>
      <c r="AS43" s="104"/>
      <c r="AT43" s="155"/>
      <c r="AU43" s="105"/>
      <c r="AV43" s="105"/>
      <c r="AW43" s="105"/>
      <c r="AX43" s="104"/>
    </row>
    <row r="44" spans="1:50" ht="16.350000000000001" customHeight="1" x14ac:dyDescent="0.2">
      <c r="A44" s="252">
        <v>57630</v>
      </c>
      <c r="B44" s="253">
        <v>2016</v>
      </c>
      <c r="C44" s="252" t="s">
        <v>25</v>
      </c>
      <c r="D44" s="262"/>
      <c r="E44" s="255">
        <v>733</v>
      </c>
      <c r="F44" s="287"/>
      <c r="G44" s="287"/>
      <c r="H44" s="287"/>
      <c r="I44" s="287"/>
      <c r="J44" s="287"/>
      <c r="K44" s="287"/>
      <c r="L44" s="443">
        <v>3</v>
      </c>
      <c r="M44" s="443">
        <v>3</v>
      </c>
      <c r="N44" s="443">
        <v>8</v>
      </c>
      <c r="O44" s="443">
        <v>0</v>
      </c>
      <c r="P44" s="443">
        <v>0</v>
      </c>
      <c r="Q44" s="443">
        <v>0</v>
      </c>
      <c r="R44" s="439">
        <f t="shared" si="0"/>
        <v>14</v>
      </c>
      <c r="S44" s="440">
        <f t="shared" ref="S44:S55" si="8">IFERROR((AVERAGE(F44:Q44)),0)</f>
        <v>2.3333333333333335</v>
      </c>
      <c r="T44" s="441">
        <f t="shared" ref="T44:T55" si="9">IFERROR((U44/S44),0)</f>
        <v>308.14285714285711</v>
      </c>
      <c r="U44" s="461">
        <f t="shared" si="7"/>
        <v>719</v>
      </c>
      <c r="V44" s="112">
        <v>2016</v>
      </c>
      <c r="W44" s="252" t="s">
        <v>25</v>
      </c>
      <c r="X44" s="104"/>
      <c r="Y44" s="104"/>
      <c r="Z44" s="104"/>
      <c r="AA44" s="104"/>
      <c r="AB44" s="144">
        <v>42978</v>
      </c>
      <c r="AC44" s="145">
        <v>2016</v>
      </c>
      <c r="AD44" s="145" t="s">
        <v>213</v>
      </c>
      <c r="AE44" s="145">
        <v>299</v>
      </c>
      <c r="AF44" s="104" t="s">
        <v>157</v>
      </c>
      <c r="AG44" s="104"/>
      <c r="AH44" s="104"/>
      <c r="AI44" s="104"/>
      <c r="AJ44" s="104"/>
      <c r="AK44" s="104"/>
      <c r="AL44" s="104"/>
      <c r="AM44" s="104"/>
      <c r="AN44" s="104"/>
      <c r="AO44" s="104"/>
      <c r="AP44" s="104"/>
      <c r="AQ44" s="104"/>
      <c r="AR44" s="104"/>
      <c r="AS44" s="104"/>
      <c r="AT44" s="155"/>
      <c r="AU44" s="105"/>
      <c r="AV44" s="105"/>
      <c r="AW44" s="105"/>
      <c r="AX44" s="104"/>
    </row>
    <row r="45" spans="1:50" ht="16.350000000000001" customHeight="1" x14ac:dyDescent="0.2">
      <c r="A45" s="252">
        <v>38269</v>
      </c>
      <c r="B45" s="253">
        <v>2016</v>
      </c>
      <c r="C45" s="252" t="s">
        <v>28</v>
      </c>
      <c r="D45" s="262"/>
      <c r="E45" s="255">
        <v>58</v>
      </c>
      <c r="F45" s="287"/>
      <c r="G45" s="287"/>
      <c r="H45" s="287"/>
      <c r="I45" s="287"/>
      <c r="J45" s="287"/>
      <c r="K45" s="287"/>
      <c r="L45" s="443">
        <v>0</v>
      </c>
      <c r="M45" s="443">
        <v>0</v>
      </c>
      <c r="N45" s="443">
        <v>16</v>
      </c>
      <c r="O45" s="443">
        <v>0</v>
      </c>
      <c r="P45" s="443">
        <v>7</v>
      </c>
      <c r="Q45" s="443">
        <v>11</v>
      </c>
      <c r="R45" s="439">
        <f t="shared" si="0"/>
        <v>34</v>
      </c>
      <c r="S45" s="440">
        <f t="shared" si="8"/>
        <v>5.666666666666667</v>
      </c>
      <c r="T45" s="441">
        <f t="shared" si="9"/>
        <v>4.2352941176470589</v>
      </c>
      <c r="U45" s="461">
        <f t="shared" si="7"/>
        <v>24</v>
      </c>
      <c r="V45" s="112">
        <v>2016</v>
      </c>
      <c r="W45" s="252" t="s">
        <v>28</v>
      </c>
      <c r="X45" s="104"/>
      <c r="Y45" s="104"/>
      <c r="Z45" s="104"/>
      <c r="AA45" s="104"/>
      <c r="AB45" s="144">
        <v>42978</v>
      </c>
      <c r="AC45" s="145">
        <v>2016</v>
      </c>
      <c r="AD45" s="145" t="s">
        <v>214</v>
      </c>
      <c r="AE45" s="145">
        <v>800</v>
      </c>
      <c r="AF45" s="104" t="s">
        <v>157</v>
      </c>
      <c r="AG45" s="104"/>
      <c r="AH45" s="104"/>
      <c r="AI45" s="104"/>
      <c r="AJ45" s="104"/>
      <c r="AK45" s="104"/>
      <c r="AL45" s="104"/>
      <c r="AM45" s="104"/>
      <c r="AN45" s="104"/>
      <c r="AO45" s="104"/>
      <c r="AP45" s="104"/>
      <c r="AQ45" s="104"/>
      <c r="AR45" s="104"/>
      <c r="AS45" s="104"/>
      <c r="AT45" s="155"/>
      <c r="AU45" s="105"/>
      <c r="AV45" s="105"/>
      <c r="AW45" s="105"/>
      <c r="AX45" s="104"/>
    </row>
    <row r="46" spans="1:50" x14ac:dyDescent="0.2">
      <c r="A46" s="252">
        <v>22382</v>
      </c>
      <c r="B46" s="253">
        <v>2016</v>
      </c>
      <c r="C46" s="252" t="s">
        <v>23</v>
      </c>
      <c r="D46" s="262"/>
      <c r="E46" s="255">
        <v>714</v>
      </c>
      <c r="F46" s="287"/>
      <c r="G46" s="287" t="s">
        <v>35</v>
      </c>
      <c r="H46" s="287"/>
      <c r="I46" s="287"/>
      <c r="J46" s="287"/>
      <c r="K46" s="287"/>
      <c r="L46" s="287"/>
      <c r="M46" s="287"/>
      <c r="N46" s="443">
        <v>14</v>
      </c>
      <c r="O46" s="443">
        <v>6</v>
      </c>
      <c r="P46" s="443">
        <v>0</v>
      </c>
      <c r="Q46" s="443">
        <v>0</v>
      </c>
      <c r="R46" s="439">
        <f t="shared" si="0"/>
        <v>20</v>
      </c>
      <c r="S46" s="440">
        <f t="shared" si="8"/>
        <v>5</v>
      </c>
      <c r="T46" s="441">
        <f t="shared" si="9"/>
        <v>138.80000000000001</v>
      </c>
      <c r="U46" s="461">
        <f t="shared" si="7"/>
        <v>694</v>
      </c>
      <c r="V46" s="112">
        <v>2016</v>
      </c>
      <c r="W46" s="252" t="s">
        <v>23</v>
      </c>
      <c r="X46" s="104"/>
      <c r="Y46" s="104"/>
      <c r="Z46" s="104"/>
      <c r="AA46" s="104"/>
      <c r="AB46" s="144">
        <v>42978</v>
      </c>
      <c r="AC46" s="145">
        <v>2016</v>
      </c>
      <c r="AD46" s="145" t="s">
        <v>215</v>
      </c>
      <c r="AE46" s="145">
        <v>714</v>
      </c>
      <c r="AF46" s="104" t="s">
        <v>157</v>
      </c>
      <c r="AG46" s="104"/>
      <c r="AH46" s="104"/>
      <c r="AI46" s="104"/>
      <c r="AJ46" s="104"/>
      <c r="AK46" s="104"/>
      <c r="AL46" s="104"/>
      <c r="AM46" s="104"/>
      <c r="AN46" s="104"/>
      <c r="AO46" s="104"/>
      <c r="AP46" s="104"/>
      <c r="AQ46" s="104"/>
      <c r="AR46" s="104"/>
      <c r="AS46" s="104"/>
      <c r="AT46" s="155"/>
      <c r="AU46" s="105"/>
      <c r="AV46" s="105"/>
      <c r="AW46" s="105"/>
      <c r="AX46" s="104"/>
    </row>
    <row r="47" spans="1:50" x14ac:dyDescent="0.2">
      <c r="A47" s="252">
        <v>84802</v>
      </c>
      <c r="B47" s="253">
        <v>2016</v>
      </c>
      <c r="C47" s="252" t="s">
        <v>93</v>
      </c>
      <c r="D47" s="262"/>
      <c r="E47" s="255">
        <v>139</v>
      </c>
      <c r="F47" s="287"/>
      <c r="G47" s="287"/>
      <c r="H47" s="287"/>
      <c r="I47" s="287"/>
      <c r="J47" s="287"/>
      <c r="K47" s="287"/>
      <c r="L47" s="287"/>
      <c r="M47" s="287"/>
      <c r="N47" s="287"/>
      <c r="O47" s="287"/>
      <c r="P47" s="287"/>
      <c r="Q47" s="443">
        <v>6</v>
      </c>
      <c r="R47" s="439">
        <f t="shared" si="0"/>
        <v>6</v>
      </c>
      <c r="S47" s="440">
        <f t="shared" si="8"/>
        <v>6</v>
      </c>
      <c r="T47" s="441">
        <f t="shared" si="9"/>
        <v>22.166666666666668</v>
      </c>
      <c r="U47" s="461">
        <f t="shared" si="7"/>
        <v>133</v>
      </c>
      <c r="V47" s="112">
        <v>2016</v>
      </c>
      <c r="W47" s="252" t="s">
        <v>93</v>
      </c>
      <c r="X47" s="104"/>
      <c r="Y47" s="104"/>
      <c r="Z47" s="104"/>
      <c r="AA47" s="104"/>
      <c r="AB47" s="144">
        <v>42986</v>
      </c>
      <c r="AC47" s="145">
        <v>2016</v>
      </c>
      <c r="AD47" s="145" t="s">
        <v>216</v>
      </c>
      <c r="AE47" s="145">
        <v>50</v>
      </c>
      <c r="AF47" s="104"/>
      <c r="AG47" s="104"/>
      <c r="AH47" s="104"/>
      <c r="AI47" s="104"/>
      <c r="AJ47" s="104"/>
      <c r="AK47" s="104"/>
      <c r="AL47" s="104"/>
      <c r="AM47" s="104"/>
      <c r="AN47" s="104"/>
      <c r="AO47" s="104"/>
      <c r="AP47" s="104"/>
      <c r="AQ47" s="104"/>
      <c r="AR47" s="104"/>
      <c r="AS47" s="104"/>
      <c r="AT47" s="155"/>
      <c r="AU47" s="105"/>
      <c r="AV47" s="105"/>
      <c r="AW47" s="105"/>
      <c r="AX47" s="104"/>
    </row>
    <row r="48" spans="1:50" x14ac:dyDescent="0.2">
      <c r="A48" s="252" t="s">
        <v>35</v>
      </c>
      <c r="B48" s="253">
        <v>2016</v>
      </c>
      <c r="C48" s="252" t="s">
        <v>217</v>
      </c>
      <c r="D48" s="262"/>
      <c r="E48" s="255">
        <v>454</v>
      </c>
      <c r="F48" s="287"/>
      <c r="G48" s="287"/>
      <c r="H48" s="287"/>
      <c r="I48" s="287"/>
      <c r="J48" s="287"/>
      <c r="K48" s="287"/>
      <c r="L48" s="287"/>
      <c r="M48" s="287"/>
      <c r="N48" s="287"/>
      <c r="O48" s="287"/>
      <c r="P48" s="287"/>
      <c r="Q48" s="287"/>
      <c r="R48" s="439">
        <f t="shared" si="0"/>
        <v>0</v>
      </c>
      <c r="S48" s="440">
        <f t="shared" si="8"/>
        <v>0</v>
      </c>
      <c r="T48" s="441">
        <f t="shared" si="9"/>
        <v>0</v>
      </c>
      <c r="U48" s="461">
        <f t="shared" si="7"/>
        <v>454</v>
      </c>
      <c r="V48" s="112">
        <v>2016</v>
      </c>
      <c r="W48" s="252" t="s">
        <v>26</v>
      </c>
      <c r="X48" s="104"/>
      <c r="Y48" s="104"/>
      <c r="Z48" s="104"/>
      <c r="AA48" s="104"/>
      <c r="AB48" s="144">
        <v>43056</v>
      </c>
      <c r="AC48" s="145">
        <v>2015</v>
      </c>
      <c r="AD48" s="145" t="s">
        <v>218</v>
      </c>
      <c r="AE48" s="145">
        <v>49.5</v>
      </c>
      <c r="AF48" s="104"/>
      <c r="AG48" s="104"/>
      <c r="AH48" s="104"/>
      <c r="AI48" s="104"/>
      <c r="AJ48" s="104"/>
      <c r="AK48" s="104"/>
      <c r="AL48" s="104"/>
      <c r="AM48" s="104"/>
      <c r="AN48" s="104"/>
      <c r="AO48" s="104"/>
      <c r="AP48" s="104"/>
      <c r="AQ48" s="104"/>
      <c r="AR48" s="104"/>
      <c r="AS48" s="104"/>
      <c r="AT48" s="104"/>
      <c r="AU48" s="104"/>
      <c r="AV48" s="104"/>
      <c r="AW48" s="104"/>
      <c r="AX48" s="104"/>
    </row>
    <row r="49" spans="1:32" x14ac:dyDescent="0.2">
      <c r="A49" s="252">
        <v>27736</v>
      </c>
      <c r="B49" s="253">
        <v>2016</v>
      </c>
      <c r="C49" s="252" t="s">
        <v>70</v>
      </c>
      <c r="D49" s="262"/>
      <c r="E49" s="255">
        <v>800</v>
      </c>
      <c r="F49" s="287"/>
      <c r="G49" s="287"/>
      <c r="H49" s="287"/>
      <c r="I49" s="287"/>
      <c r="J49" s="287"/>
      <c r="K49" s="287"/>
      <c r="L49" s="287"/>
      <c r="M49" s="287"/>
      <c r="N49" s="443">
        <v>16</v>
      </c>
      <c r="O49" s="443">
        <v>0</v>
      </c>
      <c r="P49" s="443">
        <v>34</v>
      </c>
      <c r="Q49" s="443">
        <v>23</v>
      </c>
      <c r="R49" s="439">
        <f t="shared" si="0"/>
        <v>73</v>
      </c>
      <c r="S49" s="440">
        <f t="shared" si="8"/>
        <v>18.25</v>
      </c>
      <c r="T49" s="441">
        <f t="shared" si="9"/>
        <v>39.835616438356162</v>
      </c>
      <c r="U49" s="461">
        <f t="shared" si="7"/>
        <v>727</v>
      </c>
      <c r="V49" s="112">
        <v>2016</v>
      </c>
      <c r="W49" s="252" t="s">
        <v>70</v>
      </c>
      <c r="X49" s="104"/>
      <c r="Y49" s="104"/>
      <c r="Z49" s="104"/>
      <c r="AA49" s="104"/>
      <c r="AB49" s="144">
        <v>43074</v>
      </c>
      <c r="AC49" s="145">
        <v>2016</v>
      </c>
      <c r="AD49" s="145" t="s">
        <v>219</v>
      </c>
      <c r="AE49" s="145">
        <v>194</v>
      </c>
      <c r="AF49" s="104" t="s">
        <v>157</v>
      </c>
    </row>
    <row r="50" spans="1:32" x14ac:dyDescent="0.2">
      <c r="A50" s="252">
        <v>28361</v>
      </c>
      <c r="B50" s="253">
        <v>2016</v>
      </c>
      <c r="C50" s="252" t="s">
        <v>24</v>
      </c>
      <c r="D50" s="262"/>
      <c r="E50" s="255">
        <v>194</v>
      </c>
      <c r="F50" s="287"/>
      <c r="G50" s="287"/>
      <c r="H50" s="287"/>
      <c r="I50" s="287"/>
      <c r="J50" s="287"/>
      <c r="K50" s="287"/>
      <c r="L50" s="287"/>
      <c r="M50" s="287"/>
      <c r="N50" s="287"/>
      <c r="O50" s="287"/>
      <c r="P50" s="287"/>
      <c r="Q50" s="443">
        <v>19</v>
      </c>
      <c r="R50" s="439">
        <f t="shared" si="0"/>
        <v>19</v>
      </c>
      <c r="S50" s="440">
        <f t="shared" si="8"/>
        <v>19</v>
      </c>
      <c r="T50" s="441">
        <f t="shared" si="9"/>
        <v>9.2105263157894743</v>
      </c>
      <c r="U50" s="461">
        <f t="shared" si="7"/>
        <v>175</v>
      </c>
      <c r="V50" s="112">
        <v>2016</v>
      </c>
      <c r="W50" s="252" t="s">
        <v>24</v>
      </c>
      <c r="X50" s="104"/>
      <c r="Y50" s="104"/>
      <c r="Z50" s="104"/>
      <c r="AA50" s="104"/>
      <c r="AB50" s="144">
        <v>43074</v>
      </c>
      <c r="AC50" s="145">
        <v>2016</v>
      </c>
      <c r="AD50" s="145" t="s">
        <v>220</v>
      </c>
      <c r="AE50" s="145">
        <v>904</v>
      </c>
      <c r="AF50" s="104" t="s">
        <v>157</v>
      </c>
    </row>
    <row r="51" spans="1:32" x14ac:dyDescent="0.2">
      <c r="A51" s="252">
        <v>22921</v>
      </c>
      <c r="B51" s="253">
        <v>2016</v>
      </c>
      <c r="C51" s="252" t="s">
        <v>221</v>
      </c>
      <c r="D51" s="262"/>
      <c r="E51" s="255">
        <v>1015</v>
      </c>
      <c r="F51" s="287"/>
      <c r="G51" s="287"/>
      <c r="H51" s="287"/>
      <c r="I51" s="287"/>
      <c r="J51" s="287"/>
      <c r="K51" s="287"/>
      <c r="L51" s="287"/>
      <c r="M51" s="287"/>
      <c r="N51" s="287"/>
      <c r="O51" s="287"/>
      <c r="P51" s="287"/>
      <c r="Q51" s="443">
        <v>0</v>
      </c>
      <c r="R51" s="439">
        <f t="shared" si="0"/>
        <v>0</v>
      </c>
      <c r="S51" s="440">
        <f t="shared" si="8"/>
        <v>0</v>
      </c>
      <c r="T51" s="441">
        <f t="shared" si="9"/>
        <v>0</v>
      </c>
      <c r="U51" s="461">
        <f t="shared" si="7"/>
        <v>1015</v>
      </c>
      <c r="V51" s="112">
        <v>2016</v>
      </c>
      <c r="W51" s="252" t="s">
        <v>22</v>
      </c>
      <c r="X51" s="104"/>
      <c r="Y51" s="104"/>
      <c r="Z51" s="104"/>
      <c r="AA51" s="104"/>
      <c r="AB51" s="144">
        <v>43074</v>
      </c>
      <c r="AC51" s="145">
        <v>2016</v>
      </c>
      <c r="AD51" s="145" t="s">
        <v>222</v>
      </c>
      <c r="AE51" s="145">
        <v>167</v>
      </c>
      <c r="AF51" s="104" t="s">
        <v>223</v>
      </c>
    </row>
    <row r="52" spans="1:32" x14ac:dyDescent="0.2">
      <c r="A52" s="361">
        <v>34641</v>
      </c>
      <c r="B52" s="253">
        <v>2016</v>
      </c>
      <c r="C52" s="361" t="s">
        <v>66</v>
      </c>
      <c r="D52" s="262"/>
      <c r="E52" s="255">
        <v>620</v>
      </c>
      <c r="F52" s="287"/>
      <c r="G52" s="287"/>
      <c r="H52" s="287"/>
      <c r="I52" s="287"/>
      <c r="J52" s="287"/>
      <c r="K52" s="287"/>
      <c r="L52" s="287"/>
      <c r="M52" s="287"/>
      <c r="N52" s="287"/>
      <c r="O52" s="287"/>
      <c r="P52" s="287"/>
      <c r="Q52" s="443">
        <v>8</v>
      </c>
      <c r="R52" s="439">
        <f t="shared" si="0"/>
        <v>8</v>
      </c>
      <c r="S52" s="440">
        <f t="shared" si="8"/>
        <v>8</v>
      </c>
      <c r="T52" s="441">
        <f t="shared" si="9"/>
        <v>76.5</v>
      </c>
      <c r="U52" s="461">
        <f t="shared" si="7"/>
        <v>612</v>
      </c>
      <c r="V52" s="112">
        <v>2016</v>
      </c>
      <c r="W52" s="361" t="s">
        <v>66</v>
      </c>
      <c r="X52" s="104"/>
      <c r="Y52" s="104"/>
      <c r="Z52" s="104"/>
      <c r="AA52" s="104"/>
      <c r="AB52" s="144">
        <v>43075</v>
      </c>
      <c r="AC52" s="145">
        <v>2016</v>
      </c>
      <c r="AD52" s="145" t="s">
        <v>224</v>
      </c>
      <c r="AE52" s="145">
        <v>274</v>
      </c>
      <c r="AF52" s="104"/>
    </row>
    <row r="53" spans="1:32" x14ac:dyDescent="0.2">
      <c r="A53" s="252">
        <v>115264</v>
      </c>
      <c r="B53" s="253">
        <v>2016</v>
      </c>
      <c r="C53" s="252" t="s">
        <v>225</v>
      </c>
      <c r="D53" s="262"/>
      <c r="E53" s="255">
        <v>344</v>
      </c>
      <c r="F53" s="287"/>
      <c r="G53" s="287"/>
      <c r="H53" s="287"/>
      <c r="I53" s="287"/>
      <c r="J53" s="287"/>
      <c r="K53" s="287"/>
      <c r="L53" s="287"/>
      <c r="M53" s="287"/>
      <c r="N53" s="287"/>
      <c r="O53" s="287"/>
      <c r="P53" s="287"/>
      <c r="Q53" s="443">
        <v>5</v>
      </c>
      <c r="R53" s="439">
        <f t="shared" si="0"/>
        <v>5</v>
      </c>
      <c r="S53" s="440">
        <f t="shared" si="8"/>
        <v>5</v>
      </c>
      <c r="T53" s="441">
        <f t="shared" si="9"/>
        <v>67.8</v>
      </c>
      <c r="U53" s="461">
        <f t="shared" si="7"/>
        <v>339</v>
      </c>
      <c r="V53" s="112">
        <v>2016</v>
      </c>
      <c r="W53" s="252" t="s">
        <v>225</v>
      </c>
      <c r="X53" s="104"/>
      <c r="Y53" s="104"/>
      <c r="Z53" s="104"/>
      <c r="AA53" s="104"/>
      <c r="AB53" s="144">
        <v>43075</v>
      </c>
      <c r="AC53" s="145">
        <v>2015</v>
      </c>
      <c r="AD53" s="145" t="s">
        <v>226</v>
      </c>
      <c r="AE53" s="145">
        <v>213</v>
      </c>
      <c r="AF53" s="104"/>
    </row>
    <row r="54" spans="1:32" x14ac:dyDescent="0.2">
      <c r="A54" s="252">
        <v>86051</v>
      </c>
      <c r="B54" s="253">
        <v>2016</v>
      </c>
      <c r="C54" s="252" t="s">
        <v>94</v>
      </c>
      <c r="D54" s="262"/>
      <c r="E54" s="255">
        <v>116</v>
      </c>
      <c r="F54" s="287"/>
      <c r="G54" s="287"/>
      <c r="H54" s="287"/>
      <c r="I54" s="287"/>
      <c r="J54" s="287"/>
      <c r="K54" s="287"/>
      <c r="L54" s="287"/>
      <c r="M54" s="287"/>
      <c r="N54" s="287"/>
      <c r="O54" s="287"/>
      <c r="P54" s="287"/>
      <c r="Q54" s="443">
        <v>14</v>
      </c>
      <c r="R54" s="439">
        <f t="shared" si="0"/>
        <v>14</v>
      </c>
      <c r="S54" s="440">
        <f t="shared" si="8"/>
        <v>14</v>
      </c>
      <c r="T54" s="441">
        <f t="shared" si="9"/>
        <v>7.2857142857142856</v>
      </c>
      <c r="U54" s="461">
        <f t="shared" si="7"/>
        <v>102</v>
      </c>
      <c r="V54" s="112">
        <v>2016</v>
      </c>
      <c r="W54" s="252" t="s">
        <v>94</v>
      </c>
      <c r="X54" s="104"/>
      <c r="Y54" s="104"/>
      <c r="Z54" s="104"/>
      <c r="AA54" s="104"/>
      <c r="AB54" s="144">
        <v>43076</v>
      </c>
      <c r="AC54" s="145">
        <v>2016</v>
      </c>
      <c r="AD54" s="145" t="s">
        <v>227</v>
      </c>
      <c r="AE54" s="145">
        <v>139</v>
      </c>
      <c r="AF54" s="104" t="s">
        <v>157</v>
      </c>
    </row>
    <row r="55" spans="1:32" x14ac:dyDescent="0.2">
      <c r="A55" s="252">
        <v>28381</v>
      </c>
      <c r="B55" s="253">
        <v>2016</v>
      </c>
      <c r="C55" s="252" t="s">
        <v>100</v>
      </c>
      <c r="D55" s="262"/>
      <c r="E55" s="255"/>
      <c r="F55" s="287"/>
      <c r="G55" s="287"/>
      <c r="H55" s="287"/>
      <c r="I55" s="287"/>
      <c r="J55" s="287"/>
      <c r="K55" s="287"/>
      <c r="L55" s="287"/>
      <c r="M55" s="287"/>
      <c r="N55" s="287"/>
      <c r="O55" s="287"/>
      <c r="P55" s="287"/>
      <c r="Q55" s="287"/>
      <c r="R55" s="439">
        <f t="shared" si="0"/>
        <v>0</v>
      </c>
      <c r="S55" s="440">
        <f t="shared" si="8"/>
        <v>0</v>
      </c>
      <c r="T55" s="441">
        <f t="shared" si="9"/>
        <v>0</v>
      </c>
      <c r="U55" s="461">
        <f>SUM(E55-R55)</f>
        <v>0</v>
      </c>
      <c r="V55" s="112">
        <v>2016</v>
      </c>
      <c r="W55" s="252" t="s">
        <v>100</v>
      </c>
      <c r="X55" s="104"/>
      <c r="Y55" s="104"/>
      <c r="Z55" s="104"/>
      <c r="AA55" s="104"/>
      <c r="AB55" s="144">
        <v>43076</v>
      </c>
      <c r="AC55" s="145">
        <v>2016</v>
      </c>
      <c r="AD55" s="145" t="s">
        <v>228</v>
      </c>
      <c r="AE55" s="145">
        <v>620</v>
      </c>
      <c r="AF55" s="104" t="s">
        <v>157</v>
      </c>
    </row>
    <row r="56" spans="1:32" x14ac:dyDescent="0.2">
      <c r="A56" s="249"/>
      <c r="B56" s="249"/>
      <c r="C56" s="249"/>
      <c r="D56" s="249"/>
      <c r="E56" s="249"/>
      <c r="F56" s="249"/>
      <c r="G56" s="249"/>
      <c r="H56" s="249"/>
      <c r="I56" s="249"/>
      <c r="J56" s="249"/>
      <c r="K56" s="249"/>
      <c r="L56" s="249"/>
      <c r="M56" s="249"/>
      <c r="N56" s="249"/>
      <c r="O56" s="251"/>
      <c r="P56" s="251"/>
      <c r="Q56" s="249"/>
      <c r="R56" s="249"/>
      <c r="S56" s="249"/>
      <c r="T56" s="249"/>
      <c r="U56" s="251"/>
      <c r="V56" s="249"/>
      <c r="W56" s="249"/>
      <c r="X56" s="104"/>
      <c r="Y56" s="104"/>
      <c r="Z56" s="104"/>
      <c r="AA56" s="104"/>
      <c r="AB56" s="144">
        <v>43076</v>
      </c>
      <c r="AC56" s="145">
        <v>2016</v>
      </c>
      <c r="AD56" s="145" t="s">
        <v>229</v>
      </c>
      <c r="AE56" s="145">
        <v>503</v>
      </c>
      <c r="AF56" s="104" t="s">
        <v>223</v>
      </c>
    </row>
    <row r="57" spans="1:32" x14ac:dyDescent="0.2">
      <c r="A57" s="252"/>
      <c r="B57" s="112">
        <v>2013</v>
      </c>
      <c r="C57" s="252"/>
      <c r="D57" s="452"/>
      <c r="E57" s="359">
        <f t="shared" ref="E57:R57" si="10">SUM(E10:E11)</f>
        <v>291</v>
      </c>
      <c r="F57" s="359">
        <f t="shared" si="10"/>
        <v>35</v>
      </c>
      <c r="G57" s="359">
        <f t="shared" si="10"/>
        <v>35</v>
      </c>
      <c r="H57" s="359">
        <f t="shared" si="10"/>
        <v>31</v>
      </c>
      <c r="I57" s="359">
        <f t="shared" si="10"/>
        <v>37</v>
      </c>
      <c r="J57" s="359">
        <f t="shared" si="10"/>
        <v>24</v>
      </c>
      <c r="K57" s="359">
        <f t="shared" si="10"/>
        <v>21</v>
      </c>
      <c r="L57" s="359">
        <f t="shared" si="10"/>
        <v>62</v>
      </c>
      <c r="M57" s="359">
        <f t="shared" si="10"/>
        <v>18</v>
      </c>
      <c r="N57" s="359">
        <f t="shared" si="10"/>
        <v>0</v>
      </c>
      <c r="O57" s="359">
        <f t="shared" si="10"/>
        <v>0</v>
      </c>
      <c r="P57" s="359">
        <f t="shared" si="10"/>
        <v>0</v>
      </c>
      <c r="Q57" s="359">
        <f t="shared" si="10"/>
        <v>0</v>
      </c>
      <c r="R57" s="439">
        <f t="shared" si="10"/>
        <v>263</v>
      </c>
      <c r="S57" s="453">
        <f>AVERAGE(F57:Q57)</f>
        <v>21.916666666666668</v>
      </c>
      <c r="T57" s="454">
        <f>U57/S57</f>
        <v>1.2775665399239544</v>
      </c>
      <c r="U57" s="461">
        <f>SUM(E57-R57)</f>
        <v>28</v>
      </c>
      <c r="V57" s="112">
        <v>2013</v>
      </c>
      <c r="W57" s="252"/>
      <c r="X57" s="104"/>
      <c r="Y57" s="104"/>
      <c r="Z57" s="104"/>
      <c r="AA57" s="104"/>
      <c r="AB57" s="144">
        <v>43076</v>
      </c>
      <c r="AC57" s="145">
        <v>2016</v>
      </c>
      <c r="AD57" s="145" t="s">
        <v>230</v>
      </c>
      <c r="AE57" s="145">
        <v>116</v>
      </c>
      <c r="AF57" s="104" t="s">
        <v>157</v>
      </c>
    </row>
    <row r="58" spans="1:32" x14ac:dyDescent="0.2">
      <c r="A58" s="252"/>
      <c r="B58" s="112">
        <v>2014</v>
      </c>
      <c r="C58" s="252"/>
      <c r="D58" s="452"/>
      <c r="E58" s="359">
        <f t="shared" ref="E58:R58" si="11">SUM(E13:E23)</f>
        <v>2157</v>
      </c>
      <c r="F58" s="359">
        <f t="shared" si="11"/>
        <v>188</v>
      </c>
      <c r="G58" s="359">
        <f t="shared" si="11"/>
        <v>314</v>
      </c>
      <c r="H58" s="359">
        <f t="shared" si="11"/>
        <v>248</v>
      </c>
      <c r="I58" s="359">
        <f t="shared" si="11"/>
        <v>230</v>
      </c>
      <c r="J58" s="359">
        <f t="shared" si="11"/>
        <v>175</v>
      </c>
      <c r="K58" s="359">
        <f t="shared" si="11"/>
        <v>179</v>
      </c>
      <c r="L58" s="359">
        <f t="shared" si="11"/>
        <v>133</v>
      </c>
      <c r="M58" s="359">
        <f t="shared" si="11"/>
        <v>164</v>
      </c>
      <c r="N58" s="359">
        <f t="shared" si="11"/>
        <v>83</v>
      </c>
      <c r="O58" s="359">
        <f t="shared" si="11"/>
        <v>67</v>
      </c>
      <c r="P58" s="359">
        <f t="shared" si="11"/>
        <v>88</v>
      </c>
      <c r="Q58" s="359">
        <f t="shared" si="11"/>
        <v>81</v>
      </c>
      <c r="R58" s="439">
        <f t="shared" si="11"/>
        <v>1950</v>
      </c>
      <c r="S58" s="453">
        <f>AVERAGE(F58:Q58)</f>
        <v>162.5</v>
      </c>
      <c r="T58" s="454">
        <f>U58/S58</f>
        <v>1.2738461538461539</v>
      </c>
      <c r="U58" s="461">
        <f>SUM(E58-R58)</f>
        <v>207</v>
      </c>
      <c r="V58" s="112">
        <v>2014</v>
      </c>
      <c r="W58" s="252"/>
      <c r="X58" s="104"/>
      <c r="Y58" s="104"/>
      <c r="Z58" s="104"/>
      <c r="AA58" s="104"/>
      <c r="AB58" s="144">
        <v>43089</v>
      </c>
      <c r="AC58" s="145">
        <v>2014</v>
      </c>
      <c r="AD58" s="145" t="s">
        <v>231</v>
      </c>
      <c r="AE58" s="145">
        <v>344</v>
      </c>
      <c r="AF58" s="104" t="s">
        <v>157</v>
      </c>
    </row>
    <row r="59" spans="1:32" x14ac:dyDescent="0.2">
      <c r="A59" s="252"/>
      <c r="B59" s="112">
        <v>2015</v>
      </c>
      <c r="C59" s="252"/>
      <c r="D59" s="452"/>
      <c r="E59" s="359">
        <f t="shared" ref="E59:Q59" si="12">SUM(E25:E36)</f>
        <v>3266</v>
      </c>
      <c r="F59" s="359">
        <f t="shared" si="12"/>
        <v>64</v>
      </c>
      <c r="G59" s="359">
        <f t="shared" si="12"/>
        <v>20</v>
      </c>
      <c r="H59" s="359">
        <f t="shared" si="12"/>
        <v>147</v>
      </c>
      <c r="I59" s="359">
        <f t="shared" si="12"/>
        <v>123</v>
      </c>
      <c r="J59" s="359">
        <f t="shared" si="12"/>
        <v>272</v>
      </c>
      <c r="K59" s="359">
        <f t="shared" si="12"/>
        <v>118</v>
      </c>
      <c r="L59" s="359">
        <f t="shared" si="12"/>
        <v>259</v>
      </c>
      <c r="M59" s="359">
        <f t="shared" si="12"/>
        <v>162</v>
      </c>
      <c r="N59" s="359">
        <f t="shared" si="12"/>
        <v>221</v>
      </c>
      <c r="O59" s="359">
        <f t="shared" si="12"/>
        <v>200</v>
      </c>
      <c r="P59" s="359">
        <f t="shared" si="12"/>
        <v>208</v>
      </c>
      <c r="Q59" s="359">
        <f t="shared" si="12"/>
        <v>226</v>
      </c>
      <c r="R59" s="439">
        <f>SUM(R13:R22)</f>
        <v>1845</v>
      </c>
      <c r="S59" s="453">
        <f>AVERAGE(F59:Q59)</f>
        <v>168.33333333333334</v>
      </c>
      <c r="T59" s="454">
        <f>U59/S59</f>
        <v>8.4415841584158411</v>
      </c>
      <c r="U59" s="461">
        <f>SUM(E59-R59)</f>
        <v>1421</v>
      </c>
      <c r="V59" s="112">
        <v>2015</v>
      </c>
      <c r="W59" s="252"/>
      <c r="X59" s="104"/>
      <c r="Y59" s="104"/>
      <c r="Z59" s="104"/>
      <c r="AA59" s="104"/>
      <c r="AB59" s="144">
        <v>43111</v>
      </c>
      <c r="AC59" s="145">
        <v>2016</v>
      </c>
      <c r="AD59" s="145" t="s">
        <v>217</v>
      </c>
      <c r="AE59" s="145">
        <v>454</v>
      </c>
      <c r="AF59" s="104"/>
    </row>
    <row r="60" spans="1:32" x14ac:dyDescent="0.2">
      <c r="A60" s="252"/>
      <c r="B60" s="112">
        <v>2016</v>
      </c>
      <c r="C60" s="252"/>
      <c r="D60" s="452"/>
      <c r="E60" s="359">
        <f>SUM(E38:E55)</f>
        <v>7278</v>
      </c>
      <c r="F60" s="359">
        <f t="shared" ref="F60:Q60" si="13">SUM(F38:F55)</f>
        <v>0</v>
      </c>
      <c r="G60" s="359">
        <f t="shared" si="13"/>
        <v>0</v>
      </c>
      <c r="H60" s="359">
        <f t="shared" si="13"/>
        <v>0</v>
      </c>
      <c r="I60" s="359">
        <f t="shared" si="13"/>
        <v>55</v>
      </c>
      <c r="J60" s="359">
        <f t="shared" si="13"/>
        <v>147</v>
      </c>
      <c r="K60" s="359">
        <f t="shared" si="13"/>
        <v>141</v>
      </c>
      <c r="L60" s="359">
        <f t="shared" si="13"/>
        <v>121</v>
      </c>
      <c r="M60" s="359">
        <f t="shared" si="13"/>
        <v>200</v>
      </c>
      <c r="N60" s="359">
        <f t="shared" si="13"/>
        <v>205</v>
      </c>
      <c r="O60" s="359">
        <f t="shared" si="13"/>
        <v>165</v>
      </c>
      <c r="P60" s="359">
        <f t="shared" si="13"/>
        <v>205</v>
      </c>
      <c r="Q60" s="359">
        <f t="shared" si="13"/>
        <v>212</v>
      </c>
      <c r="R60" s="439"/>
      <c r="S60" s="453"/>
      <c r="T60" s="454"/>
      <c r="U60" s="461"/>
      <c r="V60" s="112"/>
      <c r="W60" s="252"/>
      <c r="X60" s="104"/>
      <c r="Y60" s="104"/>
      <c r="Z60" s="104"/>
      <c r="AA60" s="104"/>
      <c r="AB60" s="144">
        <v>43111</v>
      </c>
      <c r="AC60" s="145">
        <v>2016</v>
      </c>
      <c r="AD60" s="145" t="s">
        <v>232</v>
      </c>
      <c r="AE60" s="145">
        <v>384</v>
      </c>
      <c r="AF60" s="104"/>
    </row>
    <row r="61" spans="1:32" x14ac:dyDescent="0.2">
      <c r="A61" s="252"/>
      <c r="B61" s="116" t="s">
        <v>78</v>
      </c>
      <c r="C61" s="252"/>
      <c r="D61" s="452"/>
      <c r="E61" s="455">
        <f t="shared" ref="E61:S61" si="14">SUM(E38:E59)</f>
        <v>12992</v>
      </c>
      <c r="F61" s="455">
        <f t="shared" si="14"/>
        <v>287</v>
      </c>
      <c r="G61" s="455">
        <f t="shared" si="14"/>
        <v>369</v>
      </c>
      <c r="H61" s="455">
        <f t="shared" si="14"/>
        <v>426</v>
      </c>
      <c r="I61" s="455">
        <f t="shared" si="14"/>
        <v>445</v>
      </c>
      <c r="J61" s="455">
        <f t="shared" si="14"/>
        <v>618</v>
      </c>
      <c r="K61" s="455">
        <f t="shared" si="14"/>
        <v>459</v>
      </c>
      <c r="L61" s="455">
        <f t="shared" si="14"/>
        <v>575</v>
      </c>
      <c r="M61" s="455">
        <f t="shared" si="14"/>
        <v>544</v>
      </c>
      <c r="N61" s="455">
        <f t="shared" si="14"/>
        <v>509</v>
      </c>
      <c r="O61" s="455">
        <f t="shared" si="14"/>
        <v>432</v>
      </c>
      <c r="P61" s="455">
        <f t="shared" si="14"/>
        <v>501</v>
      </c>
      <c r="Q61" s="455">
        <f t="shared" si="14"/>
        <v>519</v>
      </c>
      <c r="R61" s="439">
        <f t="shared" si="14"/>
        <v>5509</v>
      </c>
      <c r="S61" s="308">
        <f t="shared" si="14"/>
        <v>615.68253968253964</v>
      </c>
      <c r="T61" s="441">
        <f>U61/S61</f>
        <v>12.15399092502836</v>
      </c>
      <c r="U61" s="461">
        <f>SUM(E61-R61)</f>
        <v>7483</v>
      </c>
      <c r="V61" s="116" t="s">
        <v>78</v>
      </c>
      <c r="W61" s="252"/>
      <c r="X61" s="104"/>
      <c r="Y61" s="104"/>
      <c r="Z61" s="104"/>
      <c r="AA61" s="104"/>
      <c r="AB61" s="144"/>
      <c r="AC61" s="145"/>
      <c r="AD61" s="145"/>
      <c r="AE61" s="145"/>
      <c r="AF61" s="104"/>
    </row>
    <row r="62" spans="1:32" x14ac:dyDescent="0.2">
      <c r="A62" s="249"/>
      <c r="B62" s="117"/>
      <c r="C62" s="117"/>
      <c r="D62" s="118"/>
      <c r="E62" s="119"/>
      <c r="F62" s="119"/>
      <c r="G62" s="119"/>
      <c r="H62" s="119"/>
      <c r="I62" s="119"/>
      <c r="J62" s="119"/>
      <c r="K62" s="120"/>
      <c r="L62" s="120"/>
      <c r="M62" s="120"/>
      <c r="N62" s="120"/>
      <c r="O62" s="120"/>
      <c r="P62" s="120"/>
      <c r="Q62" s="120"/>
      <c r="R62" s="117"/>
      <c r="S62" s="118"/>
      <c r="T62" s="121"/>
      <c r="U62" s="160"/>
      <c r="V62" s="117"/>
      <c r="W62" s="117"/>
      <c r="X62" s="104"/>
      <c r="Y62" s="104"/>
      <c r="Z62" s="104"/>
      <c r="AA62" s="104"/>
      <c r="AB62" s="144"/>
      <c r="AC62" s="145"/>
      <c r="AD62" s="145"/>
      <c r="AE62" s="145"/>
      <c r="AF62" s="104"/>
    </row>
    <row r="63" spans="1:32" x14ac:dyDescent="0.2">
      <c r="A63" s="104"/>
      <c r="B63" s="104"/>
      <c r="C63" s="104"/>
      <c r="D63" s="123"/>
      <c r="E63" s="124"/>
      <c r="F63" s="124"/>
      <c r="G63" s="124"/>
      <c r="H63" s="124"/>
      <c r="I63" s="124"/>
      <c r="J63" s="124"/>
      <c r="K63" s="105"/>
      <c r="L63" s="105"/>
      <c r="M63" s="105"/>
      <c r="N63" s="105"/>
      <c r="O63" s="105"/>
      <c r="P63" s="105"/>
      <c r="Q63" s="105"/>
      <c r="R63" s="104"/>
      <c r="S63" s="123"/>
      <c r="T63" s="125"/>
      <c r="U63" s="105"/>
      <c r="V63" s="104"/>
      <c r="W63" s="104"/>
      <c r="X63" s="104"/>
      <c r="Y63" s="104"/>
      <c r="Z63" s="104"/>
      <c r="AA63" s="104"/>
      <c r="AB63" s="144"/>
      <c r="AC63" s="145"/>
      <c r="AD63" s="145"/>
      <c r="AE63" s="145"/>
      <c r="AF63" s="104"/>
    </row>
    <row r="64" spans="1:32" ht="15.75" x14ac:dyDescent="0.25">
      <c r="A64" s="104"/>
      <c r="B64" s="126" t="s">
        <v>129</v>
      </c>
      <c r="C64" s="126"/>
      <c r="D64" s="123"/>
      <c r="E64" s="105"/>
      <c r="F64" s="105"/>
      <c r="G64" s="105"/>
      <c r="H64" s="105"/>
      <c r="I64" s="105"/>
      <c r="J64" s="105"/>
      <c r="K64" s="105"/>
      <c r="L64" s="105"/>
      <c r="M64" s="105"/>
      <c r="N64" s="105"/>
      <c r="O64" s="105"/>
      <c r="P64" s="105"/>
      <c r="Q64" s="105"/>
      <c r="R64" s="104"/>
      <c r="S64" s="123"/>
      <c r="T64" s="125"/>
      <c r="U64" s="105"/>
      <c r="V64" s="126" t="s">
        <v>129</v>
      </c>
      <c r="W64" s="126"/>
      <c r="X64" s="104"/>
      <c r="Y64" s="104"/>
      <c r="Z64" s="104"/>
      <c r="AA64" s="104"/>
      <c r="AB64" s="144"/>
      <c r="AC64" s="145"/>
      <c r="AD64" s="145"/>
      <c r="AE64" s="145"/>
      <c r="AF64" s="104"/>
    </row>
    <row r="65" spans="1:32" x14ac:dyDescent="0.2">
      <c r="A65" s="104"/>
      <c r="B65" s="104"/>
      <c r="C65" s="104"/>
      <c r="D65" s="123"/>
      <c r="E65" s="105"/>
      <c r="F65" s="105"/>
      <c r="G65" s="105"/>
      <c r="H65" s="105"/>
      <c r="I65" s="105"/>
      <c r="J65" s="105"/>
      <c r="K65" s="105"/>
      <c r="L65" s="105"/>
      <c r="M65" s="105"/>
      <c r="N65" s="105"/>
      <c r="O65" s="105"/>
      <c r="P65" s="105"/>
      <c r="Q65" s="105"/>
      <c r="R65" s="104"/>
      <c r="S65" s="123"/>
      <c r="T65" s="125"/>
      <c r="U65" s="105"/>
      <c r="V65" s="104"/>
      <c r="W65" s="104"/>
      <c r="X65" s="104"/>
      <c r="Y65" s="104"/>
      <c r="Z65" s="104"/>
      <c r="AA65" s="104"/>
      <c r="AB65" s="144"/>
      <c r="AC65" s="145"/>
      <c r="AD65" s="145"/>
      <c r="AE65" s="145"/>
      <c r="AF65" s="104"/>
    </row>
    <row r="66" spans="1:32" x14ac:dyDescent="0.2">
      <c r="A66" s="249"/>
      <c r="B66" s="249"/>
      <c r="C66" s="249"/>
      <c r="D66" s="249"/>
      <c r="E66" s="249"/>
      <c r="F66" s="249"/>
      <c r="G66" s="249"/>
      <c r="H66" s="249"/>
      <c r="I66" s="249"/>
      <c r="J66" s="249"/>
      <c r="K66" s="249"/>
      <c r="L66" s="249"/>
      <c r="M66" s="249"/>
      <c r="N66" s="249"/>
      <c r="O66" s="251"/>
      <c r="P66" s="251"/>
      <c r="Q66" s="249"/>
      <c r="R66" s="249"/>
      <c r="S66" s="249"/>
      <c r="T66" s="249"/>
      <c r="U66" s="251"/>
      <c r="V66" s="249"/>
      <c r="W66" s="249"/>
      <c r="X66" s="104"/>
      <c r="Y66" s="104"/>
      <c r="Z66" s="104"/>
      <c r="AA66" s="104"/>
      <c r="AB66" s="144"/>
      <c r="AC66" s="145"/>
      <c r="AD66" s="145"/>
      <c r="AE66" s="145"/>
      <c r="AF66" s="104"/>
    </row>
    <row r="67" spans="1:32" x14ac:dyDescent="0.2">
      <c r="A67" s="252">
        <v>100465</v>
      </c>
      <c r="B67" s="253">
        <v>2014</v>
      </c>
      <c r="C67" s="252" t="s">
        <v>135</v>
      </c>
      <c r="D67" s="273"/>
      <c r="E67" s="287">
        <v>284</v>
      </c>
      <c r="F67" s="443">
        <v>0</v>
      </c>
      <c r="G67" s="443">
        <v>0</v>
      </c>
      <c r="H67" s="443">
        <v>0</v>
      </c>
      <c r="I67" s="443">
        <v>0</v>
      </c>
      <c r="J67" s="443">
        <v>0</v>
      </c>
      <c r="K67" s="443">
        <v>0</v>
      </c>
      <c r="L67" s="443">
        <v>0</v>
      </c>
      <c r="M67" s="443">
        <v>0</v>
      </c>
      <c r="N67" s="443"/>
      <c r="O67" s="443"/>
      <c r="P67" s="443"/>
      <c r="Q67" s="443"/>
      <c r="R67" s="439">
        <f>SUM(F67:Q67)</f>
        <v>0</v>
      </c>
      <c r="S67" s="440">
        <f>IFERROR((AVERAGE(F67:Q67)),0)</f>
        <v>0</v>
      </c>
      <c r="T67" s="441">
        <f>IFERROR((U67/S67),0)</f>
        <v>0</v>
      </c>
      <c r="U67" s="461">
        <f>SUM(E67-R67)</f>
        <v>284</v>
      </c>
      <c r="V67" s="253">
        <v>2014</v>
      </c>
      <c r="W67" s="252" t="s">
        <v>130</v>
      </c>
      <c r="X67" s="104"/>
      <c r="Y67" s="104"/>
      <c r="Z67" s="104"/>
      <c r="AA67" s="104"/>
      <c r="AB67" s="144"/>
      <c r="AC67" s="145"/>
      <c r="AD67" s="145"/>
      <c r="AE67" s="145"/>
      <c r="AF67" s="104"/>
    </row>
    <row r="68" spans="1:32" x14ac:dyDescent="0.2">
      <c r="A68" s="252">
        <v>97511</v>
      </c>
      <c r="B68" s="492">
        <v>2014</v>
      </c>
      <c r="C68" s="252" t="s">
        <v>25</v>
      </c>
      <c r="D68" s="272"/>
      <c r="E68" s="255">
        <v>338</v>
      </c>
      <c r="F68" s="443">
        <v>0</v>
      </c>
      <c r="G68" s="443">
        <v>2</v>
      </c>
      <c r="H68" s="443">
        <v>0</v>
      </c>
      <c r="I68" s="443">
        <v>15</v>
      </c>
      <c r="J68" s="443">
        <v>0</v>
      </c>
      <c r="K68" s="443">
        <v>0</v>
      </c>
      <c r="L68" s="443">
        <v>0</v>
      </c>
      <c r="M68" s="443">
        <v>0</v>
      </c>
      <c r="N68" s="443"/>
      <c r="O68" s="443"/>
      <c r="P68" s="443"/>
      <c r="Q68" s="443"/>
      <c r="R68" s="439">
        <f>SUM(F68:Q68)</f>
        <v>17</v>
      </c>
      <c r="S68" s="440">
        <f>IFERROR((AVERAGE(F68:Q68)),0)</f>
        <v>2.125</v>
      </c>
      <c r="T68" s="441">
        <f>IFERROR((U68/S68),0)</f>
        <v>151.05882352941177</v>
      </c>
      <c r="U68" s="461">
        <f>SUM(E68-R68)</f>
        <v>321</v>
      </c>
      <c r="V68" s="492">
        <v>2014</v>
      </c>
      <c r="W68" s="252" t="s">
        <v>25</v>
      </c>
      <c r="X68" s="104"/>
      <c r="Y68" s="104"/>
      <c r="Z68" s="104"/>
      <c r="AA68" s="104"/>
      <c r="AB68" s="144"/>
      <c r="AC68" s="145"/>
      <c r="AD68" s="145"/>
      <c r="AE68" s="145"/>
      <c r="AF68" s="104"/>
    </row>
    <row r="69" spans="1:32" x14ac:dyDescent="0.2">
      <c r="A69" s="252">
        <v>102768</v>
      </c>
      <c r="B69" s="253">
        <v>2014</v>
      </c>
      <c r="C69" s="252" t="s">
        <v>131</v>
      </c>
      <c r="D69" s="273"/>
      <c r="E69" s="255">
        <v>116</v>
      </c>
      <c r="F69" s="443">
        <v>0</v>
      </c>
      <c r="G69" s="443">
        <v>6</v>
      </c>
      <c r="H69" s="443">
        <v>7</v>
      </c>
      <c r="I69" s="443">
        <v>0</v>
      </c>
      <c r="J69" s="443">
        <v>0</v>
      </c>
      <c r="K69" s="443">
        <v>16</v>
      </c>
      <c r="L69" s="443">
        <v>0</v>
      </c>
      <c r="M69" s="443">
        <v>0</v>
      </c>
      <c r="N69" s="443"/>
      <c r="O69" s="443"/>
      <c r="P69" s="443"/>
      <c r="Q69" s="443"/>
      <c r="R69" s="439">
        <f>SUM(F69:Q69)</f>
        <v>29</v>
      </c>
      <c r="S69" s="440">
        <f>IFERROR((AVERAGE(F69:Q69)),0)</f>
        <v>3.625</v>
      </c>
      <c r="T69" s="441">
        <f>IFERROR((U69/S69),0)</f>
        <v>24</v>
      </c>
      <c r="U69" s="461">
        <f>SUM(E69-R69)</f>
        <v>87</v>
      </c>
      <c r="V69" s="253">
        <v>2014</v>
      </c>
      <c r="W69" s="252" t="s">
        <v>131</v>
      </c>
      <c r="X69" s="104"/>
      <c r="Y69" s="104"/>
      <c r="Z69" s="104"/>
      <c r="AA69" s="104"/>
      <c r="AB69" s="144"/>
      <c r="AC69" s="145"/>
      <c r="AD69" s="145"/>
      <c r="AE69" s="145"/>
      <c r="AF69" s="104"/>
    </row>
    <row r="70" spans="1:32" x14ac:dyDescent="0.2">
      <c r="A70" s="252">
        <v>101639</v>
      </c>
      <c r="B70" s="253">
        <v>2014</v>
      </c>
      <c r="C70" s="252" t="s">
        <v>120</v>
      </c>
      <c r="D70" s="273"/>
      <c r="E70" s="255">
        <v>400</v>
      </c>
      <c r="F70" s="443">
        <v>0</v>
      </c>
      <c r="G70" s="443">
        <v>0</v>
      </c>
      <c r="H70" s="443">
        <v>0</v>
      </c>
      <c r="I70" s="443">
        <v>0</v>
      </c>
      <c r="J70" s="443">
        <v>0</v>
      </c>
      <c r="K70" s="443">
        <v>0</v>
      </c>
      <c r="L70" s="443">
        <v>0</v>
      </c>
      <c r="M70" s="443">
        <v>0</v>
      </c>
      <c r="N70" s="443"/>
      <c r="O70" s="443"/>
      <c r="P70" s="443"/>
      <c r="Q70" s="443"/>
      <c r="R70" s="439">
        <f>SUM(F70:Q70)</f>
        <v>0</v>
      </c>
      <c r="S70" s="440">
        <f>IFERROR((AVERAGE(F70:Q70)),0)</f>
        <v>0</v>
      </c>
      <c r="T70" s="441">
        <f>IFERROR((U70/S70),0)</f>
        <v>0</v>
      </c>
      <c r="U70" s="461">
        <f>SUM(E70-R70)</f>
        <v>400</v>
      </c>
      <c r="V70" s="253">
        <v>2014</v>
      </c>
      <c r="W70" s="252" t="s">
        <v>120</v>
      </c>
      <c r="X70" s="104"/>
      <c r="Y70" s="104"/>
      <c r="Z70" s="104"/>
      <c r="AA70" s="104"/>
      <c r="AB70" s="144"/>
      <c r="AC70" s="145"/>
      <c r="AD70" s="145"/>
      <c r="AE70" s="145"/>
      <c r="AF70" s="104"/>
    </row>
    <row r="71" spans="1:32" x14ac:dyDescent="0.2">
      <c r="A71" s="252">
        <v>100463</v>
      </c>
      <c r="B71" s="253">
        <v>2014</v>
      </c>
      <c r="C71" s="252" t="s">
        <v>233</v>
      </c>
      <c r="D71" s="273"/>
      <c r="E71" s="255">
        <v>65</v>
      </c>
      <c r="F71" s="443">
        <v>0</v>
      </c>
      <c r="G71" s="443">
        <v>1</v>
      </c>
      <c r="H71" s="443">
        <v>22</v>
      </c>
      <c r="I71" s="443">
        <v>0</v>
      </c>
      <c r="J71" s="443">
        <v>0</v>
      </c>
      <c r="K71" s="443">
        <v>0</v>
      </c>
      <c r="L71" s="443">
        <v>0</v>
      </c>
      <c r="M71" s="443">
        <v>0</v>
      </c>
      <c r="N71" s="443"/>
      <c r="O71" s="443"/>
      <c r="P71" s="443"/>
      <c r="Q71" s="443"/>
      <c r="R71" s="439">
        <f>SUM(F71:Q71)</f>
        <v>23</v>
      </c>
      <c r="S71" s="440">
        <f>IFERROR((AVERAGE(F71:Q71)),0)</f>
        <v>2.875</v>
      </c>
      <c r="T71" s="441">
        <f>IFERROR((U71/S71),0)</f>
        <v>14.608695652173912</v>
      </c>
      <c r="U71" s="461">
        <f>SUM(E71-R71)</f>
        <v>42</v>
      </c>
      <c r="V71" s="253">
        <v>2014</v>
      </c>
      <c r="W71" s="252" t="s">
        <v>132</v>
      </c>
      <c r="X71" s="104"/>
      <c r="Y71" s="104"/>
      <c r="Z71" s="104"/>
      <c r="AA71" s="104"/>
      <c r="AB71" s="144"/>
      <c r="AC71" s="145"/>
      <c r="AD71" s="145"/>
      <c r="AE71" s="145"/>
      <c r="AF71" s="104"/>
    </row>
    <row r="72" spans="1:32" ht="14.25" customHeight="1" x14ac:dyDescent="0.2">
      <c r="A72" s="249"/>
      <c r="B72" s="249"/>
      <c r="C72" s="249"/>
      <c r="D72" s="249"/>
      <c r="E72" s="249"/>
      <c r="F72" s="249"/>
      <c r="G72" s="249"/>
      <c r="H72" s="249"/>
      <c r="I72" s="249"/>
      <c r="J72" s="249"/>
      <c r="K72" s="249"/>
      <c r="L72" s="249"/>
      <c r="M72" s="249"/>
      <c r="N72" s="249"/>
      <c r="O72" s="251"/>
      <c r="P72" s="251"/>
      <c r="Q72" s="249"/>
      <c r="R72" s="249"/>
      <c r="S72" s="249"/>
      <c r="T72" s="249"/>
      <c r="U72" s="251"/>
      <c r="V72" s="249"/>
      <c r="W72" s="249"/>
      <c r="X72" s="104"/>
      <c r="Y72" s="104"/>
      <c r="Z72" s="104"/>
      <c r="AA72" s="104"/>
      <c r="AB72" s="144"/>
      <c r="AC72" s="145"/>
      <c r="AD72" s="145"/>
      <c r="AE72" s="145"/>
      <c r="AF72" s="104"/>
    </row>
    <row r="73" spans="1:32" x14ac:dyDescent="0.2">
      <c r="A73" s="252">
        <v>97509</v>
      </c>
      <c r="B73" s="253">
        <v>2015</v>
      </c>
      <c r="C73" s="252" t="s">
        <v>107</v>
      </c>
      <c r="D73" s="273"/>
      <c r="E73" s="255">
        <v>287</v>
      </c>
      <c r="F73" s="443">
        <v>2</v>
      </c>
      <c r="G73" s="443">
        <v>14</v>
      </c>
      <c r="H73" s="443">
        <v>46</v>
      </c>
      <c r="I73" s="443">
        <v>0</v>
      </c>
      <c r="J73" s="443">
        <v>3</v>
      </c>
      <c r="K73" s="443">
        <v>3</v>
      </c>
      <c r="L73" s="443">
        <v>4</v>
      </c>
      <c r="M73" s="443">
        <v>0</v>
      </c>
      <c r="N73" s="443"/>
      <c r="O73" s="443"/>
      <c r="P73" s="443"/>
      <c r="Q73" s="443"/>
      <c r="R73" s="439">
        <f t="shared" ref="R73:R80" si="15">SUM(F73:Q73)</f>
        <v>72</v>
      </c>
      <c r="S73" s="440">
        <f t="shared" ref="S73:S80" si="16">IFERROR((AVERAGE(F73:Q73)),0)</f>
        <v>9</v>
      </c>
      <c r="T73" s="441">
        <f>IFERROR((U73/S73),0)</f>
        <v>23.888888888888889</v>
      </c>
      <c r="U73" s="461">
        <f t="shared" ref="U73:U80" si="17">SUM(E73-R73)</f>
        <v>215</v>
      </c>
      <c r="V73" s="253">
        <v>2015</v>
      </c>
      <c r="W73" s="252" t="s">
        <v>107</v>
      </c>
      <c r="X73" s="104"/>
      <c r="Y73" s="104"/>
      <c r="Z73" s="104"/>
      <c r="AA73" s="104"/>
      <c r="AB73" s="144"/>
      <c r="AC73" s="145"/>
      <c r="AD73" s="145"/>
      <c r="AE73" s="145"/>
      <c r="AF73" s="104"/>
    </row>
    <row r="74" spans="1:32" x14ac:dyDescent="0.2">
      <c r="A74" s="252">
        <v>101636</v>
      </c>
      <c r="B74" s="492">
        <v>2015</v>
      </c>
      <c r="C74" s="252" t="s">
        <v>31</v>
      </c>
      <c r="D74" s="273"/>
      <c r="E74" s="255">
        <v>173</v>
      </c>
      <c r="F74" s="443">
        <v>0</v>
      </c>
      <c r="G74" s="443">
        <v>3</v>
      </c>
      <c r="H74" s="443">
        <v>0</v>
      </c>
      <c r="I74" s="443">
        <v>0</v>
      </c>
      <c r="J74" s="443">
        <v>0</v>
      </c>
      <c r="K74" s="443">
        <v>0</v>
      </c>
      <c r="L74" s="443">
        <v>0</v>
      </c>
      <c r="M74" s="443">
        <v>0</v>
      </c>
      <c r="N74" s="443"/>
      <c r="O74" s="443"/>
      <c r="P74" s="443"/>
      <c r="Q74" s="443"/>
      <c r="R74" s="439">
        <f t="shared" si="15"/>
        <v>3</v>
      </c>
      <c r="S74" s="440">
        <f t="shared" si="16"/>
        <v>0.375</v>
      </c>
      <c r="T74" s="441">
        <f>IFERROR((U74/S74),0)</f>
        <v>453.33333333333331</v>
      </c>
      <c r="U74" s="461">
        <f t="shared" si="17"/>
        <v>170</v>
      </c>
      <c r="V74" s="492">
        <v>2015</v>
      </c>
      <c r="W74" s="252" t="s">
        <v>31</v>
      </c>
      <c r="X74" s="104"/>
      <c r="Y74" s="104"/>
      <c r="Z74" s="104"/>
      <c r="AA74" s="104"/>
      <c r="AB74" s="144"/>
      <c r="AC74" s="145"/>
      <c r="AD74" s="145"/>
      <c r="AE74" s="145"/>
      <c r="AF74" s="104"/>
    </row>
    <row r="75" spans="1:32" x14ac:dyDescent="0.2">
      <c r="A75" s="252">
        <v>101819</v>
      </c>
      <c r="B75" s="493" t="s">
        <v>133</v>
      </c>
      <c r="C75" s="252" t="s">
        <v>134</v>
      </c>
      <c r="D75" s="272"/>
      <c r="E75" s="255">
        <v>82</v>
      </c>
      <c r="F75" s="443">
        <v>2</v>
      </c>
      <c r="G75" s="443">
        <v>4</v>
      </c>
      <c r="H75" s="443">
        <v>2</v>
      </c>
      <c r="I75" s="443">
        <v>0</v>
      </c>
      <c r="J75" s="443">
        <v>8</v>
      </c>
      <c r="K75" s="443">
        <v>0</v>
      </c>
      <c r="L75" s="443">
        <v>0</v>
      </c>
      <c r="M75" s="443">
        <v>0</v>
      </c>
      <c r="N75" s="443"/>
      <c r="O75" s="443"/>
      <c r="P75" s="443"/>
      <c r="Q75" s="443"/>
      <c r="R75" s="439">
        <f t="shared" si="15"/>
        <v>16</v>
      </c>
      <c r="S75" s="440">
        <f t="shared" si="16"/>
        <v>2</v>
      </c>
      <c r="T75" s="441">
        <f>IFERROR((U75/S75),0)</f>
        <v>33</v>
      </c>
      <c r="U75" s="461">
        <f>SUM(E75-R75)</f>
        <v>66</v>
      </c>
      <c r="V75" s="492" t="s">
        <v>35</v>
      </c>
      <c r="W75" s="252" t="s">
        <v>134</v>
      </c>
      <c r="X75" s="104"/>
      <c r="Y75" s="104"/>
      <c r="Z75" s="104"/>
      <c r="AA75" s="104"/>
      <c r="AB75" s="144"/>
      <c r="AC75" s="145"/>
      <c r="AD75" s="145"/>
      <c r="AE75" s="145"/>
      <c r="AF75" s="104"/>
    </row>
    <row r="76" spans="1:32" x14ac:dyDescent="0.2">
      <c r="A76" s="252">
        <v>101638</v>
      </c>
      <c r="B76" s="492">
        <v>2015</v>
      </c>
      <c r="C76" s="252" t="s">
        <v>26</v>
      </c>
      <c r="D76" s="272"/>
      <c r="E76" s="255">
        <v>299</v>
      </c>
      <c r="F76" s="443">
        <v>0</v>
      </c>
      <c r="G76" s="443">
        <v>0</v>
      </c>
      <c r="H76" s="443">
        <v>0</v>
      </c>
      <c r="I76" s="443">
        <v>0</v>
      </c>
      <c r="J76" s="443">
        <v>0</v>
      </c>
      <c r="K76" s="443">
        <v>0</v>
      </c>
      <c r="L76" s="443">
        <v>0</v>
      </c>
      <c r="M76" s="443">
        <v>0</v>
      </c>
      <c r="N76" s="443"/>
      <c r="O76" s="443"/>
      <c r="P76" s="443"/>
      <c r="Q76" s="443"/>
      <c r="R76" s="439">
        <f t="shared" si="15"/>
        <v>0</v>
      </c>
      <c r="S76" s="440">
        <f t="shared" si="16"/>
        <v>0</v>
      </c>
      <c r="T76" s="441">
        <f>IFERROR((U76/S76),0)</f>
        <v>0</v>
      </c>
      <c r="U76" s="461">
        <f>SUM(E76-R76)</f>
        <v>299</v>
      </c>
      <c r="V76" s="492">
        <v>2015</v>
      </c>
      <c r="W76" s="252" t="s">
        <v>26</v>
      </c>
      <c r="X76" s="104"/>
      <c r="Y76" s="104"/>
      <c r="Z76" s="104"/>
      <c r="AA76" s="104"/>
      <c r="AB76" s="144"/>
      <c r="AC76" s="145"/>
      <c r="AD76" s="145"/>
      <c r="AE76" s="145"/>
      <c r="AF76" s="104"/>
    </row>
    <row r="77" spans="1:32" x14ac:dyDescent="0.2">
      <c r="A77" s="252">
        <v>100464</v>
      </c>
      <c r="B77" s="492">
        <v>2015</v>
      </c>
      <c r="C77" s="252" t="s">
        <v>110</v>
      </c>
      <c r="D77" s="272"/>
      <c r="E77" s="255">
        <v>261</v>
      </c>
      <c r="F77" s="443">
        <v>13</v>
      </c>
      <c r="G77" s="443">
        <v>33</v>
      </c>
      <c r="H77" s="443">
        <v>68</v>
      </c>
      <c r="I77" s="443">
        <v>0</v>
      </c>
      <c r="J77" s="443">
        <v>5</v>
      </c>
      <c r="K77" s="443">
        <v>20</v>
      </c>
      <c r="L77" s="443">
        <v>5</v>
      </c>
      <c r="M77" s="443">
        <v>12</v>
      </c>
      <c r="N77" s="443">
        <v>5</v>
      </c>
      <c r="O77" s="443"/>
      <c r="P77" s="443"/>
      <c r="Q77" s="443"/>
      <c r="R77" s="439">
        <f t="shared" si="15"/>
        <v>161</v>
      </c>
      <c r="S77" s="440">
        <f t="shared" si="16"/>
        <v>17.888888888888889</v>
      </c>
      <c r="T77" s="441">
        <f>IFERROR((U77/S77),0)</f>
        <v>5.5900621118012417</v>
      </c>
      <c r="U77" s="461">
        <f t="shared" si="17"/>
        <v>100</v>
      </c>
      <c r="V77" s="492">
        <v>2015</v>
      </c>
      <c r="W77" s="252" t="s">
        <v>110</v>
      </c>
      <c r="X77" s="104"/>
      <c r="Y77" s="104"/>
      <c r="Z77" s="104"/>
      <c r="AA77" s="104"/>
      <c r="AB77" s="144"/>
      <c r="AC77" s="145"/>
      <c r="AD77" s="145"/>
      <c r="AE77" s="145"/>
      <c r="AF77" s="104"/>
    </row>
    <row r="78" spans="1:32" x14ac:dyDescent="0.2">
      <c r="A78" s="252">
        <v>100465</v>
      </c>
      <c r="B78" s="492">
        <v>2015</v>
      </c>
      <c r="C78" s="252" t="s">
        <v>135</v>
      </c>
      <c r="D78" s="272"/>
      <c r="E78" s="255">
        <v>183</v>
      </c>
      <c r="F78" s="443">
        <v>0</v>
      </c>
      <c r="G78" s="443">
        <v>2</v>
      </c>
      <c r="H78" s="443">
        <v>3</v>
      </c>
      <c r="I78" s="443">
        <v>1</v>
      </c>
      <c r="J78" s="443">
        <v>1</v>
      </c>
      <c r="K78" s="443">
        <v>23</v>
      </c>
      <c r="L78" s="443">
        <v>0</v>
      </c>
      <c r="M78" s="443">
        <v>0</v>
      </c>
      <c r="N78" s="443"/>
      <c r="O78" s="443"/>
      <c r="P78" s="443"/>
      <c r="Q78" s="443"/>
      <c r="R78" s="439">
        <f t="shared" si="15"/>
        <v>30</v>
      </c>
      <c r="S78" s="440">
        <f t="shared" si="16"/>
        <v>3.75</v>
      </c>
      <c r="T78" s="441"/>
      <c r="U78" s="461">
        <f t="shared" si="17"/>
        <v>153</v>
      </c>
      <c r="V78" s="492">
        <v>2015</v>
      </c>
      <c r="W78" s="252" t="s">
        <v>135</v>
      </c>
      <c r="X78" s="104"/>
      <c r="Y78" s="104"/>
      <c r="Z78" s="104"/>
      <c r="AA78" s="104"/>
      <c r="AB78" s="144"/>
      <c r="AC78" s="145"/>
      <c r="AD78" s="145"/>
      <c r="AE78" s="145"/>
      <c r="AF78" s="104"/>
    </row>
    <row r="79" spans="1:32" x14ac:dyDescent="0.2">
      <c r="A79" s="252">
        <v>100463</v>
      </c>
      <c r="B79" s="492">
        <v>2015</v>
      </c>
      <c r="C79" s="252" t="s">
        <v>136</v>
      </c>
      <c r="D79" s="272"/>
      <c r="E79" s="255">
        <v>153</v>
      </c>
      <c r="F79" s="443">
        <v>1</v>
      </c>
      <c r="G79" s="443">
        <v>0</v>
      </c>
      <c r="H79" s="443">
        <v>0</v>
      </c>
      <c r="I79" s="443">
        <v>0</v>
      </c>
      <c r="J79" s="443">
        <v>0</v>
      </c>
      <c r="K79" s="443">
        <v>0</v>
      </c>
      <c r="L79" s="443">
        <v>0</v>
      </c>
      <c r="M79" s="443">
        <v>0</v>
      </c>
      <c r="N79" s="443"/>
      <c r="O79" s="443"/>
      <c r="P79" s="443"/>
      <c r="Q79" s="443"/>
      <c r="R79" s="439">
        <f t="shared" si="15"/>
        <v>1</v>
      </c>
      <c r="S79" s="440">
        <f t="shared" si="16"/>
        <v>0.125</v>
      </c>
      <c r="T79" s="441"/>
      <c r="U79" s="461">
        <f t="shared" si="17"/>
        <v>152</v>
      </c>
      <c r="V79" s="492">
        <v>2015</v>
      </c>
      <c r="W79" s="252" t="s">
        <v>136</v>
      </c>
      <c r="X79" s="104"/>
      <c r="Y79" s="104"/>
      <c r="Z79" s="104"/>
      <c r="AA79" s="104"/>
      <c r="AB79" s="144"/>
      <c r="AC79" s="145"/>
      <c r="AD79" s="145"/>
      <c r="AE79" s="145"/>
      <c r="AF79" s="104"/>
    </row>
    <row r="80" spans="1:32" x14ac:dyDescent="0.2">
      <c r="A80" s="252">
        <v>97510</v>
      </c>
      <c r="B80" s="253">
        <v>2015</v>
      </c>
      <c r="C80" s="252" t="s">
        <v>23</v>
      </c>
      <c r="D80" s="273"/>
      <c r="E80" s="255">
        <v>0</v>
      </c>
      <c r="F80" s="443"/>
      <c r="G80" s="443"/>
      <c r="H80" s="443"/>
      <c r="I80" s="443"/>
      <c r="J80" s="443"/>
      <c r="K80" s="443" t="s">
        <v>35</v>
      </c>
      <c r="L80" s="443"/>
      <c r="M80" s="443"/>
      <c r="N80" s="443"/>
      <c r="O80" s="443"/>
      <c r="P80" s="443"/>
      <c r="Q80" s="443"/>
      <c r="R80" s="439">
        <f t="shared" si="15"/>
        <v>0</v>
      </c>
      <c r="S80" s="440">
        <f t="shared" si="16"/>
        <v>0</v>
      </c>
      <c r="T80" s="441">
        <f>IFERROR((U80/S80),0)</f>
        <v>0</v>
      </c>
      <c r="U80" s="461">
        <f t="shared" si="17"/>
        <v>0</v>
      </c>
      <c r="V80" s="253">
        <v>2015</v>
      </c>
      <c r="W80" s="252" t="s">
        <v>23</v>
      </c>
      <c r="X80" s="104"/>
      <c r="Y80" s="104"/>
      <c r="Z80" s="104"/>
      <c r="AA80" s="104"/>
      <c r="AB80" s="144"/>
      <c r="AC80" s="145"/>
      <c r="AD80" s="145"/>
      <c r="AE80" s="145"/>
      <c r="AF80" s="104"/>
    </row>
    <row r="81" spans="1:32" x14ac:dyDescent="0.2">
      <c r="A81" s="249"/>
      <c r="B81" s="117"/>
      <c r="C81" s="117"/>
      <c r="D81" s="118"/>
      <c r="E81" s="120"/>
      <c r="F81" s="120"/>
      <c r="G81" s="120"/>
      <c r="H81" s="120"/>
      <c r="I81" s="120"/>
      <c r="J81" s="120"/>
      <c r="K81" s="120"/>
      <c r="L81" s="120"/>
      <c r="M81" s="120"/>
      <c r="N81" s="120"/>
      <c r="O81" s="120"/>
      <c r="P81" s="120"/>
      <c r="Q81" s="120"/>
      <c r="R81" s="117"/>
      <c r="S81" s="118"/>
      <c r="T81" s="121"/>
      <c r="U81" s="160"/>
      <c r="V81" s="117"/>
      <c r="W81" s="117"/>
      <c r="X81" s="104"/>
      <c r="Y81" s="104"/>
      <c r="Z81" s="104"/>
      <c r="AA81" s="104"/>
      <c r="AB81" s="144"/>
      <c r="AC81" s="145"/>
      <c r="AD81" s="145"/>
      <c r="AE81" s="145"/>
      <c r="AF81" s="104"/>
    </row>
    <row r="82" spans="1:32" x14ac:dyDescent="0.2">
      <c r="A82" s="252">
        <v>100464</v>
      </c>
      <c r="B82" s="161">
        <v>2016</v>
      </c>
      <c r="C82" s="161" t="s">
        <v>110</v>
      </c>
      <c r="D82" s="273"/>
      <c r="E82" s="162">
        <v>253</v>
      </c>
      <c r="F82" s="443"/>
      <c r="G82" s="443"/>
      <c r="H82" s="443"/>
      <c r="I82" s="443">
        <v>1</v>
      </c>
      <c r="J82" s="443">
        <v>2</v>
      </c>
      <c r="K82" s="443">
        <v>15</v>
      </c>
      <c r="L82" s="443">
        <v>0</v>
      </c>
      <c r="M82" s="443">
        <v>18</v>
      </c>
      <c r="N82" s="443"/>
      <c r="O82" s="443"/>
      <c r="P82" s="443"/>
      <c r="Q82" s="443"/>
      <c r="R82" s="439">
        <f t="shared" ref="R82:R87" si="18">SUM(F82:Q82)</f>
        <v>36</v>
      </c>
      <c r="S82" s="440">
        <f t="shared" ref="S82:S87" si="19">IFERROR((AVERAGE(F82:Q82)),0)</f>
        <v>7.2</v>
      </c>
      <c r="T82" s="441">
        <f t="shared" ref="T82:T87" si="20">IFERROR((U82/S82),0)</f>
        <v>30.138888888888889</v>
      </c>
      <c r="U82" s="461">
        <f t="shared" ref="U82:U87" si="21">SUM(E82-R82)</f>
        <v>217</v>
      </c>
      <c r="V82" s="161">
        <v>2016</v>
      </c>
      <c r="W82" s="161" t="s">
        <v>234</v>
      </c>
      <c r="X82" s="104"/>
      <c r="Y82" s="104"/>
      <c r="Z82" s="104"/>
      <c r="AA82" s="104"/>
      <c r="AB82" s="144"/>
      <c r="AC82" s="145"/>
      <c r="AD82" s="145"/>
      <c r="AE82" s="145"/>
      <c r="AF82" s="104"/>
    </row>
    <row r="83" spans="1:32" x14ac:dyDescent="0.2">
      <c r="A83" s="252">
        <v>97509</v>
      </c>
      <c r="B83" s="161">
        <v>2016</v>
      </c>
      <c r="C83" s="161" t="s">
        <v>107</v>
      </c>
      <c r="D83" s="273"/>
      <c r="E83" s="162">
        <v>147</v>
      </c>
      <c r="F83" s="443">
        <v>0</v>
      </c>
      <c r="G83" s="443">
        <v>0</v>
      </c>
      <c r="H83" s="443">
        <v>2</v>
      </c>
      <c r="I83" s="443">
        <v>0</v>
      </c>
      <c r="J83" s="443">
        <v>1</v>
      </c>
      <c r="K83" s="443">
        <v>0</v>
      </c>
      <c r="L83" s="443">
        <v>0</v>
      </c>
      <c r="M83" s="443">
        <v>5</v>
      </c>
      <c r="N83" s="443"/>
      <c r="O83" s="443"/>
      <c r="P83" s="443"/>
      <c r="Q83" s="443"/>
      <c r="R83" s="439">
        <f t="shared" si="18"/>
        <v>8</v>
      </c>
      <c r="S83" s="440">
        <f t="shared" si="19"/>
        <v>1</v>
      </c>
      <c r="T83" s="441">
        <f t="shared" si="20"/>
        <v>139</v>
      </c>
      <c r="U83" s="461">
        <f t="shared" si="21"/>
        <v>139</v>
      </c>
      <c r="V83" s="161">
        <v>2016</v>
      </c>
      <c r="W83" s="161" t="s">
        <v>107</v>
      </c>
      <c r="X83" s="104"/>
      <c r="Y83" s="104"/>
      <c r="Z83" s="104"/>
      <c r="AA83" s="104"/>
      <c r="AB83" s="144"/>
      <c r="AC83" s="145"/>
      <c r="AD83" s="145"/>
      <c r="AE83" s="145"/>
      <c r="AF83" s="104"/>
    </row>
    <row r="84" spans="1:32" x14ac:dyDescent="0.2">
      <c r="A84" s="252">
        <v>97511</v>
      </c>
      <c r="B84" s="161">
        <v>2016</v>
      </c>
      <c r="C84" s="161" t="s">
        <v>25</v>
      </c>
      <c r="D84" s="273"/>
      <c r="E84" s="162">
        <v>310</v>
      </c>
      <c r="F84" s="287"/>
      <c r="G84" s="287"/>
      <c r="H84" s="287"/>
      <c r="I84" s="287"/>
      <c r="J84" s="287"/>
      <c r="K84" s="287"/>
      <c r="L84" s="443">
        <v>0</v>
      </c>
      <c r="M84" s="443">
        <v>0</v>
      </c>
      <c r="N84" s="443"/>
      <c r="O84" s="443"/>
      <c r="P84" s="443"/>
      <c r="Q84" s="443"/>
      <c r="R84" s="439">
        <f t="shared" si="18"/>
        <v>0</v>
      </c>
      <c r="S84" s="440">
        <f t="shared" si="19"/>
        <v>0</v>
      </c>
      <c r="T84" s="441">
        <f t="shared" si="20"/>
        <v>0</v>
      </c>
      <c r="U84" s="461">
        <f t="shared" si="21"/>
        <v>310</v>
      </c>
      <c r="V84" s="161">
        <v>2016</v>
      </c>
      <c r="W84" s="161" t="s">
        <v>25</v>
      </c>
      <c r="X84" s="104"/>
      <c r="Y84" s="104"/>
      <c r="Z84" s="104"/>
      <c r="AA84" s="104"/>
      <c r="AB84" s="144"/>
      <c r="AC84" s="145"/>
      <c r="AD84" s="145"/>
      <c r="AE84" s="145"/>
      <c r="AF84" s="104"/>
    </row>
    <row r="85" spans="1:32" x14ac:dyDescent="0.2">
      <c r="A85" s="252">
        <v>100465</v>
      </c>
      <c r="B85" s="161">
        <v>2016</v>
      </c>
      <c r="C85" s="161" t="s">
        <v>135</v>
      </c>
      <c r="D85" s="273"/>
      <c r="E85" s="162">
        <v>299</v>
      </c>
      <c r="F85" s="287"/>
      <c r="G85" s="287"/>
      <c r="H85" s="287"/>
      <c r="I85" s="287"/>
      <c r="J85" s="287"/>
      <c r="K85" s="287"/>
      <c r="L85" s="287"/>
      <c r="M85" s="287"/>
      <c r="N85" s="443"/>
      <c r="O85" s="443"/>
      <c r="P85" s="443"/>
      <c r="Q85" s="443"/>
      <c r="R85" s="439">
        <f t="shared" si="18"/>
        <v>0</v>
      </c>
      <c r="S85" s="440">
        <f t="shared" si="19"/>
        <v>0</v>
      </c>
      <c r="T85" s="441">
        <f t="shared" si="20"/>
        <v>0</v>
      </c>
      <c r="U85" s="461">
        <f t="shared" si="21"/>
        <v>299</v>
      </c>
      <c r="V85" s="161">
        <v>2016</v>
      </c>
      <c r="W85" s="161" t="s">
        <v>135</v>
      </c>
      <c r="X85" s="104"/>
      <c r="Y85" s="104"/>
      <c r="Z85" s="104"/>
      <c r="AA85" s="104"/>
      <c r="AB85" s="144"/>
      <c r="AC85" s="145"/>
      <c r="AD85" s="145"/>
      <c r="AE85" s="145"/>
      <c r="AF85" s="104"/>
    </row>
    <row r="86" spans="1:32" x14ac:dyDescent="0.2">
      <c r="A86" s="252">
        <v>101638</v>
      </c>
      <c r="B86" s="161">
        <v>2016</v>
      </c>
      <c r="C86" s="161" t="s">
        <v>26</v>
      </c>
      <c r="D86" s="273"/>
      <c r="E86" s="162">
        <v>200</v>
      </c>
      <c r="F86" s="287"/>
      <c r="G86" s="287"/>
      <c r="H86" s="287"/>
      <c r="I86" s="287"/>
      <c r="J86" s="287"/>
      <c r="K86" s="287"/>
      <c r="L86" s="287"/>
      <c r="M86" s="287"/>
      <c r="N86" s="443"/>
      <c r="O86" s="443"/>
      <c r="P86" s="443"/>
      <c r="Q86" s="443"/>
      <c r="R86" s="439">
        <f t="shared" si="18"/>
        <v>0</v>
      </c>
      <c r="S86" s="440">
        <f t="shared" si="19"/>
        <v>0</v>
      </c>
      <c r="T86" s="441">
        <f t="shared" si="20"/>
        <v>0</v>
      </c>
      <c r="U86" s="461">
        <f t="shared" si="21"/>
        <v>200</v>
      </c>
      <c r="V86" s="161">
        <v>2016</v>
      </c>
      <c r="W86" s="161" t="s">
        <v>26</v>
      </c>
      <c r="X86" s="104"/>
      <c r="Y86" s="104"/>
      <c r="Z86" s="104"/>
      <c r="AA86" s="104"/>
      <c r="AB86" s="144"/>
      <c r="AC86" s="145"/>
      <c r="AD86" s="145"/>
      <c r="AE86" s="145"/>
      <c r="AF86" s="104"/>
    </row>
    <row r="87" spans="1:32" x14ac:dyDescent="0.2">
      <c r="A87" s="252"/>
      <c r="B87" s="161"/>
      <c r="C87" s="161"/>
      <c r="D87" s="273"/>
      <c r="E87" s="162"/>
      <c r="F87" s="443"/>
      <c r="G87" s="443"/>
      <c r="H87" s="443"/>
      <c r="I87" s="443"/>
      <c r="J87" s="443"/>
      <c r="K87" s="443"/>
      <c r="L87" s="443"/>
      <c r="M87" s="443"/>
      <c r="N87" s="443"/>
      <c r="O87" s="443"/>
      <c r="P87" s="443"/>
      <c r="Q87" s="443"/>
      <c r="R87" s="439">
        <f t="shared" si="18"/>
        <v>0</v>
      </c>
      <c r="S87" s="440">
        <f t="shared" si="19"/>
        <v>0</v>
      </c>
      <c r="T87" s="441">
        <f t="shared" si="20"/>
        <v>0</v>
      </c>
      <c r="U87" s="461">
        <f t="shared" si="21"/>
        <v>0</v>
      </c>
      <c r="V87" s="161"/>
      <c r="W87" s="161"/>
      <c r="X87" s="104"/>
      <c r="Y87" s="104"/>
      <c r="Z87" s="104"/>
      <c r="AA87" s="104"/>
      <c r="AB87" s="144"/>
      <c r="AC87" s="145"/>
      <c r="AD87" s="145"/>
      <c r="AE87" s="145"/>
      <c r="AF87" s="104"/>
    </row>
    <row r="88" spans="1:32" x14ac:dyDescent="0.2">
      <c r="A88" s="249"/>
      <c r="B88" s="117"/>
      <c r="C88" s="117"/>
      <c r="D88" s="118"/>
      <c r="E88" s="120"/>
      <c r="F88" s="120"/>
      <c r="G88" s="120"/>
      <c r="H88" s="120"/>
      <c r="I88" s="120"/>
      <c r="J88" s="120"/>
      <c r="K88" s="120"/>
      <c r="L88" s="120"/>
      <c r="M88" s="120"/>
      <c r="N88" s="120"/>
      <c r="O88" s="120"/>
      <c r="P88" s="120"/>
      <c r="Q88" s="120"/>
      <c r="R88" s="117"/>
      <c r="S88" s="129"/>
      <c r="T88" s="130"/>
      <c r="U88" s="119"/>
      <c r="V88" s="117"/>
      <c r="W88" s="117"/>
      <c r="X88" s="104"/>
      <c r="Y88" s="104"/>
      <c r="Z88" s="104"/>
      <c r="AA88" s="104"/>
      <c r="AB88" s="144"/>
      <c r="AC88" s="145"/>
      <c r="AD88" s="145"/>
      <c r="AE88" s="145"/>
      <c r="AF88" s="104"/>
    </row>
    <row r="89" spans="1:32" x14ac:dyDescent="0.2">
      <c r="A89" s="252"/>
      <c r="B89" s="252">
        <v>2014</v>
      </c>
      <c r="C89" s="252"/>
      <c r="D89" s="452"/>
      <c r="E89" s="455">
        <f t="shared" ref="E89:R89" si="22">SUM(E67:E71)</f>
        <v>1203</v>
      </c>
      <c r="F89" s="455">
        <f t="shared" si="22"/>
        <v>0</v>
      </c>
      <c r="G89" s="455">
        <f t="shared" si="22"/>
        <v>9</v>
      </c>
      <c r="H89" s="455">
        <f t="shared" si="22"/>
        <v>29</v>
      </c>
      <c r="I89" s="455">
        <f t="shared" si="22"/>
        <v>15</v>
      </c>
      <c r="J89" s="455">
        <f t="shared" si="22"/>
        <v>0</v>
      </c>
      <c r="K89" s="455">
        <f t="shared" si="22"/>
        <v>16</v>
      </c>
      <c r="L89" s="455">
        <f t="shared" si="22"/>
        <v>0</v>
      </c>
      <c r="M89" s="455">
        <f t="shared" si="22"/>
        <v>0</v>
      </c>
      <c r="N89" s="455">
        <f t="shared" si="22"/>
        <v>0</v>
      </c>
      <c r="O89" s="455">
        <f t="shared" si="22"/>
        <v>0</v>
      </c>
      <c r="P89" s="455">
        <f t="shared" si="22"/>
        <v>0</v>
      </c>
      <c r="Q89" s="455">
        <f t="shared" si="22"/>
        <v>0</v>
      </c>
      <c r="R89" s="439">
        <f t="shared" si="22"/>
        <v>69</v>
      </c>
      <c r="S89" s="440">
        <f>IFERROR((AVERAGE(F89:Q89)),0)</f>
        <v>5.75</v>
      </c>
      <c r="T89" s="441">
        <f>IFERROR((U89/S89),0)</f>
        <v>197.21739130434781</v>
      </c>
      <c r="U89" s="461">
        <f>SUM(E89-R89)</f>
        <v>1134</v>
      </c>
      <c r="V89" s="252">
        <v>2014</v>
      </c>
      <c r="W89" s="252"/>
      <c r="X89" s="104"/>
      <c r="Y89" s="104"/>
      <c r="Z89" s="104"/>
      <c r="AA89" s="104"/>
      <c r="AB89" s="144"/>
      <c r="AC89" s="145"/>
      <c r="AD89" s="145"/>
      <c r="AE89" s="145"/>
      <c r="AF89" s="104"/>
    </row>
    <row r="90" spans="1:32" x14ac:dyDescent="0.2">
      <c r="A90" s="252"/>
      <c r="B90" s="252">
        <v>2015</v>
      </c>
      <c r="C90" s="252"/>
      <c r="D90" s="452"/>
      <c r="E90" s="455">
        <f t="shared" ref="E90:R90" si="23">SUM(E73:E80)</f>
        <v>1438</v>
      </c>
      <c r="F90" s="455">
        <f t="shared" si="23"/>
        <v>18</v>
      </c>
      <c r="G90" s="455">
        <f t="shared" si="23"/>
        <v>56</v>
      </c>
      <c r="H90" s="455">
        <f t="shared" si="23"/>
        <v>119</v>
      </c>
      <c r="I90" s="455">
        <f t="shared" si="23"/>
        <v>1</v>
      </c>
      <c r="J90" s="455">
        <f t="shared" si="23"/>
        <v>17</v>
      </c>
      <c r="K90" s="455">
        <f t="shared" si="23"/>
        <v>46</v>
      </c>
      <c r="L90" s="455">
        <f t="shared" si="23"/>
        <v>9</v>
      </c>
      <c r="M90" s="455">
        <f t="shared" si="23"/>
        <v>12</v>
      </c>
      <c r="N90" s="455">
        <f t="shared" si="23"/>
        <v>5</v>
      </c>
      <c r="O90" s="455">
        <f t="shared" si="23"/>
        <v>0</v>
      </c>
      <c r="P90" s="455">
        <f t="shared" si="23"/>
        <v>0</v>
      </c>
      <c r="Q90" s="455">
        <f t="shared" si="23"/>
        <v>0</v>
      </c>
      <c r="R90" s="439">
        <f t="shared" si="23"/>
        <v>283</v>
      </c>
      <c r="S90" s="440">
        <f>IFERROR((AVERAGE(F90:Q90)),0)</f>
        <v>23.583333333333332</v>
      </c>
      <c r="T90" s="441">
        <f>IFERROR((U90/S90),0)</f>
        <v>48.975265017667844</v>
      </c>
      <c r="U90" s="461">
        <f>SUM(E90-R90)</f>
        <v>1155</v>
      </c>
      <c r="V90" s="252">
        <v>2015</v>
      </c>
      <c r="W90" s="252"/>
      <c r="X90" s="104"/>
      <c r="Y90" s="104"/>
      <c r="Z90" s="104"/>
      <c r="AA90" s="104"/>
      <c r="AB90" s="144"/>
      <c r="AC90" s="145"/>
      <c r="AD90" s="145"/>
      <c r="AE90" s="145"/>
      <c r="AF90" s="104"/>
    </row>
    <row r="91" spans="1:32" x14ac:dyDescent="0.2">
      <c r="A91" s="104"/>
      <c r="B91" s="116" t="s">
        <v>78</v>
      </c>
      <c r="C91" s="252"/>
      <c r="D91" s="252"/>
      <c r="E91" s="295">
        <f>SUM(E89:E90)</f>
        <v>2641</v>
      </c>
      <c r="F91" s="295">
        <f>SUM(F89:F90)</f>
        <v>18</v>
      </c>
      <c r="G91" s="295">
        <f t="shared" ref="G91:Q91" si="24">SUM(G89:G90)</f>
        <v>65</v>
      </c>
      <c r="H91" s="295">
        <f t="shared" si="24"/>
        <v>148</v>
      </c>
      <c r="I91" s="295">
        <f t="shared" si="24"/>
        <v>16</v>
      </c>
      <c r="J91" s="295">
        <f t="shared" si="24"/>
        <v>17</v>
      </c>
      <c r="K91" s="295">
        <f t="shared" si="24"/>
        <v>62</v>
      </c>
      <c r="L91" s="295">
        <f t="shared" si="24"/>
        <v>9</v>
      </c>
      <c r="M91" s="295">
        <f t="shared" si="24"/>
        <v>12</v>
      </c>
      <c r="N91" s="295">
        <f t="shared" si="24"/>
        <v>5</v>
      </c>
      <c r="O91" s="295">
        <f t="shared" si="24"/>
        <v>0</v>
      </c>
      <c r="P91" s="295">
        <f t="shared" si="24"/>
        <v>0</v>
      </c>
      <c r="Q91" s="295">
        <f t="shared" si="24"/>
        <v>0</v>
      </c>
      <c r="R91" s="252">
        <f>SUM(R89:R90)</f>
        <v>352</v>
      </c>
      <c r="S91" s="252">
        <f>SUM(S89:S90)</f>
        <v>29.333333333333332</v>
      </c>
      <c r="T91" s="252">
        <f>SUM(T89:T90)</f>
        <v>246.19265632201567</v>
      </c>
      <c r="U91" s="295">
        <f>SUM(U89:U90)</f>
        <v>2289</v>
      </c>
      <c r="V91" s="116" t="s">
        <v>78</v>
      </c>
      <c r="W91" s="252"/>
      <c r="X91" s="104"/>
      <c r="Y91" s="104"/>
      <c r="Z91" s="104"/>
      <c r="AA91" s="104"/>
      <c r="AB91" s="144"/>
      <c r="AC91" s="145"/>
      <c r="AD91" s="145"/>
      <c r="AE91" s="145"/>
      <c r="AF91" s="104"/>
    </row>
    <row r="92" spans="1:32" x14ac:dyDescent="0.2">
      <c r="A92" s="249"/>
      <c r="B92" s="117"/>
      <c r="C92" s="117"/>
      <c r="D92" s="118"/>
      <c r="E92" s="120"/>
      <c r="F92" s="120"/>
      <c r="G92" s="120"/>
      <c r="H92" s="120"/>
      <c r="I92" s="120"/>
      <c r="J92" s="120"/>
      <c r="K92" s="120"/>
      <c r="L92" s="120"/>
      <c r="M92" s="120"/>
      <c r="N92" s="120"/>
      <c r="O92" s="120"/>
      <c r="P92" s="120"/>
      <c r="Q92" s="120"/>
      <c r="R92" s="117"/>
      <c r="S92" s="118"/>
      <c r="T92" s="121"/>
      <c r="U92" s="160"/>
      <c r="V92" s="117"/>
      <c r="W92" s="117"/>
      <c r="X92" s="104"/>
      <c r="Y92" s="104"/>
      <c r="Z92" s="104"/>
      <c r="AA92" s="104"/>
      <c r="AB92" s="144"/>
      <c r="AC92" s="145"/>
      <c r="AD92" s="145"/>
      <c r="AE92" s="145"/>
      <c r="AF92" s="104"/>
    </row>
    <row r="93" spans="1:32" x14ac:dyDescent="0.2">
      <c r="A93" s="104"/>
      <c r="B93" s="104"/>
      <c r="C93" s="104"/>
      <c r="D93" s="104"/>
      <c r="E93" s="104"/>
      <c r="F93" s="104"/>
      <c r="G93" s="104"/>
      <c r="H93" s="104"/>
      <c r="I93" s="104"/>
      <c r="J93" s="104"/>
      <c r="K93" s="104"/>
      <c r="L93" s="104"/>
      <c r="M93" s="104"/>
      <c r="N93" s="104"/>
      <c r="O93" s="104"/>
      <c r="P93" s="104"/>
      <c r="Q93" s="104"/>
      <c r="R93" s="104"/>
      <c r="S93" s="104"/>
      <c r="T93" s="104"/>
      <c r="U93" s="105"/>
      <c r="V93" s="104"/>
      <c r="W93" s="104"/>
      <c r="X93" s="104"/>
      <c r="Y93" s="104"/>
      <c r="Z93" s="104"/>
      <c r="AA93" s="104"/>
      <c r="AB93" s="144"/>
      <c r="AC93" s="145"/>
      <c r="AD93" s="145"/>
      <c r="AE93" s="145"/>
      <c r="AF93" s="104"/>
    </row>
    <row r="94" spans="1:32" x14ac:dyDescent="0.2">
      <c r="A94" s="127"/>
      <c r="B94" s="128"/>
      <c r="C94" s="128"/>
      <c r="D94" s="129"/>
      <c r="E94" s="119"/>
      <c r="F94" s="119"/>
      <c r="G94" s="119"/>
      <c r="H94" s="119"/>
      <c r="I94" s="119"/>
      <c r="J94" s="119"/>
      <c r="K94" s="119"/>
      <c r="L94" s="119"/>
      <c r="M94" s="119"/>
      <c r="N94" s="119"/>
      <c r="O94" s="119"/>
      <c r="P94" s="119"/>
      <c r="Q94" s="119"/>
      <c r="R94" s="128"/>
      <c r="S94" s="129"/>
      <c r="T94" s="130"/>
      <c r="U94" s="119"/>
      <c r="V94" s="128"/>
      <c r="W94" s="128"/>
      <c r="X94" s="104"/>
      <c r="Y94" s="104"/>
      <c r="Z94" s="104"/>
      <c r="AA94" s="104"/>
      <c r="AB94" s="144"/>
      <c r="AC94" s="145"/>
      <c r="AD94" s="145"/>
      <c r="AE94" s="145"/>
      <c r="AF94" s="104"/>
    </row>
    <row r="95" spans="1:32" ht="15.75" x14ac:dyDescent="0.25">
      <c r="A95" s="104"/>
      <c r="B95" s="126" t="s">
        <v>137</v>
      </c>
      <c r="C95" s="104"/>
      <c r="D95" s="123"/>
      <c r="E95" s="105"/>
      <c r="F95" s="105"/>
      <c r="G95" s="105"/>
      <c r="H95" s="105"/>
      <c r="I95" s="105"/>
      <c r="J95" s="105"/>
      <c r="K95" s="105"/>
      <c r="L95" s="105"/>
      <c r="M95" s="105"/>
      <c r="N95" s="105"/>
      <c r="O95" s="105"/>
      <c r="P95" s="105"/>
      <c r="Q95" s="105"/>
      <c r="R95" s="104"/>
      <c r="S95" s="123"/>
      <c r="T95" s="125"/>
      <c r="U95" s="105"/>
      <c r="V95" s="126" t="s">
        <v>137</v>
      </c>
      <c r="W95" s="104"/>
      <c r="X95" s="104"/>
      <c r="Y95" s="104"/>
      <c r="Z95" s="104"/>
      <c r="AA95" s="104"/>
      <c r="AB95" s="144"/>
      <c r="AC95" s="145"/>
      <c r="AD95" s="145"/>
      <c r="AE95" s="145"/>
      <c r="AF95" s="104"/>
    </row>
    <row r="96" spans="1:32" x14ac:dyDescent="0.2">
      <c r="A96" s="252"/>
      <c r="B96" s="112">
        <v>2012</v>
      </c>
      <c r="C96" s="252"/>
      <c r="D96" s="452"/>
      <c r="E96" s="359" t="e">
        <f>#REF!</f>
        <v>#REF!</v>
      </c>
      <c r="F96" s="359" t="e">
        <f>#REF!</f>
        <v>#REF!</v>
      </c>
      <c r="G96" s="359" t="e">
        <f>#REF!</f>
        <v>#REF!</v>
      </c>
      <c r="H96" s="359" t="e">
        <f>#REF!</f>
        <v>#REF!</v>
      </c>
      <c r="I96" s="359" t="e">
        <f>#REF!</f>
        <v>#REF!</v>
      </c>
      <c r="J96" s="359" t="e">
        <f>#REF!</f>
        <v>#REF!</v>
      </c>
      <c r="K96" s="359" t="e">
        <f>#REF!</f>
        <v>#REF!</v>
      </c>
      <c r="L96" s="359" t="e">
        <f>#REF!</f>
        <v>#REF!</v>
      </c>
      <c r="M96" s="359" t="e">
        <f>#REF!</f>
        <v>#REF!</v>
      </c>
      <c r="N96" s="359" t="e">
        <f>#REF!</f>
        <v>#REF!</v>
      </c>
      <c r="O96" s="359" t="e">
        <f>#REF!</f>
        <v>#REF!</v>
      </c>
      <c r="P96" s="359" t="e">
        <f>#REF!</f>
        <v>#REF!</v>
      </c>
      <c r="Q96" s="359" t="e">
        <f>#REF!</f>
        <v>#REF!</v>
      </c>
      <c r="R96" s="439" t="e">
        <f>#REF!</f>
        <v>#REF!</v>
      </c>
      <c r="S96" s="440" t="e">
        <f>AVERAGE(F96:Q96)</f>
        <v>#REF!</v>
      </c>
      <c r="T96" s="441" t="e">
        <f>U96/S96</f>
        <v>#REF!</v>
      </c>
      <c r="U96" s="461" t="e">
        <f>SUM(E96-R96)</f>
        <v>#REF!</v>
      </c>
      <c r="V96" s="112">
        <v>2012</v>
      </c>
      <c r="W96" s="252"/>
      <c r="X96" s="104"/>
      <c r="Y96" s="104"/>
      <c r="Z96" s="104"/>
      <c r="AA96" s="104"/>
      <c r="AB96" s="144"/>
      <c r="AC96" s="145"/>
      <c r="AD96" s="145"/>
      <c r="AE96" s="145"/>
      <c r="AF96" s="104"/>
    </row>
    <row r="97" spans="1:32" x14ac:dyDescent="0.2">
      <c r="A97" s="252"/>
      <c r="B97" s="112">
        <v>2013</v>
      </c>
      <c r="C97" s="252"/>
      <c r="D97" s="452"/>
      <c r="E97" s="359">
        <f t="shared" ref="E97:R97" si="25">E57</f>
        <v>291</v>
      </c>
      <c r="F97" s="359">
        <f t="shared" si="25"/>
        <v>35</v>
      </c>
      <c r="G97" s="359">
        <f t="shared" si="25"/>
        <v>35</v>
      </c>
      <c r="H97" s="359">
        <f t="shared" si="25"/>
        <v>31</v>
      </c>
      <c r="I97" s="359">
        <f t="shared" si="25"/>
        <v>37</v>
      </c>
      <c r="J97" s="359">
        <f t="shared" si="25"/>
        <v>24</v>
      </c>
      <c r="K97" s="359">
        <f t="shared" si="25"/>
        <v>21</v>
      </c>
      <c r="L97" s="359">
        <f t="shared" si="25"/>
        <v>62</v>
      </c>
      <c r="M97" s="359">
        <f t="shared" si="25"/>
        <v>18</v>
      </c>
      <c r="N97" s="359">
        <f t="shared" si="25"/>
        <v>0</v>
      </c>
      <c r="O97" s="359">
        <f t="shared" si="25"/>
        <v>0</v>
      </c>
      <c r="P97" s="359">
        <f t="shared" si="25"/>
        <v>0</v>
      </c>
      <c r="Q97" s="359">
        <f t="shared" si="25"/>
        <v>0</v>
      </c>
      <c r="R97" s="439">
        <f t="shared" si="25"/>
        <v>263</v>
      </c>
      <c r="S97" s="453">
        <f>AVERAGE(F97:Q97)</f>
        <v>21.916666666666668</v>
      </c>
      <c r="T97" s="454">
        <f>U97/S97</f>
        <v>1.2775665399239544</v>
      </c>
      <c r="U97" s="461">
        <f>SUM(E97-R97)</f>
        <v>28</v>
      </c>
      <c r="V97" s="112">
        <v>2013</v>
      </c>
      <c r="W97" s="252"/>
      <c r="X97" s="104"/>
      <c r="Y97" s="104"/>
      <c r="Z97" s="104"/>
      <c r="AA97" s="104"/>
      <c r="AB97" s="144"/>
      <c r="AC97" s="145"/>
      <c r="AD97" s="145"/>
      <c r="AE97" s="145"/>
      <c r="AF97" s="104"/>
    </row>
    <row r="98" spans="1:32" x14ac:dyDescent="0.2">
      <c r="A98" s="252"/>
      <c r="B98" s="112">
        <v>2014</v>
      </c>
      <c r="C98" s="252"/>
      <c r="D98" s="452"/>
      <c r="E98" s="359">
        <f t="shared" ref="E98:Q98" si="26">E89+E58</f>
        <v>3360</v>
      </c>
      <c r="F98" s="359">
        <f t="shared" si="26"/>
        <v>188</v>
      </c>
      <c r="G98" s="359">
        <f t="shared" si="26"/>
        <v>323</v>
      </c>
      <c r="H98" s="359">
        <f t="shared" si="26"/>
        <v>277</v>
      </c>
      <c r="I98" s="359">
        <f t="shared" si="26"/>
        <v>245</v>
      </c>
      <c r="J98" s="359">
        <f t="shared" si="26"/>
        <v>175</v>
      </c>
      <c r="K98" s="359">
        <f t="shared" si="26"/>
        <v>195</v>
      </c>
      <c r="L98" s="359">
        <f t="shared" si="26"/>
        <v>133</v>
      </c>
      <c r="M98" s="359">
        <f t="shared" si="26"/>
        <v>164</v>
      </c>
      <c r="N98" s="359">
        <f t="shared" si="26"/>
        <v>83</v>
      </c>
      <c r="O98" s="359">
        <f t="shared" si="26"/>
        <v>67</v>
      </c>
      <c r="P98" s="359">
        <f t="shared" si="26"/>
        <v>88</v>
      </c>
      <c r="Q98" s="359">
        <f t="shared" si="26"/>
        <v>81</v>
      </c>
      <c r="R98" s="439">
        <f>R58+R89</f>
        <v>2019</v>
      </c>
      <c r="S98" s="453">
        <f>AVERAGE(F98:Q98)</f>
        <v>168.25</v>
      </c>
      <c r="T98" s="454">
        <f>U98/S98</f>
        <v>7.9702823179791977</v>
      </c>
      <c r="U98" s="461">
        <f>SUM(E98-R98)</f>
        <v>1341</v>
      </c>
      <c r="V98" s="112">
        <v>2014</v>
      </c>
      <c r="W98" s="252"/>
      <c r="X98" s="104"/>
      <c r="Y98" s="104"/>
      <c r="Z98" s="104"/>
      <c r="AA98" s="104"/>
      <c r="AB98" s="144"/>
      <c r="AC98" s="145"/>
      <c r="AD98" s="145"/>
      <c r="AE98" s="145"/>
      <c r="AF98" s="104"/>
    </row>
    <row r="99" spans="1:32" x14ac:dyDescent="0.2">
      <c r="A99" s="252"/>
      <c r="B99" s="112">
        <v>2015</v>
      </c>
      <c r="C99" s="252"/>
      <c r="D99" s="452"/>
      <c r="E99" s="359">
        <f t="shared" ref="E99:Q99" si="27">E90+E59</f>
        <v>4704</v>
      </c>
      <c r="F99" s="359">
        <f t="shared" si="27"/>
        <v>82</v>
      </c>
      <c r="G99" s="359">
        <f t="shared" si="27"/>
        <v>76</v>
      </c>
      <c r="H99" s="359">
        <f t="shared" si="27"/>
        <v>266</v>
      </c>
      <c r="I99" s="359">
        <f t="shared" si="27"/>
        <v>124</v>
      </c>
      <c r="J99" s="359">
        <f t="shared" si="27"/>
        <v>289</v>
      </c>
      <c r="K99" s="359">
        <f t="shared" si="27"/>
        <v>164</v>
      </c>
      <c r="L99" s="359">
        <f t="shared" si="27"/>
        <v>268</v>
      </c>
      <c r="M99" s="359">
        <f t="shared" si="27"/>
        <v>174</v>
      </c>
      <c r="N99" s="359">
        <f t="shared" si="27"/>
        <v>226</v>
      </c>
      <c r="O99" s="359">
        <f t="shared" si="27"/>
        <v>200</v>
      </c>
      <c r="P99" s="359">
        <f t="shared" si="27"/>
        <v>208</v>
      </c>
      <c r="Q99" s="359">
        <f t="shared" si="27"/>
        <v>226</v>
      </c>
      <c r="R99" s="439">
        <f>R59+R90</f>
        <v>2128</v>
      </c>
      <c r="S99" s="453">
        <f>AVERAGE(F99:Q99)</f>
        <v>191.91666666666666</v>
      </c>
      <c r="T99" s="454">
        <f>U99/S99</f>
        <v>13.422492401215806</v>
      </c>
      <c r="U99" s="461">
        <f>SUM(E99-R99)</f>
        <v>2576</v>
      </c>
      <c r="V99" s="112">
        <v>2015</v>
      </c>
      <c r="W99" s="252"/>
      <c r="X99" s="104"/>
      <c r="Y99" s="104"/>
      <c r="Z99" s="104"/>
      <c r="AA99" s="104"/>
      <c r="AB99" s="144"/>
      <c r="AC99" s="145"/>
      <c r="AD99" s="145"/>
      <c r="AE99" s="145"/>
      <c r="AF99" s="104"/>
    </row>
    <row r="100" spans="1:32" x14ac:dyDescent="0.2">
      <c r="A100" s="252"/>
      <c r="B100" s="116" t="s">
        <v>78</v>
      </c>
      <c r="C100" s="252"/>
      <c r="D100" s="452"/>
      <c r="E100" s="455" t="e">
        <f>SUM(E96:E99)</f>
        <v>#REF!</v>
      </c>
      <c r="F100" s="455" t="e">
        <f t="shared" ref="F100:Q100" si="28">SUM(F96:F99)</f>
        <v>#REF!</v>
      </c>
      <c r="G100" s="455" t="e">
        <f t="shared" si="28"/>
        <v>#REF!</v>
      </c>
      <c r="H100" s="455" t="e">
        <f t="shared" si="28"/>
        <v>#REF!</v>
      </c>
      <c r="I100" s="455" t="e">
        <f t="shared" si="28"/>
        <v>#REF!</v>
      </c>
      <c r="J100" s="455" t="e">
        <f t="shared" si="28"/>
        <v>#REF!</v>
      </c>
      <c r="K100" s="455" t="e">
        <f t="shared" si="28"/>
        <v>#REF!</v>
      </c>
      <c r="L100" s="455" t="e">
        <f t="shared" si="28"/>
        <v>#REF!</v>
      </c>
      <c r="M100" s="455" t="e">
        <f t="shared" si="28"/>
        <v>#REF!</v>
      </c>
      <c r="N100" s="455" t="e">
        <f t="shared" si="28"/>
        <v>#REF!</v>
      </c>
      <c r="O100" s="455" t="e">
        <f t="shared" si="28"/>
        <v>#REF!</v>
      </c>
      <c r="P100" s="455" t="e">
        <f t="shared" si="28"/>
        <v>#REF!</v>
      </c>
      <c r="Q100" s="455" t="e">
        <f t="shared" si="28"/>
        <v>#REF!</v>
      </c>
      <c r="R100" s="439" t="e">
        <f>SUM(R96:R99)</f>
        <v>#REF!</v>
      </c>
      <c r="S100" s="308" t="e">
        <f>SUM(S96:S99)</f>
        <v>#REF!</v>
      </c>
      <c r="T100" s="441" t="e">
        <f>U100/S100</f>
        <v>#REF!</v>
      </c>
      <c r="U100" s="461" t="e">
        <f>SUM(E100-R100)</f>
        <v>#REF!</v>
      </c>
      <c r="V100" s="116" t="s">
        <v>78</v>
      </c>
      <c r="W100" s="252"/>
      <c r="X100" s="104"/>
      <c r="Y100" s="104"/>
      <c r="Z100" s="104"/>
      <c r="AA100" s="104"/>
      <c r="AB100" s="144"/>
      <c r="AC100" s="145"/>
      <c r="AD100" s="145"/>
      <c r="AE100" s="145"/>
      <c r="AF100" s="104"/>
    </row>
    <row r="101" spans="1:32" x14ac:dyDescent="0.2">
      <c r="A101" s="249"/>
      <c r="B101" s="117"/>
      <c r="C101" s="117"/>
      <c r="D101" s="118"/>
      <c r="E101" s="120"/>
      <c r="F101" s="120"/>
      <c r="G101" s="120"/>
      <c r="H101" s="120"/>
      <c r="I101" s="120"/>
      <c r="J101" s="120"/>
      <c r="K101" s="120"/>
      <c r="L101" s="120"/>
      <c r="M101" s="120"/>
      <c r="N101" s="120"/>
      <c r="O101" s="120"/>
      <c r="P101" s="120"/>
      <c r="Q101" s="120"/>
      <c r="R101" s="117"/>
      <c r="S101" s="118"/>
      <c r="T101" s="121"/>
      <c r="U101" s="160"/>
      <c r="V101" s="117"/>
      <c r="W101" s="117"/>
      <c r="X101" s="104"/>
      <c r="Y101" s="104"/>
      <c r="Z101" s="104"/>
      <c r="AA101" s="104"/>
      <c r="AB101" s="144"/>
      <c r="AC101" s="145"/>
      <c r="AD101" s="145"/>
      <c r="AE101" s="145"/>
      <c r="AF101" s="104"/>
    </row>
    <row r="102" spans="1:32" ht="15.75" thickBot="1" x14ac:dyDescent="0.25">
      <c r="A102" s="104"/>
      <c r="B102" s="104"/>
      <c r="C102" s="104"/>
      <c r="D102" s="104"/>
      <c r="E102" s="105"/>
      <c r="F102" s="105"/>
      <c r="G102" s="105"/>
      <c r="H102" s="105"/>
      <c r="I102" s="105"/>
      <c r="J102" s="105"/>
      <c r="K102" s="105"/>
      <c r="L102" s="105"/>
      <c r="M102" s="105"/>
      <c r="N102" s="105"/>
      <c r="O102" s="105"/>
      <c r="P102" s="105"/>
      <c r="Q102" s="105"/>
      <c r="R102" s="104"/>
      <c r="S102" s="123"/>
      <c r="T102" s="125"/>
      <c r="U102" s="124"/>
      <c r="V102" s="104"/>
      <c r="W102" s="104"/>
      <c r="X102" s="104"/>
      <c r="Y102" s="104"/>
      <c r="Z102" s="104"/>
      <c r="AA102" s="104"/>
      <c r="AB102" s="144"/>
      <c r="AC102" s="145"/>
      <c r="AD102" s="145"/>
      <c r="AE102" s="145"/>
      <c r="AF102" s="104"/>
    </row>
    <row r="103" spans="1:32" ht="48" thickBot="1" x14ac:dyDescent="0.3">
      <c r="A103" s="104"/>
      <c r="B103" s="132" t="s">
        <v>79</v>
      </c>
      <c r="C103" s="133"/>
      <c r="D103" s="133"/>
      <c r="E103" s="72" t="s">
        <v>138</v>
      </c>
      <c r="F103" s="572" t="s">
        <v>139</v>
      </c>
      <c r="G103" s="573"/>
      <c r="H103" s="573"/>
      <c r="I103" s="573"/>
      <c r="J103" s="573"/>
      <c r="K103" s="573"/>
      <c r="L103" s="573"/>
      <c r="M103" s="573"/>
      <c r="N103" s="573"/>
      <c r="O103" s="573"/>
      <c r="P103" s="573"/>
      <c r="Q103" s="573"/>
      <c r="R103" s="65" t="s">
        <v>82</v>
      </c>
      <c r="S103" s="134"/>
      <c r="T103" s="134"/>
      <c r="U103" s="105"/>
      <c r="V103" s="132" t="s">
        <v>79</v>
      </c>
      <c r="W103" s="133"/>
      <c r="X103" s="104"/>
      <c r="Y103" s="104"/>
      <c r="Z103" s="104"/>
      <c r="AA103" s="104"/>
      <c r="AB103" s="144"/>
      <c r="AC103" s="145"/>
      <c r="AD103" s="145"/>
      <c r="AE103" s="145"/>
      <c r="AF103" s="104"/>
    </row>
    <row r="104" spans="1:32" ht="15.75" x14ac:dyDescent="0.25">
      <c r="A104" s="104"/>
      <c r="B104" s="135"/>
      <c r="C104" s="135"/>
      <c r="D104" s="135"/>
      <c r="E104" s="136"/>
      <c r="F104" s="137"/>
      <c r="G104" s="137"/>
      <c r="H104" s="137"/>
      <c r="I104" s="137"/>
      <c r="J104" s="137"/>
      <c r="K104" s="137"/>
      <c r="L104" s="137"/>
      <c r="M104" s="137"/>
      <c r="N104" s="137"/>
      <c r="O104" s="137"/>
      <c r="P104" s="137"/>
      <c r="Q104" s="138"/>
      <c r="R104" s="135"/>
      <c r="S104" s="104"/>
      <c r="T104" s="104"/>
      <c r="U104" s="163"/>
      <c r="V104" s="135"/>
      <c r="W104" s="135"/>
      <c r="X104" s="104"/>
      <c r="Y104" s="104"/>
      <c r="Z104" s="104"/>
      <c r="AA104" s="104"/>
      <c r="AB104" s="144"/>
      <c r="AC104" s="145"/>
      <c r="AD104" s="145"/>
      <c r="AE104" s="145"/>
      <c r="AF104" s="104"/>
    </row>
    <row r="105" spans="1:32" x14ac:dyDescent="0.2">
      <c r="A105" s="104"/>
      <c r="B105" s="252"/>
      <c r="C105" s="252"/>
      <c r="D105" s="252"/>
      <c r="E105" s="137"/>
      <c r="F105" s="255"/>
      <c r="G105" s="255"/>
      <c r="H105" s="255"/>
      <c r="I105" s="255"/>
      <c r="J105" s="255"/>
      <c r="K105" s="255"/>
      <c r="L105" s="255"/>
      <c r="M105" s="255"/>
      <c r="N105" s="255"/>
      <c r="O105" s="255"/>
      <c r="P105" s="255"/>
      <c r="Q105" s="457"/>
      <c r="R105" s="252"/>
      <c r="S105" s="104"/>
      <c r="T105" s="104"/>
      <c r="U105" s="105"/>
      <c r="V105" s="252"/>
      <c r="W105" s="252"/>
      <c r="X105" s="104"/>
      <c r="Y105" s="104"/>
      <c r="Z105" s="104"/>
      <c r="AA105" s="104"/>
      <c r="AB105" s="144"/>
      <c r="AC105" s="145"/>
      <c r="AD105" s="145"/>
      <c r="AE105" s="145"/>
      <c r="AF105" s="104"/>
    </row>
    <row r="106" spans="1:32" x14ac:dyDescent="0.2">
      <c r="A106" s="104"/>
      <c r="B106" s="435"/>
      <c r="C106" s="435"/>
      <c r="D106" s="435"/>
      <c r="E106" s="436"/>
      <c r="F106" s="436"/>
      <c r="G106" s="436"/>
      <c r="H106" s="436"/>
      <c r="I106" s="436"/>
      <c r="J106" s="436"/>
      <c r="K106" s="436"/>
      <c r="L106" s="436"/>
      <c r="M106" s="436"/>
      <c r="N106" s="436"/>
      <c r="O106" s="436"/>
      <c r="P106" s="436"/>
      <c r="Q106" s="458"/>
      <c r="R106" s="435"/>
      <c r="S106" s="104"/>
      <c r="T106" s="104"/>
      <c r="U106" s="105"/>
      <c r="V106" s="435"/>
      <c r="W106" s="435"/>
      <c r="X106" s="104"/>
      <c r="Y106" s="104"/>
      <c r="Z106" s="104"/>
      <c r="AA106" s="104"/>
      <c r="AB106" s="144"/>
      <c r="AC106" s="145"/>
      <c r="AD106" s="145"/>
      <c r="AE106" s="145"/>
      <c r="AF106" s="104"/>
    </row>
    <row r="107" spans="1:32" x14ac:dyDescent="0.2">
      <c r="A107" s="104"/>
      <c r="B107" s="252"/>
      <c r="C107" s="252"/>
      <c r="D107" s="252"/>
      <c r="E107" s="255"/>
      <c r="F107" s="255"/>
      <c r="G107" s="255"/>
      <c r="H107" s="255"/>
      <c r="I107" s="255"/>
      <c r="J107" s="255"/>
      <c r="K107" s="255"/>
      <c r="L107" s="255"/>
      <c r="M107" s="255"/>
      <c r="N107" s="255"/>
      <c r="O107" s="255"/>
      <c r="P107" s="255"/>
      <c r="Q107" s="457"/>
      <c r="R107" s="252"/>
      <c r="S107" s="104"/>
      <c r="T107" s="104"/>
      <c r="U107" s="105"/>
      <c r="V107" s="252"/>
      <c r="W107" s="252"/>
      <c r="X107" s="104"/>
      <c r="Y107" s="104"/>
      <c r="Z107" s="104"/>
      <c r="AA107" s="104"/>
      <c r="AB107" s="144"/>
      <c r="AC107" s="145"/>
      <c r="AD107" s="145"/>
      <c r="AE107" s="145"/>
      <c r="AF107" s="104"/>
    </row>
    <row r="108" spans="1:32" x14ac:dyDescent="0.2">
      <c r="A108" s="104"/>
      <c r="B108" s="252"/>
      <c r="C108" s="252"/>
      <c r="D108" s="252"/>
      <c r="E108" s="255"/>
      <c r="F108" s="255"/>
      <c r="G108" s="255"/>
      <c r="H108" s="255"/>
      <c r="I108" s="255"/>
      <c r="J108" s="255"/>
      <c r="K108" s="255"/>
      <c r="L108" s="255"/>
      <c r="M108" s="255"/>
      <c r="N108" s="255"/>
      <c r="O108" s="255"/>
      <c r="P108" s="255"/>
      <c r="Q108" s="457"/>
      <c r="R108" s="252"/>
      <c r="S108" s="104"/>
      <c r="T108" s="104"/>
      <c r="U108" s="105"/>
      <c r="V108" s="252"/>
      <c r="W108" s="252"/>
      <c r="X108" s="104"/>
      <c r="Y108" s="104"/>
      <c r="Z108" s="104"/>
      <c r="AA108" s="104"/>
      <c r="AB108" s="144"/>
      <c r="AC108" s="145"/>
      <c r="AD108" s="145"/>
      <c r="AE108" s="145"/>
      <c r="AF108" s="104"/>
    </row>
    <row r="109" spans="1:32" x14ac:dyDescent="0.2">
      <c r="A109" s="104"/>
      <c r="B109" s="128"/>
      <c r="C109" s="128"/>
      <c r="D109" s="128"/>
      <c r="E109" s="119"/>
      <c r="F109" s="119"/>
      <c r="G109" s="119"/>
      <c r="H109" s="119"/>
      <c r="I109" s="119"/>
      <c r="J109" s="119"/>
      <c r="K109" s="119"/>
      <c r="L109" s="119"/>
      <c r="M109" s="119"/>
      <c r="N109" s="119"/>
      <c r="O109" s="119"/>
      <c r="P109" s="119"/>
      <c r="Q109" s="119"/>
      <c r="R109" s="435"/>
      <c r="S109" s="104"/>
      <c r="T109" s="104"/>
      <c r="U109" s="105"/>
      <c r="V109" s="128"/>
      <c r="W109" s="128"/>
      <c r="X109" s="104"/>
      <c r="Y109" s="104"/>
      <c r="Z109" s="104"/>
      <c r="AA109" s="104"/>
      <c r="AB109" s="144"/>
      <c r="AC109" s="145"/>
      <c r="AD109" s="145"/>
      <c r="AE109" s="145"/>
      <c r="AF109" s="104"/>
    </row>
    <row r="110" spans="1:32" ht="15.75" thickBot="1" x14ac:dyDescent="0.25">
      <c r="A110" s="104"/>
      <c r="B110" s="104"/>
      <c r="C110" s="104"/>
      <c r="D110" s="104"/>
      <c r="E110" s="105"/>
      <c r="F110" s="105"/>
      <c r="G110" s="105"/>
      <c r="H110" s="105"/>
      <c r="I110" s="105"/>
      <c r="J110" s="105"/>
      <c r="K110" s="105"/>
      <c r="L110" s="105"/>
      <c r="M110" s="105"/>
      <c r="N110" s="105"/>
      <c r="O110" s="105"/>
      <c r="P110" s="105"/>
      <c r="Q110" s="105"/>
      <c r="R110" s="104"/>
      <c r="S110" s="104"/>
      <c r="T110" s="104"/>
      <c r="U110" s="105"/>
      <c r="V110" s="104"/>
      <c r="W110" s="104"/>
      <c r="X110" s="104"/>
      <c r="Y110" s="104"/>
      <c r="Z110" s="104"/>
      <c r="AA110" s="104"/>
      <c r="AB110" s="144"/>
      <c r="AC110" s="145"/>
      <c r="AD110" s="145"/>
      <c r="AE110" s="145"/>
      <c r="AF110" s="104"/>
    </row>
    <row r="111" spans="1:32" ht="63.75" thickBot="1" x14ac:dyDescent="0.3">
      <c r="A111" s="104"/>
      <c r="B111" s="574" t="s">
        <v>79</v>
      </c>
      <c r="C111" s="575"/>
      <c r="D111" s="576"/>
      <c r="E111" s="72" t="s">
        <v>83</v>
      </c>
      <c r="F111" s="572" t="s">
        <v>140</v>
      </c>
      <c r="G111" s="573"/>
      <c r="H111" s="573"/>
      <c r="I111" s="573"/>
      <c r="J111" s="573"/>
      <c r="K111" s="573"/>
      <c r="L111" s="573"/>
      <c r="M111" s="573"/>
      <c r="N111" s="573"/>
      <c r="O111" s="573"/>
      <c r="P111" s="573"/>
      <c r="Q111" s="577"/>
      <c r="R111" s="65" t="s">
        <v>85</v>
      </c>
      <c r="S111" s="104"/>
      <c r="T111" s="104"/>
      <c r="U111" s="105"/>
      <c r="V111" s="104"/>
      <c r="W111" s="104"/>
      <c r="X111" s="104"/>
      <c r="Y111" s="104"/>
      <c r="Z111" s="104"/>
      <c r="AA111" s="104"/>
      <c r="AB111" s="144"/>
      <c r="AC111" s="145"/>
      <c r="AD111" s="145"/>
      <c r="AE111" s="145"/>
      <c r="AF111" s="104"/>
    </row>
    <row r="112" spans="1:32" ht="15.75" x14ac:dyDescent="0.25">
      <c r="A112" s="104"/>
      <c r="B112" s="135"/>
      <c r="C112" s="135"/>
      <c r="D112" s="135"/>
      <c r="E112" s="68"/>
      <c r="F112" s="137"/>
      <c r="G112" s="137"/>
      <c r="H112" s="137"/>
      <c r="I112" s="137"/>
      <c r="J112" s="137"/>
      <c r="K112" s="137"/>
      <c r="L112" s="137"/>
      <c r="M112" s="137"/>
      <c r="N112" s="137"/>
      <c r="O112" s="137"/>
      <c r="P112" s="137"/>
      <c r="Q112" s="137"/>
      <c r="R112" s="135"/>
      <c r="S112" s="104"/>
      <c r="T112" s="104"/>
      <c r="U112" s="105"/>
      <c r="V112" s="135"/>
      <c r="W112" s="135"/>
      <c r="X112" s="104"/>
      <c r="Y112" s="104"/>
      <c r="Z112" s="104"/>
      <c r="AA112" s="104"/>
      <c r="AB112" s="144"/>
      <c r="AC112" s="145"/>
      <c r="AD112" s="145"/>
      <c r="AE112" s="145"/>
      <c r="AF112" s="104"/>
    </row>
    <row r="113" spans="2:31" x14ac:dyDescent="0.2">
      <c r="B113" s="252"/>
      <c r="C113" s="252"/>
      <c r="D113" s="252"/>
      <c r="E113" s="137"/>
      <c r="F113" s="255"/>
      <c r="G113" s="255"/>
      <c r="H113" s="255"/>
      <c r="I113" s="255"/>
      <c r="J113" s="255"/>
      <c r="K113" s="255"/>
      <c r="L113" s="255"/>
      <c r="M113" s="255"/>
      <c r="N113" s="255"/>
      <c r="O113" s="255"/>
      <c r="P113" s="255"/>
      <c r="Q113" s="255"/>
      <c r="R113" s="252"/>
      <c r="S113" s="104"/>
      <c r="T113" s="104"/>
      <c r="U113" s="105"/>
      <c r="V113" s="252"/>
      <c r="W113" s="252"/>
      <c r="X113" s="104"/>
      <c r="Y113" s="104"/>
      <c r="Z113" s="104"/>
      <c r="AA113" s="104"/>
      <c r="AB113" s="144"/>
      <c r="AC113" s="145"/>
      <c r="AD113" s="145"/>
      <c r="AE113" s="145"/>
    </row>
    <row r="114" spans="2:31" x14ac:dyDescent="0.2">
      <c r="B114" s="435"/>
      <c r="C114" s="435"/>
      <c r="D114" s="435"/>
      <c r="E114" s="436"/>
      <c r="F114" s="436"/>
      <c r="G114" s="436"/>
      <c r="H114" s="436"/>
      <c r="I114" s="436"/>
      <c r="J114" s="436"/>
      <c r="K114" s="436"/>
      <c r="L114" s="436"/>
      <c r="M114" s="436"/>
      <c r="N114" s="436"/>
      <c r="O114" s="436"/>
      <c r="P114" s="436"/>
      <c r="Q114" s="436"/>
      <c r="R114" s="435"/>
      <c r="S114" s="104"/>
      <c r="T114" s="104"/>
      <c r="U114" s="105"/>
      <c r="V114" s="435"/>
      <c r="W114" s="435"/>
      <c r="X114" s="104"/>
      <c r="Y114" s="104"/>
      <c r="Z114" s="104"/>
      <c r="AA114" s="104"/>
      <c r="AB114" s="144"/>
      <c r="AC114" s="145"/>
      <c r="AD114" s="145"/>
      <c r="AE114" s="145"/>
    </row>
    <row r="115" spans="2:31" x14ac:dyDescent="0.2">
      <c r="B115" s="252"/>
      <c r="C115" s="252"/>
      <c r="D115" s="252"/>
      <c r="E115" s="255"/>
      <c r="F115" s="255"/>
      <c r="G115" s="255"/>
      <c r="H115" s="255"/>
      <c r="I115" s="255"/>
      <c r="J115" s="255"/>
      <c r="K115" s="255"/>
      <c r="L115" s="255"/>
      <c r="M115" s="255"/>
      <c r="N115" s="255"/>
      <c r="O115" s="255"/>
      <c r="P115" s="255"/>
      <c r="Q115" s="255"/>
      <c r="R115" s="252"/>
      <c r="S115" s="104"/>
      <c r="T115" s="104"/>
      <c r="U115" s="105"/>
      <c r="V115" s="252"/>
      <c r="W115" s="252"/>
      <c r="X115" s="104"/>
      <c r="Y115" s="104"/>
      <c r="Z115" s="104"/>
      <c r="AA115" s="104"/>
      <c r="AB115" s="144"/>
      <c r="AC115" s="145"/>
      <c r="AD115" s="145"/>
      <c r="AE115" s="145"/>
    </row>
    <row r="116" spans="2:31" x14ac:dyDescent="0.2">
      <c r="B116" s="252"/>
      <c r="C116" s="252"/>
      <c r="D116" s="252"/>
      <c r="E116" s="255"/>
      <c r="F116" s="255"/>
      <c r="G116" s="255"/>
      <c r="H116" s="255"/>
      <c r="I116" s="255"/>
      <c r="J116" s="255"/>
      <c r="K116" s="255"/>
      <c r="L116" s="255"/>
      <c r="M116" s="255"/>
      <c r="N116" s="255"/>
      <c r="O116" s="255"/>
      <c r="P116" s="255"/>
      <c r="Q116" s="255"/>
      <c r="R116" s="252"/>
      <c r="S116" s="104"/>
      <c r="T116" s="104"/>
      <c r="U116" s="105"/>
      <c r="V116" s="252"/>
      <c r="W116" s="252"/>
      <c r="X116" s="104"/>
      <c r="Y116" s="104"/>
      <c r="Z116" s="104"/>
      <c r="AA116" s="104"/>
      <c r="AB116" s="144"/>
      <c r="AC116" s="145"/>
      <c r="AD116" s="145"/>
      <c r="AE116" s="145"/>
    </row>
    <row r="117" spans="2:31" x14ac:dyDescent="0.2">
      <c r="B117" s="104"/>
      <c r="C117" s="104"/>
      <c r="D117" s="104"/>
      <c r="E117" s="104"/>
      <c r="F117" s="104"/>
      <c r="G117" s="104"/>
      <c r="H117" s="104"/>
      <c r="I117" s="104"/>
      <c r="J117" s="104"/>
      <c r="K117" s="104"/>
      <c r="L117" s="104"/>
      <c r="M117" s="104"/>
      <c r="N117" s="104"/>
      <c r="O117" s="104"/>
      <c r="P117" s="104"/>
      <c r="Q117" s="104"/>
      <c r="R117" s="104"/>
      <c r="S117" s="104"/>
      <c r="T117" s="104"/>
      <c r="U117" s="105"/>
      <c r="V117" s="104"/>
      <c r="W117" s="104"/>
      <c r="X117" s="104"/>
      <c r="Y117" s="104"/>
      <c r="Z117" s="104"/>
      <c r="AA117" s="104"/>
      <c r="AB117" s="144"/>
      <c r="AC117" s="145"/>
      <c r="AD117" s="145"/>
      <c r="AE117" s="145"/>
    </row>
    <row r="118" spans="2:31" x14ac:dyDescent="0.2">
      <c r="B118" s="104"/>
      <c r="C118" s="104"/>
      <c r="D118" s="104"/>
      <c r="E118" s="104"/>
      <c r="F118" s="104"/>
      <c r="G118" s="104"/>
      <c r="H118" s="104"/>
      <c r="I118" s="104"/>
      <c r="J118" s="104"/>
      <c r="K118" s="104"/>
      <c r="L118" s="104"/>
      <c r="M118" s="104"/>
      <c r="N118" s="104"/>
      <c r="O118" s="104"/>
      <c r="P118" s="104"/>
      <c r="Q118" s="104"/>
      <c r="R118" s="104"/>
      <c r="S118" s="104"/>
      <c r="T118" s="104"/>
      <c r="U118" s="105"/>
      <c r="V118" s="104"/>
      <c r="W118" s="104"/>
      <c r="X118" s="104"/>
      <c r="Y118" s="104"/>
      <c r="Z118" s="104"/>
      <c r="AA118" s="104"/>
      <c r="AB118" s="144"/>
      <c r="AC118" s="145"/>
      <c r="AD118" s="145"/>
      <c r="AE118" s="145"/>
    </row>
    <row r="119" spans="2:31" x14ac:dyDescent="0.2">
      <c r="B119" s="104"/>
      <c r="C119" s="104"/>
      <c r="D119" s="104"/>
      <c r="E119" s="104"/>
      <c r="F119" s="104"/>
      <c r="G119" s="104"/>
      <c r="H119" s="104"/>
      <c r="I119" s="104"/>
      <c r="J119" s="104"/>
      <c r="K119" s="104"/>
      <c r="L119" s="104"/>
      <c r="M119" s="104"/>
      <c r="N119" s="104"/>
      <c r="O119" s="104"/>
      <c r="P119" s="104"/>
      <c r="Q119" s="104"/>
      <c r="R119" s="104"/>
      <c r="S119" s="104"/>
      <c r="T119" s="104"/>
      <c r="U119" s="105"/>
      <c r="V119" s="104"/>
      <c r="W119" s="104"/>
      <c r="X119" s="104"/>
      <c r="Y119" s="104"/>
      <c r="Z119" s="104"/>
      <c r="AA119" s="104"/>
      <c r="AB119" s="144"/>
      <c r="AC119" s="145"/>
      <c r="AD119" s="145"/>
      <c r="AE119" s="145"/>
    </row>
    <row r="120" spans="2:31" x14ac:dyDescent="0.2">
      <c r="B120" s="104"/>
      <c r="C120" s="104"/>
      <c r="D120" s="104"/>
      <c r="E120" s="104"/>
      <c r="F120" s="104"/>
      <c r="G120" s="104"/>
      <c r="H120" s="104"/>
      <c r="I120" s="104"/>
      <c r="J120" s="104"/>
      <c r="K120" s="104"/>
      <c r="L120" s="104"/>
      <c r="M120" s="104"/>
      <c r="N120" s="104"/>
      <c r="O120" s="104"/>
      <c r="P120" s="104"/>
      <c r="Q120" s="104"/>
      <c r="R120" s="104"/>
      <c r="S120" s="104"/>
      <c r="T120" s="104"/>
      <c r="U120" s="105"/>
      <c r="V120" s="104"/>
      <c r="W120" s="104"/>
      <c r="X120" s="104"/>
      <c r="Y120" s="104"/>
      <c r="Z120" s="104"/>
      <c r="AA120" s="104"/>
      <c r="AB120" s="144"/>
      <c r="AC120" s="145"/>
      <c r="AD120" s="145"/>
      <c r="AE120" s="145"/>
    </row>
    <row r="121" spans="2:31" x14ac:dyDescent="0.2">
      <c r="B121" s="104"/>
      <c r="C121" s="104"/>
      <c r="D121" s="104"/>
      <c r="E121" s="104"/>
      <c r="F121" s="104"/>
      <c r="G121" s="104"/>
      <c r="H121" s="104"/>
      <c r="I121" s="104"/>
      <c r="J121" s="104"/>
      <c r="K121" s="104"/>
      <c r="L121" s="104"/>
      <c r="M121" s="104"/>
      <c r="N121" s="104"/>
      <c r="O121" s="104"/>
      <c r="P121" s="104"/>
      <c r="Q121" s="104"/>
      <c r="R121" s="104"/>
      <c r="S121" s="104"/>
      <c r="T121" s="104"/>
      <c r="U121" s="105"/>
      <c r="V121" s="104"/>
      <c r="W121" s="104"/>
      <c r="X121" s="104"/>
      <c r="Y121" s="104"/>
      <c r="Z121" s="104"/>
      <c r="AA121" s="104"/>
      <c r="AB121" s="144"/>
      <c r="AC121" s="145"/>
      <c r="AD121" s="145"/>
      <c r="AE121" s="145"/>
    </row>
    <row r="122" spans="2:31" x14ac:dyDescent="0.2">
      <c r="B122" s="104"/>
      <c r="C122" s="104"/>
      <c r="D122" s="104"/>
      <c r="E122" s="104"/>
      <c r="F122" s="104"/>
      <c r="G122" s="104"/>
      <c r="H122" s="104"/>
      <c r="I122" s="104"/>
      <c r="J122" s="104"/>
      <c r="K122" s="104"/>
      <c r="L122" s="104"/>
      <c r="M122" s="104"/>
      <c r="N122" s="104"/>
      <c r="O122" s="104"/>
      <c r="P122" s="104"/>
      <c r="Q122" s="104"/>
      <c r="R122" s="104"/>
      <c r="S122" s="104"/>
      <c r="T122" s="104"/>
      <c r="U122" s="105"/>
      <c r="V122" s="104"/>
      <c r="W122" s="104"/>
      <c r="X122" s="104"/>
      <c r="Y122" s="104"/>
      <c r="Z122" s="104"/>
      <c r="AA122" s="104"/>
      <c r="AB122" s="144"/>
      <c r="AC122" s="145"/>
      <c r="AD122" s="145"/>
      <c r="AE122" s="145"/>
    </row>
    <row r="123" spans="2:31" x14ac:dyDescent="0.2">
      <c r="B123" s="104"/>
      <c r="C123" s="104"/>
      <c r="D123" s="104"/>
      <c r="E123" s="104"/>
      <c r="F123" s="104"/>
      <c r="G123" s="104"/>
      <c r="H123" s="104"/>
      <c r="I123" s="104"/>
      <c r="J123" s="104"/>
      <c r="K123" s="104"/>
      <c r="L123" s="104"/>
      <c r="M123" s="104"/>
      <c r="N123" s="104"/>
      <c r="O123" s="104"/>
      <c r="P123" s="104"/>
      <c r="Q123" s="104"/>
      <c r="R123" s="104"/>
      <c r="S123" s="104"/>
      <c r="T123" s="104"/>
      <c r="U123" s="105"/>
      <c r="V123" s="104"/>
      <c r="W123" s="104"/>
      <c r="X123" s="104"/>
      <c r="Y123" s="104"/>
      <c r="Z123" s="104"/>
      <c r="AA123" s="104"/>
      <c r="AB123" s="144"/>
      <c r="AC123" s="145"/>
      <c r="AD123" s="145"/>
      <c r="AE123" s="145"/>
    </row>
    <row r="124" spans="2:31" x14ac:dyDescent="0.2">
      <c r="B124" s="104"/>
      <c r="C124" s="104"/>
      <c r="D124" s="104"/>
      <c r="E124" s="104"/>
      <c r="F124" s="104"/>
      <c r="G124" s="104"/>
      <c r="H124" s="104"/>
      <c r="I124" s="104"/>
      <c r="J124" s="104"/>
      <c r="K124" s="104"/>
      <c r="L124" s="104"/>
      <c r="M124" s="104"/>
      <c r="N124" s="104"/>
      <c r="O124" s="104"/>
      <c r="P124" s="104"/>
      <c r="Q124" s="104"/>
      <c r="R124" s="104"/>
      <c r="S124" s="104"/>
      <c r="T124" s="104"/>
      <c r="U124" s="105"/>
      <c r="V124" s="104"/>
      <c r="W124" s="104"/>
      <c r="X124" s="104"/>
      <c r="Y124" s="104"/>
      <c r="Z124" s="104"/>
      <c r="AA124" s="104"/>
      <c r="AB124" s="144"/>
      <c r="AC124" s="145"/>
      <c r="AD124" s="145"/>
      <c r="AE124" s="145"/>
    </row>
    <row r="125" spans="2:31" x14ac:dyDescent="0.2">
      <c r="B125" s="104"/>
      <c r="C125" s="104"/>
      <c r="D125" s="104"/>
      <c r="E125" s="104"/>
      <c r="F125" s="104"/>
      <c r="G125" s="104"/>
      <c r="H125" s="104"/>
      <c r="I125" s="104"/>
      <c r="J125" s="104"/>
      <c r="K125" s="104"/>
      <c r="L125" s="104"/>
      <c r="M125" s="104"/>
      <c r="N125" s="104"/>
      <c r="O125" s="104"/>
      <c r="P125" s="104"/>
      <c r="Q125" s="104"/>
      <c r="R125" s="104"/>
      <c r="S125" s="104"/>
      <c r="T125" s="104"/>
      <c r="U125" s="105"/>
      <c r="V125" s="104"/>
      <c r="W125" s="104"/>
      <c r="X125" s="104"/>
      <c r="Y125" s="104"/>
      <c r="Z125" s="104"/>
      <c r="AA125" s="104"/>
      <c r="AB125" s="144"/>
      <c r="AC125" s="145"/>
      <c r="AD125" s="145"/>
      <c r="AE125" s="145"/>
    </row>
    <row r="126" spans="2:31" x14ac:dyDescent="0.2">
      <c r="B126" s="104"/>
      <c r="C126" s="104"/>
      <c r="D126" s="104"/>
      <c r="E126" s="104"/>
      <c r="F126" s="104"/>
      <c r="G126" s="104"/>
      <c r="H126" s="104"/>
      <c r="I126" s="104"/>
      <c r="J126" s="104"/>
      <c r="K126" s="104"/>
      <c r="L126" s="104"/>
      <c r="M126" s="104"/>
      <c r="N126" s="104"/>
      <c r="O126" s="104"/>
      <c r="P126" s="104"/>
      <c r="Q126" s="104"/>
      <c r="R126" s="104"/>
      <c r="S126" s="104"/>
      <c r="T126" s="104"/>
      <c r="U126" s="105"/>
      <c r="V126" s="104"/>
      <c r="W126" s="104"/>
      <c r="X126" s="104"/>
      <c r="Y126" s="104"/>
      <c r="Z126" s="104"/>
      <c r="AA126" s="104"/>
      <c r="AB126" s="144"/>
      <c r="AC126" s="145"/>
      <c r="AD126" s="145"/>
      <c r="AE126" s="145"/>
    </row>
  </sheetData>
  <sortState xmlns:xlrd2="http://schemas.microsoft.com/office/spreadsheetml/2017/richdata2" ref="AT11:AY47">
    <sortCondition ref="AV11:AV47"/>
  </sortState>
  <mergeCells count="3">
    <mergeCell ref="F103:Q103"/>
    <mergeCell ref="B111:D111"/>
    <mergeCell ref="F111:Q111"/>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Z132"/>
  <sheetViews>
    <sheetView topLeftCell="A9" zoomScale="88" workbookViewId="0">
      <selection activeCell="A40" sqref="A40"/>
    </sheetView>
  </sheetViews>
  <sheetFormatPr defaultColWidth="9.42578125" defaultRowHeight="15" x14ac:dyDescent="0.2"/>
  <cols>
    <col min="1" max="2" width="9.42578125" style="140"/>
    <col min="3" max="3" width="29" style="140" customWidth="1"/>
    <col min="4" max="5" width="8.5703125" style="141" customWidth="1"/>
    <col min="6" max="6" width="7.42578125" style="141" customWidth="1"/>
    <col min="7" max="7" width="6.42578125" style="141" customWidth="1"/>
    <col min="8" max="9" width="7.42578125" style="141" customWidth="1"/>
    <col min="10" max="10" width="8.42578125" style="141" customWidth="1"/>
    <col min="11" max="11" width="6.5703125" style="141" customWidth="1"/>
    <col min="12" max="12" width="8.42578125" style="141" customWidth="1"/>
    <col min="13" max="17" width="8.5703125" style="141" customWidth="1"/>
    <col min="18" max="18" width="10.42578125" style="141" customWidth="1"/>
    <col min="19" max="20" width="8.5703125" style="141" customWidth="1"/>
    <col min="21" max="21" width="9.42578125" style="140"/>
    <col min="22" max="22" width="15.5703125" style="140" customWidth="1"/>
    <col min="23" max="26" width="9.42578125" style="140"/>
    <col min="27" max="27" width="22.5703125" style="143" customWidth="1"/>
    <col min="28" max="28" width="10.42578125" style="141" customWidth="1"/>
    <col min="29" max="29" width="46.42578125" style="140" customWidth="1"/>
    <col min="30" max="31" width="19.42578125" style="140" customWidth="1"/>
    <col min="32" max="36" width="9.42578125" style="140"/>
    <col min="37" max="37" width="14.42578125" style="140" customWidth="1"/>
    <col min="38" max="38" width="8.5703125" style="140" customWidth="1"/>
    <col min="39" max="39" width="74.5703125" style="140" customWidth="1"/>
    <col min="40" max="44" width="9.42578125" style="140"/>
    <col min="45" max="52" width="24.42578125" style="140" customWidth="1"/>
    <col min="53" max="16384" width="9.42578125" style="140"/>
  </cols>
  <sheetData>
    <row r="2" spans="1:49" ht="15.75" x14ac:dyDescent="0.2">
      <c r="A2" s="104"/>
      <c r="B2" s="104"/>
      <c r="C2" s="104"/>
      <c r="D2" s="91"/>
      <c r="E2" s="105"/>
      <c r="F2" s="105"/>
      <c r="G2" s="105"/>
      <c r="H2" s="105"/>
      <c r="I2" s="105"/>
      <c r="J2" s="105"/>
      <c r="K2" s="105"/>
      <c r="L2" s="105"/>
      <c r="M2" s="105"/>
      <c r="N2" s="105"/>
      <c r="O2" s="105"/>
      <c r="P2" s="105"/>
      <c r="Q2" s="105"/>
      <c r="R2" s="105"/>
      <c r="S2" s="105"/>
      <c r="T2" s="105"/>
      <c r="U2" s="104"/>
      <c r="V2" s="104"/>
      <c r="W2" s="104"/>
      <c r="X2" s="104"/>
      <c r="Y2" s="104"/>
      <c r="Z2" s="104"/>
      <c r="AA2" s="150"/>
      <c r="AB2" s="105"/>
      <c r="AC2" s="104"/>
      <c r="AD2" s="104"/>
      <c r="AE2" s="104"/>
      <c r="AF2" s="104"/>
      <c r="AG2" s="104"/>
      <c r="AH2" s="104"/>
      <c r="AI2" s="104"/>
      <c r="AJ2" s="104"/>
      <c r="AK2" s="104"/>
      <c r="AL2" s="104"/>
      <c r="AM2" s="104"/>
      <c r="AN2" s="104"/>
      <c r="AO2" s="104"/>
      <c r="AP2" s="104"/>
      <c r="AQ2" s="104"/>
      <c r="AR2" s="104"/>
      <c r="AS2" s="104"/>
      <c r="AT2" s="104"/>
      <c r="AU2" s="104"/>
      <c r="AV2" s="104"/>
      <c r="AW2" s="104"/>
    </row>
    <row r="3" spans="1:49" ht="15.75" x14ac:dyDescent="0.2">
      <c r="A3" s="104"/>
      <c r="B3" s="104"/>
      <c r="C3" s="104"/>
      <c r="D3" s="91"/>
      <c r="E3" s="105"/>
      <c r="F3" s="105"/>
      <c r="G3" s="105"/>
      <c r="H3" s="105"/>
      <c r="I3" s="105"/>
      <c r="J3" s="105"/>
      <c r="K3" s="105"/>
      <c r="L3" s="105"/>
      <c r="M3" s="105"/>
      <c r="N3" s="105"/>
      <c r="O3" s="105"/>
      <c r="P3" s="105"/>
      <c r="Q3" s="105"/>
      <c r="R3" s="105"/>
      <c r="S3" s="105"/>
      <c r="T3" s="105"/>
      <c r="U3" s="104"/>
      <c r="V3" s="104"/>
      <c r="W3" s="104"/>
      <c r="X3" s="104"/>
      <c r="Y3" s="104"/>
      <c r="Z3" s="104"/>
      <c r="AA3" s="150"/>
      <c r="AB3" s="105"/>
      <c r="AC3" s="104"/>
      <c r="AD3" s="104"/>
      <c r="AE3" s="104"/>
      <c r="AF3" s="104"/>
      <c r="AG3" s="104"/>
      <c r="AH3" s="104"/>
      <c r="AI3" s="104"/>
      <c r="AJ3" s="104"/>
      <c r="AK3" s="104"/>
      <c r="AL3" s="104"/>
      <c r="AM3" s="104"/>
      <c r="AN3" s="104"/>
      <c r="AO3" s="104"/>
      <c r="AP3" s="104"/>
      <c r="AQ3" s="104"/>
      <c r="AR3" s="104"/>
      <c r="AS3" s="104"/>
      <c r="AT3" s="104"/>
      <c r="AU3" s="104"/>
      <c r="AV3" s="104"/>
      <c r="AW3" s="104"/>
    </row>
    <row r="4" spans="1:49" ht="15.75" x14ac:dyDescent="0.2">
      <c r="A4" s="104"/>
      <c r="B4" s="104"/>
      <c r="C4" s="104"/>
      <c r="D4" s="91"/>
      <c r="E4" s="105"/>
      <c r="F4" s="105"/>
      <c r="G4" s="105"/>
      <c r="H4" s="105"/>
      <c r="I4" s="105"/>
      <c r="J4" s="105"/>
      <c r="K4" s="105"/>
      <c r="L4" s="105"/>
      <c r="M4" s="105"/>
      <c r="N4" s="105"/>
      <c r="O4" s="105"/>
      <c r="P4" s="105"/>
      <c r="Q4" s="105"/>
      <c r="R4" s="105"/>
      <c r="S4" s="105"/>
      <c r="T4" s="105"/>
      <c r="U4" s="104"/>
      <c r="V4" s="104"/>
      <c r="W4" s="104"/>
      <c r="X4" s="104"/>
      <c r="Y4" s="104"/>
      <c r="Z4" s="104"/>
      <c r="AA4" s="150"/>
      <c r="AB4" s="105"/>
      <c r="AC4" s="104"/>
      <c r="AD4" s="104"/>
      <c r="AE4" s="104"/>
      <c r="AF4" s="104"/>
      <c r="AG4" s="104"/>
      <c r="AH4" s="104"/>
      <c r="AI4" s="104"/>
      <c r="AJ4" s="104"/>
      <c r="AK4" s="104"/>
      <c r="AL4" s="104"/>
      <c r="AM4" s="104"/>
      <c r="AN4" s="104"/>
      <c r="AO4" s="104"/>
      <c r="AP4" s="104"/>
      <c r="AQ4" s="104"/>
      <c r="AR4" s="104"/>
      <c r="AS4" s="104"/>
      <c r="AT4" s="104"/>
      <c r="AU4" s="104"/>
      <c r="AV4" s="104"/>
      <c r="AW4" s="104"/>
    </row>
    <row r="5" spans="1:49" x14ac:dyDescent="0.2">
      <c r="A5" s="104"/>
      <c r="B5" s="104"/>
      <c r="C5" s="104"/>
      <c r="D5" s="105"/>
      <c r="E5" s="105"/>
      <c r="F5" s="105"/>
      <c r="G5" s="105"/>
      <c r="H5" s="105"/>
      <c r="I5" s="105"/>
      <c r="J5" s="105"/>
      <c r="K5" s="105"/>
      <c r="L5" s="105"/>
      <c r="M5" s="105"/>
      <c r="N5" s="105"/>
      <c r="O5" s="105"/>
      <c r="P5" s="105"/>
      <c r="Q5" s="105"/>
      <c r="R5" s="105"/>
      <c r="S5" s="105"/>
      <c r="T5" s="105"/>
      <c r="U5" s="104"/>
      <c r="V5" s="104"/>
      <c r="W5" s="104"/>
      <c r="X5" s="104"/>
      <c r="Y5" s="104"/>
      <c r="Z5" s="104"/>
      <c r="AA5" s="150"/>
      <c r="AB5" s="105"/>
      <c r="AC5" s="104"/>
      <c r="AD5" s="104"/>
      <c r="AE5" s="104"/>
      <c r="AF5" s="104"/>
      <c r="AG5" s="104"/>
      <c r="AH5" s="104"/>
      <c r="AI5" s="104"/>
      <c r="AJ5" s="104"/>
      <c r="AK5" s="104"/>
      <c r="AL5" s="104"/>
      <c r="AM5" s="104"/>
      <c r="AN5" s="104"/>
      <c r="AO5" s="104"/>
      <c r="AP5" s="104"/>
      <c r="AQ5" s="104"/>
      <c r="AR5" s="104"/>
      <c r="AS5" s="104"/>
      <c r="AT5" s="104"/>
      <c r="AU5" s="104"/>
      <c r="AV5" s="104"/>
      <c r="AW5" s="104"/>
    </row>
    <row r="6" spans="1:49" ht="15.75" thickBot="1" x14ac:dyDescent="0.25">
      <c r="A6" s="104"/>
      <c r="B6" s="104"/>
      <c r="C6" s="104"/>
      <c r="D6" s="105"/>
      <c r="E6" s="105"/>
      <c r="F6" s="105"/>
      <c r="G6" s="105"/>
      <c r="H6" s="105"/>
      <c r="I6" s="105"/>
      <c r="J6" s="105"/>
      <c r="K6" s="105"/>
      <c r="L6" s="105"/>
      <c r="M6" s="105"/>
      <c r="N6" s="105"/>
      <c r="O6" s="105"/>
      <c r="P6" s="105"/>
      <c r="Q6" s="105"/>
      <c r="R6" s="105"/>
      <c r="S6" s="105"/>
      <c r="T6" s="105"/>
      <c r="U6" s="104"/>
      <c r="V6" s="104"/>
      <c r="W6" s="104"/>
      <c r="X6" s="104"/>
      <c r="Y6" s="104"/>
      <c r="Z6" s="104"/>
      <c r="AA6" s="150"/>
      <c r="AB6" s="105"/>
      <c r="AC6" s="104"/>
      <c r="AD6" s="104"/>
      <c r="AE6" s="104"/>
      <c r="AF6" s="104"/>
      <c r="AG6" s="104"/>
      <c r="AH6" s="104"/>
      <c r="AI6" s="104"/>
      <c r="AJ6" s="104"/>
      <c r="AK6" s="104"/>
      <c r="AL6" s="104"/>
      <c r="AM6" s="104"/>
      <c r="AN6" s="104"/>
      <c r="AO6" s="104"/>
      <c r="AP6" s="104"/>
      <c r="AQ6" s="104"/>
      <c r="AR6" s="104"/>
      <c r="AS6" s="104"/>
      <c r="AT6" s="104"/>
      <c r="AU6" s="104"/>
      <c r="AV6" s="104"/>
      <c r="AW6" s="104"/>
    </row>
    <row r="7" spans="1:49" ht="16.5" thickBot="1" x14ac:dyDescent="0.3">
      <c r="A7" s="106"/>
      <c r="B7" s="107" t="s">
        <v>0</v>
      </c>
      <c r="C7" s="108"/>
      <c r="D7" s="170"/>
      <c r="E7" s="170"/>
      <c r="F7" s="170"/>
      <c r="G7" s="170"/>
      <c r="H7" s="170"/>
      <c r="I7" s="170"/>
      <c r="J7" s="170"/>
      <c r="K7" s="170"/>
      <c r="L7" s="170"/>
      <c r="M7" s="170"/>
      <c r="N7" s="170"/>
      <c r="O7" s="170"/>
      <c r="P7" s="170"/>
      <c r="Q7" s="170"/>
      <c r="R7" s="170"/>
      <c r="S7" s="170"/>
      <c r="T7" s="151"/>
      <c r="U7" s="107" t="s">
        <v>0</v>
      </c>
      <c r="V7" s="108"/>
      <c r="W7" s="104"/>
      <c r="X7" s="104"/>
      <c r="Y7" s="104"/>
      <c r="Z7" s="104"/>
      <c r="AA7" s="150"/>
      <c r="AB7" s="105"/>
      <c r="AC7" s="104"/>
      <c r="AD7" s="104"/>
      <c r="AE7" s="104"/>
      <c r="AF7" s="104"/>
      <c r="AG7" s="104"/>
      <c r="AH7" s="104"/>
      <c r="AI7" s="104"/>
      <c r="AJ7" s="104"/>
      <c r="AK7" s="104"/>
      <c r="AL7" s="104"/>
      <c r="AM7" s="104"/>
      <c r="AN7" s="104"/>
      <c r="AO7" s="104"/>
      <c r="AP7" s="104"/>
      <c r="AQ7" s="104"/>
      <c r="AR7" s="104"/>
      <c r="AS7" s="104"/>
      <c r="AT7" s="104"/>
      <c r="AU7" s="104"/>
      <c r="AV7" s="104"/>
      <c r="AW7" s="104"/>
    </row>
    <row r="8" spans="1:49" ht="63.75" thickBot="1" x14ac:dyDescent="0.3">
      <c r="A8" s="248" t="s">
        <v>60</v>
      </c>
      <c r="B8" s="83" t="s">
        <v>3</v>
      </c>
      <c r="C8" s="55" t="s">
        <v>2</v>
      </c>
      <c r="D8" s="57" t="s">
        <v>141</v>
      </c>
      <c r="E8" s="103" t="s">
        <v>4</v>
      </c>
      <c r="F8" s="58" t="s">
        <v>5</v>
      </c>
      <c r="G8" s="58" t="s">
        <v>6</v>
      </c>
      <c r="H8" s="58" t="s">
        <v>7</v>
      </c>
      <c r="I8" s="58" t="s">
        <v>8</v>
      </c>
      <c r="J8" s="58" t="s">
        <v>9</v>
      </c>
      <c r="K8" s="58" t="s">
        <v>10</v>
      </c>
      <c r="L8" s="58" t="s">
        <v>11</v>
      </c>
      <c r="M8" s="58" t="s">
        <v>12</v>
      </c>
      <c r="N8" s="58" t="s">
        <v>13</v>
      </c>
      <c r="O8" s="58" t="s">
        <v>14</v>
      </c>
      <c r="P8" s="58" t="s">
        <v>15</v>
      </c>
      <c r="Q8" s="59" t="s">
        <v>16</v>
      </c>
      <c r="R8" s="60" t="s">
        <v>125</v>
      </c>
      <c r="S8" s="57" t="s">
        <v>19</v>
      </c>
      <c r="T8" s="61" t="s">
        <v>41</v>
      </c>
      <c r="U8" s="83" t="s">
        <v>3</v>
      </c>
      <c r="V8" s="55" t="s">
        <v>2</v>
      </c>
      <c r="W8" s="104"/>
      <c r="X8" s="104"/>
      <c r="Y8" s="104"/>
      <c r="Z8" s="104"/>
      <c r="AA8" s="152"/>
      <c r="AB8" s="164"/>
      <c r="AC8" s="148" t="s">
        <v>143</v>
      </c>
      <c r="AD8" s="148"/>
      <c r="AE8" s="104"/>
      <c r="AF8" s="104"/>
      <c r="AG8" s="104"/>
      <c r="AH8" s="104"/>
      <c r="AI8" s="104"/>
      <c r="AJ8" s="104"/>
      <c r="AK8" s="142" t="s">
        <v>144</v>
      </c>
      <c r="AL8" s="142"/>
      <c r="AM8" s="147" t="s">
        <v>145</v>
      </c>
      <c r="AN8" s="142"/>
      <c r="AO8" s="104"/>
      <c r="AP8" s="104"/>
      <c r="AQ8" s="104"/>
      <c r="AR8" s="104"/>
      <c r="AS8" s="104"/>
      <c r="AT8" s="104"/>
      <c r="AU8" s="104"/>
      <c r="AV8" s="104"/>
      <c r="AW8" s="104"/>
    </row>
    <row r="9" spans="1:49" ht="15.75" x14ac:dyDescent="0.25">
      <c r="A9" s="249"/>
      <c r="B9" s="110"/>
      <c r="C9" s="435"/>
      <c r="D9" s="436"/>
      <c r="E9" s="436">
        <v>1</v>
      </c>
      <c r="F9" s="436"/>
      <c r="G9" s="436"/>
      <c r="H9" s="436"/>
      <c r="I9" s="436"/>
      <c r="J9" s="436"/>
      <c r="K9" s="436"/>
      <c r="L9" s="436"/>
      <c r="M9" s="436"/>
      <c r="N9" s="436"/>
      <c r="O9" s="436"/>
      <c r="P9" s="436"/>
      <c r="Q9" s="436"/>
      <c r="R9" s="250"/>
      <c r="S9" s="465"/>
      <c r="T9" s="153"/>
      <c r="U9" s="110"/>
      <c r="V9" s="435"/>
      <c r="W9" s="104"/>
      <c r="X9" s="104"/>
      <c r="Y9" s="104"/>
      <c r="Z9" s="104"/>
      <c r="AA9" s="144" t="s">
        <v>146</v>
      </c>
      <c r="AB9" s="149" t="s">
        <v>147</v>
      </c>
      <c r="AC9" s="145" t="s">
        <v>148</v>
      </c>
      <c r="AD9" s="145" t="s">
        <v>149</v>
      </c>
      <c r="AE9" s="104"/>
      <c r="AF9" s="104"/>
      <c r="AG9" s="104"/>
      <c r="AH9" s="104"/>
      <c r="AI9" s="104"/>
      <c r="AJ9" s="104"/>
      <c r="AK9" s="142"/>
      <c r="AL9" s="142"/>
      <c r="AM9" s="147"/>
      <c r="AN9" s="142"/>
      <c r="AO9" s="104"/>
      <c r="AP9" s="104"/>
      <c r="AQ9" s="104"/>
      <c r="AR9" s="104"/>
      <c r="AS9" s="104"/>
      <c r="AT9" s="104"/>
      <c r="AU9" s="104"/>
      <c r="AV9" s="104"/>
      <c r="AW9" s="104"/>
    </row>
    <row r="10" spans="1:49" x14ac:dyDescent="0.2">
      <c r="A10" s="252">
        <v>22384</v>
      </c>
      <c r="B10" s="112">
        <v>2013</v>
      </c>
      <c r="C10" s="252" t="s">
        <v>26</v>
      </c>
      <c r="D10" s="255">
        <v>28</v>
      </c>
      <c r="E10" s="443">
        <v>28</v>
      </c>
      <c r="F10" s="459"/>
      <c r="G10" s="459"/>
      <c r="H10" s="459"/>
      <c r="I10" s="459"/>
      <c r="J10" s="459"/>
      <c r="K10" s="459"/>
      <c r="L10" s="459"/>
      <c r="M10" s="459"/>
      <c r="N10" s="459"/>
      <c r="O10" s="459"/>
      <c r="P10" s="459"/>
      <c r="Q10" s="256">
        <f>SUM(E10:P10)</f>
        <v>28</v>
      </c>
      <c r="R10" s="359">
        <f>IFERROR((AVERAGE(E10:P10)),0)</f>
        <v>28</v>
      </c>
      <c r="S10" s="360">
        <f>IFERROR((T10/R10),0)</f>
        <v>0</v>
      </c>
      <c r="T10" s="154">
        <f>SUM(D10-Q10)</f>
        <v>0</v>
      </c>
      <c r="U10" s="112">
        <v>2013</v>
      </c>
      <c r="V10" s="252" t="s">
        <v>26</v>
      </c>
      <c r="W10" s="104"/>
      <c r="X10" s="104"/>
      <c r="Y10" s="104"/>
      <c r="Z10" s="104"/>
      <c r="AA10" s="144"/>
      <c r="AB10" s="149"/>
      <c r="AC10" s="145"/>
      <c r="AD10" s="145"/>
      <c r="AE10" s="104"/>
      <c r="AF10" s="104"/>
      <c r="AG10" s="104"/>
      <c r="AH10" s="104"/>
      <c r="AI10" s="104"/>
      <c r="AJ10" s="104"/>
      <c r="AK10" s="150">
        <v>43117</v>
      </c>
      <c r="AL10" s="104"/>
      <c r="AM10" s="104" t="s">
        <v>235</v>
      </c>
      <c r="AN10" s="142"/>
      <c r="AO10" s="104"/>
      <c r="AP10" s="104"/>
      <c r="AQ10" s="104"/>
      <c r="AR10" s="104"/>
      <c r="AS10" s="104"/>
      <c r="AT10" s="104"/>
      <c r="AU10" s="104"/>
      <c r="AV10" s="104"/>
      <c r="AW10" s="104"/>
    </row>
    <row r="11" spans="1:49" ht="15.75" x14ac:dyDescent="0.25">
      <c r="A11" s="249"/>
      <c r="B11" s="110"/>
      <c r="C11" s="435"/>
      <c r="D11" s="436"/>
      <c r="E11" s="436"/>
      <c r="F11" s="436"/>
      <c r="G11" s="436"/>
      <c r="H11" s="436"/>
      <c r="I11" s="436"/>
      <c r="J11" s="436"/>
      <c r="K11" s="436"/>
      <c r="L11" s="436"/>
      <c r="M11" s="436"/>
      <c r="N11" s="436"/>
      <c r="O11" s="436"/>
      <c r="P11" s="436"/>
      <c r="Q11" s="436"/>
      <c r="R11" s="250"/>
      <c r="S11" s="465"/>
      <c r="T11" s="156"/>
      <c r="U11" s="110"/>
      <c r="V11" s="435"/>
      <c r="W11" s="104"/>
      <c r="X11" s="104"/>
      <c r="Y11" s="104"/>
      <c r="Z11" s="104"/>
      <c r="AA11" s="144"/>
      <c r="AB11" s="149"/>
      <c r="AC11" s="145"/>
      <c r="AD11" s="145"/>
      <c r="AE11" s="104"/>
      <c r="AF11" s="104"/>
      <c r="AG11" s="104"/>
      <c r="AH11" s="104"/>
      <c r="AI11" s="104"/>
      <c r="AJ11" s="104"/>
      <c r="AK11" s="158">
        <v>43132</v>
      </c>
      <c r="AL11" s="142"/>
      <c r="AM11" s="147" t="s">
        <v>236</v>
      </c>
      <c r="AN11" s="142"/>
      <c r="AO11" s="104"/>
      <c r="AP11" s="104"/>
      <c r="AQ11" s="104"/>
      <c r="AR11" s="104"/>
      <c r="AS11" s="155"/>
      <c r="AT11" s="105"/>
      <c r="AU11" s="105"/>
      <c r="AV11" s="105"/>
      <c r="AW11" s="104"/>
    </row>
    <row r="12" spans="1:49" x14ac:dyDescent="0.2">
      <c r="A12" s="252">
        <v>84802</v>
      </c>
      <c r="B12" s="492">
        <v>2014</v>
      </c>
      <c r="C12" s="252" t="s">
        <v>93</v>
      </c>
      <c r="D12" s="255">
        <v>55</v>
      </c>
      <c r="E12" s="443">
        <v>14</v>
      </c>
      <c r="F12" s="443">
        <v>8</v>
      </c>
      <c r="G12" s="443">
        <v>2</v>
      </c>
      <c r="H12" s="443">
        <v>4</v>
      </c>
      <c r="I12" s="443">
        <v>27</v>
      </c>
      <c r="J12" s="260"/>
      <c r="K12" s="260"/>
      <c r="L12" s="260"/>
      <c r="M12" s="260"/>
      <c r="N12" s="260"/>
      <c r="O12" s="260"/>
      <c r="P12" s="260"/>
      <c r="Q12" s="256">
        <f>SUM(E12:P12)</f>
        <v>55</v>
      </c>
      <c r="R12" s="359">
        <f>IFERROR((AVERAGE(E12:P12)),0)</f>
        <v>11</v>
      </c>
      <c r="S12" s="360">
        <f>IFERROR((T12/R12),0)</f>
        <v>0</v>
      </c>
      <c r="T12" s="154">
        <f>SUM(D12-Q12)</f>
        <v>0</v>
      </c>
      <c r="U12" s="492">
        <v>2014</v>
      </c>
      <c r="V12" s="252" t="s">
        <v>93</v>
      </c>
      <c r="W12" s="104"/>
      <c r="X12" s="104"/>
      <c r="Y12" s="104"/>
      <c r="Z12" s="104"/>
      <c r="AA12" s="144">
        <v>43111</v>
      </c>
      <c r="AB12" s="149">
        <v>2016</v>
      </c>
      <c r="AC12" s="145" t="s">
        <v>217</v>
      </c>
      <c r="AD12" s="145">
        <v>454</v>
      </c>
      <c r="AE12" s="104" t="s">
        <v>237</v>
      </c>
      <c r="AF12" s="104"/>
      <c r="AG12" s="104"/>
      <c r="AH12" s="104"/>
      <c r="AI12" s="104"/>
      <c r="AJ12" s="104"/>
      <c r="AK12" s="158">
        <v>43132</v>
      </c>
      <c r="AL12" s="142"/>
      <c r="AM12" s="142" t="s">
        <v>238</v>
      </c>
      <c r="AN12" s="142"/>
      <c r="AO12" s="104"/>
      <c r="AP12" s="104"/>
      <c r="AQ12" s="104"/>
      <c r="AR12" s="104"/>
      <c r="AS12" s="155"/>
      <c r="AT12" s="105"/>
      <c r="AU12" s="105"/>
      <c r="AV12" s="105"/>
      <c r="AW12" s="104"/>
    </row>
    <row r="13" spans="1:49" x14ac:dyDescent="0.2">
      <c r="A13" s="252">
        <v>22384</v>
      </c>
      <c r="B13" s="492">
        <v>2014</v>
      </c>
      <c r="C13" s="252" t="s">
        <v>26</v>
      </c>
      <c r="D13" s="255">
        <v>119</v>
      </c>
      <c r="E13" s="443">
        <v>12</v>
      </c>
      <c r="F13" s="443">
        <v>12</v>
      </c>
      <c r="G13" s="443">
        <v>10</v>
      </c>
      <c r="H13" s="443">
        <v>7</v>
      </c>
      <c r="I13" s="443">
        <v>47</v>
      </c>
      <c r="J13" s="443">
        <v>10</v>
      </c>
      <c r="K13" s="443">
        <v>8</v>
      </c>
      <c r="L13" s="443">
        <v>2</v>
      </c>
      <c r="M13" s="443">
        <v>3</v>
      </c>
      <c r="N13" s="260"/>
      <c r="O13" s="260"/>
      <c r="P13" s="260"/>
      <c r="Q13" s="256">
        <f>SUM(E13:P13)</f>
        <v>111</v>
      </c>
      <c r="R13" s="359">
        <f>IFERROR((AVERAGE(E13:P13)),0)</f>
        <v>12.333333333333334</v>
      </c>
      <c r="S13" s="360">
        <f>IFERROR((T13/R13),0)</f>
        <v>0.64864864864864857</v>
      </c>
      <c r="T13" s="154">
        <f>SUM(D13-Q13)</f>
        <v>8</v>
      </c>
      <c r="U13" s="492">
        <v>2014</v>
      </c>
      <c r="V13" s="252" t="s">
        <v>26</v>
      </c>
      <c r="W13" s="104"/>
      <c r="X13" s="104"/>
      <c r="Y13" s="104"/>
      <c r="Z13" s="104"/>
      <c r="AA13" s="144">
        <v>43137</v>
      </c>
      <c r="AB13" s="149">
        <v>2017</v>
      </c>
      <c r="AC13" s="145" t="s">
        <v>239</v>
      </c>
      <c r="AD13" s="145">
        <v>2091</v>
      </c>
      <c r="AE13" s="104"/>
      <c r="AF13" s="104"/>
      <c r="AG13" s="104"/>
      <c r="AH13" s="104"/>
      <c r="AI13" s="104"/>
      <c r="AJ13" s="104"/>
      <c r="AK13" s="158">
        <v>43186</v>
      </c>
      <c r="AL13" s="142"/>
      <c r="AM13" s="142" t="s">
        <v>240</v>
      </c>
      <c r="AN13" s="142"/>
      <c r="AO13" s="104"/>
      <c r="AP13" s="104"/>
      <c r="AQ13" s="104"/>
      <c r="AR13" s="104"/>
      <c r="AS13" s="155"/>
      <c r="AT13" s="105"/>
      <c r="AU13" s="105"/>
      <c r="AV13" s="105"/>
      <c r="AW13" s="104"/>
    </row>
    <row r="14" spans="1:49" x14ac:dyDescent="0.2">
      <c r="A14" s="252">
        <v>28381</v>
      </c>
      <c r="B14" s="253">
        <v>2014</v>
      </c>
      <c r="C14" s="252" t="s">
        <v>100</v>
      </c>
      <c r="D14" s="255">
        <v>33</v>
      </c>
      <c r="E14" s="443">
        <v>10</v>
      </c>
      <c r="F14" s="443">
        <v>11</v>
      </c>
      <c r="G14" s="443">
        <v>6</v>
      </c>
      <c r="H14" s="443">
        <v>6</v>
      </c>
      <c r="I14" s="260"/>
      <c r="J14" s="260"/>
      <c r="K14" s="260"/>
      <c r="L14" s="260"/>
      <c r="M14" s="260"/>
      <c r="N14" s="260"/>
      <c r="O14" s="260"/>
      <c r="P14" s="260"/>
      <c r="Q14" s="256">
        <f>SUM(E14:P14)</f>
        <v>33</v>
      </c>
      <c r="R14" s="359">
        <f>IFERROR((AVERAGE(E14:P14)),0)</f>
        <v>8.25</v>
      </c>
      <c r="S14" s="360">
        <f>IFERROR((T14/R14),0)</f>
        <v>0</v>
      </c>
      <c r="T14" s="461">
        <f>SUM(D14-Q14)</f>
        <v>0</v>
      </c>
      <c r="U14" s="253">
        <v>2014</v>
      </c>
      <c r="V14" s="252" t="s">
        <v>100</v>
      </c>
      <c r="W14" s="104"/>
      <c r="X14" s="104"/>
      <c r="Y14" s="104"/>
      <c r="Z14" s="104"/>
      <c r="AA14" s="144">
        <v>43111</v>
      </c>
      <c r="AB14" s="149">
        <v>2016</v>
      </c>
      <c r="AC14" s="145" t="s">
        <v>241</v>
      </c>
      <c r="AD14" s="145">
        <v>384</v>
      </c>
      <c r="AE14" s="104" t="s">
        <v>237</v>
      </c>
      <c r="AF14" s="104"/>
      <c r="AG14" s="104"/>
      <c r="AH14" s="104"/>
      <c r="AI14" s="104"/>
      <c r="AJ14" s="104"/>
      <c r="AK14" s="158">
        <v>43186</v>
      </c>
      <c r="AL14" s="142"/>
      <c r="AM14" s="142" t="s">
        <v>242</v>
      </c>
      <c r="AN14" s="142"/>
      <c r="AO14" s="104"/>
      <c r="AP14" s="104"/>
      <c r="AQ14" s="104"/>
      <c r="AR14" s="104"/>
      <c r="AS14" s="155"/>
      <c r="AT14" s="105"/>
      <c r="AU14" s="105"/>
      <c r="AV14" s="105"/>
      <c r="AW14" s="104"/>
    </row>
    <row r="15" spans="1:49" x14ac:dyDescent="0.2">
      <c r="A15" s="252">
        <v>115264</v>
      </c>
      <c r="B15" s="253">
        <v>2014</v>
      </c>
      <c r="C15" s="252" t="s">
        <v>225</v>
      </c>
      <c r="D15" s="255">
        <v>339</v>
      </c>
      <c r="E15" s="443">
        <v>32</v>
      </c>
      <c r="F15" s="443">
        <v>0</v>
      </c>
      <c r="G15" s="443">
        <v>0</v>
      </c>
      <c r="H15" s="443">
        <v>21</v>
      </c>
      <c r="I15" s="443">
        <v>3</v>
      </c>
      <c r="J15" s="443">
        <v>9</v>
      </c>
      <c r="K15" s="443">
        <v>14</v>
      </c>
      <c r="L15" s="443">
        <v>16</v>
      </c>
      <c r="M15" s="443">
        <v>20</v>
      </c>
      <c r="N15" s="443">
        <v>16</v>
      </c>
      <c r="O15" s="443">
        <v>68</v>
      </c>
      <c r="P15" s="443">
        <v>17</v>
      </c>
      <c r="Q15" s="466">
        <f>SUM(E15:P15)</f>
        <v>216</v>
      </c>
      <c r="R15" s="359">
        <f t="shared" ref="R15" si="0">IFERROR((AVERAGE(E15:P15)),0)</f>
        <v>18</v>
      </c>
      <c r="S15" s="360">
        <f>IFERROR((T15/R15),0)</f>
        <v>6.833333333333333</v>
      </c>
      <c r="T15" s="461">
        <f>SUM(D15-Q15)</f>
        <v>123</v>
      </c>
      <c r="U15" s="253">
        <v>2016</v>
      </c>
      <c r="V15" s="252" t="s">
        <v>225</v>
      </c>
      <c r="W15" s="104"/>
      <c r="X15" s="104"/>
      <c r="Y15" s="104"/>
      <c r="Z15" s="104"/>
      <c r="AA15" s="144"/>
      <c r="AB15" s="149"/>
      <c r="AC15" s="145"/>
      <c r="AD15" s="145"/>
      <c r="AE15" s="104"/>
      <c r="AF15" s="104"/>
      <c r="AG15" s="104"/>
      <c r="AH15" s="104"/>
      <c r="AI15" s="104"/>
      <c r="AJ15" s="104"/>
      <c r="AK15" s="158"/>
      <c r="AL15" s="142"/>
      <c r="AM15" s="142"/>
      <c r="AN15" s="142"/>
      <c r="AO15" s="104"/>
      <c r="AP15" s="104"/>
      <c r="AQ15" s="104"/>
      <c r="AR15" s="104"/>
      <c r="AS15" s="155"/>
      <c r="AT15" s="105"/>
      <c r="AU15" s="105"/>
      <c r="AV15" s="105"/>
      <c r="AW15" s="104"/>
    </row>
    <row r="16" spans="1:49" x14ac:dyDescent="0.2">
      <c r="A16" s="249"/>
      <c r="B16" s="249"/>
      <c r="C16" s="249"/>
      <c r="D16" s="251"/>
      <c r="E16" s="251"/>
      <c r="F16" s="251"/>
      <c r="G16" s="251"/>
      <c r="H16" s="251"/>
      <c r="I16" s="251"/>
      <c r="J16" s="251"/>
      <c r="K16" s="251"/>
      <c r="L16" s="251"/>
      <c r="M16" s="251"/>
      <c r="N16" s="251"/>
      <c r="O16" s="251"/>
      <c r="P16" s="251"/>
      <c r="Q16" s="356"/>
      <c r="R16" s="357"/>
      <c r="S16" s="358"/>
      <c r="T16" s="462"/>
      <c r="U16" s="249"/>
      <c r="V16" s="249"/>
      <c r="W16" s="104"/>
      <c r="X16" s="104"/>
      <c r="Y16" s="104"/>
      <c r="Z16" s="104"/>
      <c r="AA16" s="144">
        <v>43137</v>
      </c>
      <c r="AB16" s="149">
        <v>2017</v>
      </c>
      <c r="AC16" s="145" t="s">
        <v>111</v>
      </c>
      <c r="AD16" s="145">
        <v>2091</v>
      </c>
      <c r="AE16" s="104" t="s">
        <v>204</v>
      </c>
      <c r="AF16" s="104"/>
      <c r="AG16" s="104"/>
      <c r="AH16" s="104"/>
      <c r="AI16" s="104"/>
      <c r="AJ16" s="104"/>
      <c r="AK16" s="158">
        <v>43186</v>
      </c>
      <c r="AL16" s="142"/>
      <c r="AM16" s="142" t="s">
        <v>243</v>
      </c>
      <c r="AN16" s="142"/>
      <c r="AO16" s="104"/>
      <c r="AP16" s="104"/>
      <c r="AQ16" s="104"/>
      <c r="AR16" s="104"/>
      <c r="AS16" s="155"/>
      <c r="AT16" s="105"/>
      <c r="AU16" s="105"/>
      <c r="AV16" s="105"/>
      <c r="AW16" s="104"/>
    </row>
    <row r="17" spans="1:49" x14ac:dyDescent="0.2">
      <c r="A17" s="252">
        <v>57632</v>
      </c>
      <c r="B17" s="253">
        <v>2015</v>
      </c>
      <c r="C17" s="252" t="s">
        <v>31</v>
      </c>
      <c r="D17" s="255">
        <v>6</v>
      </c>
      <c r="E17" s="443">
        <v>6</v>
      </c>
      <c r="F17" s="260"/>
      <c r="G17" s="260"/>
      <c r="H17" s="260"/>
      <c r="I17" s="260"/>
      <c r="J17" s="260"/>
      <c r="K17" s="260"/>
      <c r="L17" s="260"/>
      <c r="M17" s="260"/>
      <c r="N17" s="260"/>
      <c r="O17" s="260"/>
      <c r="P17" s="260"/>
      <c r="Q17" s="256">
        <f t="shared" ref="Q17:Q26" si="1">SUM(E17:P17)</f>
        <v>6</v>
      </c>
      <c r="R17" s="359">
        <f t="shared" ref="R17:R26" si="2">IFERROR((AVERAGE(E17:P17)),0)</f>
        <v>6</v>
      </c>
      <c r="S17" s="360">
        <f t="shared" ref="S17:S26" si="3">IFERROR((T17/R17),0)</f>
        <v>0</v>
      </c>
      <c r="T17" s="461">
        <f t="shared" ref="T17:T26" si="4">SUM(D17-Q17)</f>
        <v>0</v>
      </c>
      <c r="U17" s="253">
        <v>2015</v>
      </c>
      <c r="V17" s="252" t="s">
        <v>31</v>
      </c>
      <c r="W17" s="104"/>
      <c r="X17" s="104"/>
      <c r="Y17" s="104"/>
      <c r="Z17" s="104"/>
      <c r="AA17" s="144">
        <v>43138</v>
      </c>
      <c r="AB17" s="149">
        <v>2017</v>
      </c>
      <c r="AC17" s="145" t="s">
        <v>156</v>
      </c>
      <c r="AD17" s="145">
        <v>406</v>
      </c>
      <c r="AE17" s="104" t="s">
        <v>237</v>
      </c>
      <c r="AF17" s="104"/>
      <c r="AG17" s="104"/>
      <c r="AH17" s="104"/>
      <c r="AI17" s="104"/>
      <c r="AJ17" s="104"/>
      <c r="AK17" s="158"/>
      <c r="AL17" s="142"/>
      <c r="AM17" s="142"/>
      <c r="AN17" s="142"/>
      <c r="AO17" s="104"/>
      <c r="AP17" s="104"/>
      <c r="AQ17" s="104"/>
      <c r="AR17" s="104"/>
      <c r="AS17" s="155"/>
      <c r="AT17" s="105"/>
      <c r="AU17" s="105"/>
      <c r="AV17" s="105"/>
      <c r="AW17" s="104"/>
    </row>
    <row r="18" spans="1:49" x14ac:dyDescent="0.2">
      <c r="A18" s="252">
        <v>57630</v>
      </c>
      <c r="B18" s="253">
        <v>2015</v>
      </c>
      <c r="C18" s="252" t="s">
        <v>25</v>
      </c>
      <c r="D18" s="255">
        <v>138</v>
      </c>
      <c r="E18" s="443">
        <v>18</v>
      </c>
      <c r="F18" s="443">
        <v>19</v>
      </c>
      <c r="G18" s="443">
        <v>28</v>
      </c>
      <c r="H18" s="443">
        <v>37</v>
      </c>
      <c r="I18" s="443">
        <v>31</v>
      </c>
      <c r="J18" s="443">
        <v>5</v>
      </c>
      <c r="K18" s="260"/>
      <c r="L18" s="260"/>
      <c r="M18" s="260"/>
      <c r="N18" s="260"/>
      <c r="O18" s="260"/>
      <c r="P18" s="260"/>
      <c r="Q18" s="256">
        <f t="shared" si="1"/>
        <v>138</v>
      </c>
      <c r="R18" s="359">
        <f t="shared" si="2"/>
        <v>23</v>
      </c>
      <c r="S18" s="360">
        <f t="shared" si="3"/>
        <v>0</v>
      </c>
      <c r="T18" s="461">
        <f t="shared" si="4"/>
        <v>0</v>
      </c>
      <c r="U18" s="253">
        <v>2015</v>
      </c>
      <c r="V18" s="252" t="s">
        <v>25</v>
      </c>
      <c r="W18" s="104"/>
      <c r="X18" s="104"/>
      <c r="Y18" s="104"/>
      <c r="Z18" s="104"/>
      <c r="AA18" s="144">
        <v>43138</v>
      </c>
      <c r="AB18" s="149">
        <v>2017</v>
      </c>
      <c r="AC18" s="145" t="s">
        <v>181</v>
      </c>
      <c r="AD18" s="145">
        <v>397</v>
      </c>
      <c r="AE18" s="104" t="s">
        <v>237</v>
      </c>
      <c r="AF18" s="104"/>
      <c r="AG18" s="104"/>
      <c r="AH18" s="104"/>
      <c r="AI18" s="104"/>
      <c r="AJ18" s="104"/>
      <c r="AK18" s="158"/>
      <c r="AL18" s="142"/>
      <c r="AM18" s="142"/>
      <c r="AN18" s="142"/>
      <c r="AO18" s="104"/>
      <c r="AP18" s="104"/>
      <c r="AQ18" s="104"/>
      <c r="AR18" s="104"/>
      <c r="AS18" s="159"/>
      <c r="AT18" s="105"/>
      <c r="AU18" s="105"/>
      <c r="AV18" s="105"/>
      <c r="AW18" s="104"/>
    </row>
    <row r="19" spans="1:49" x14ac:dyDescent="0.2">
      <c r="A19" s="252">
        <v>30306</v>
      </c>
      <c r="B19" s="253">
        <v>2015</v>
      </c>
      <c r="C19" s="252" t="s">
        <v>244</v>
      </c>
      <c r="D19" s="255">
        <v>254</v>
      </c>
      <c r="E19" s="443"/>
      <c r="F19" s="443"/>
      <c r="G19" s="443"/>
      <c r="H19" s="443"/>
      <c r="I19" s="443"/>
      <c r="J19" s="443"/>
      <c r="K19" s="443">
        <v>10</v>
      </c>
      <c r="L19" s="443">
        <v>0</v>
      </c>
      <c r="M19" s="443">
        <v>0</v>
      </c>
      <c r="N19" s="443">
        <v>0</v>
      </c>
      <c r="O19" s="443">
        <v>0</v>
      </c>
      <c r="P19" s="443">
        <v>0</v>
      </c>
      <c r="Q19" s="256">
        <f>SUM(E19:P19)</f>
        <v>10</v>
      </c>
      <c r="R19" s="359">
        <f>IFERROR((AVERAGE(E19:P19)),0)</f>
        <v>1.6666666666666667</v>
      </c>
      <c r="S19" s="360">
        <f t="shared" ref="S19" si="5">IFERROR((T19/R19),0)</f>
        <v>146.4</v>
      </c>
      <c r="T19" s="461">
        <f>SUM(D19-Q19)</f>
        <v>244</v>
      </c>
      <c r="U19" s="253">
        <v>2015</v>
      </c>
      <c r="V19" s="252" t="s">
        <v>73</v>
      </c>
      <c r="W19" s="104"/>
      <c r="X19" s="104"/>
      <c r="Y19" s="104"/>
      <c r="Z19" s="104"/>
      <c r="AA19" s="144"/>
      <c r="AB19" s="149"/>
      <c r="AC19" s="145"/>
      <c r="AD19" s="145"/>
      <c r="AE19" s="104"/>
      <c r="AF19" s="104"/>
      <c r="AG19" s="104"/>
      <c r="AH19" s="104"/>
      <c r="AI19" s="104"/>
      <c r="AJ19" s="104"/>
      <c r="AK19" s="158"/>
      <c r="AL19" s="142"/>
      <c r="AM19" s="142"/>
      <c r="AN19" s="142"/>
      <c r="AO19" s="104"/>
      <c r="AP19" s="104"/>
      <c r="AQ19" s="104"/>
      <c r="AR19" s="104"/>
      <c r="AS19" s="159"/>
      <c r="AT19" s="105"/>
      <c r="AU19" s="105"/>
      <c r="AV19" s="105"/>
      <c r="AW19" s="104"/>
    </row>
    <row r="20" spans="1:49" x14ac:dyDescent="0.2">
      <c r="A20" s="252">
        <v>22382</v>
      </c>
      <c r="B20" s="253">
        <v>2015</v>
      </c>
      <c r="C20" s="252" t="s">
        <v>23</v>
      </c>
      <c r="D20" s="255">
        <v>70</v>
      </c>
      <c r="E20" s="443">
        <v>70</v>
      </c>
      <c r="F20" s="260"/>
      <c r="G20" s="260"/>
      <c r="H20" s="260"/>
      <c r="I20" s="260"/>
      <c r="J20" s="260"/>
      <c r="K20" s="260"/>
      <c r="L20" s="260"/>
      <c r="M20" s="260"/>
      <c r="N20" s="260"/>
      <c r="O20" s="260"/>
      <c r="P20" s="260"/>
      <c r="Q20" s="256">
        <f t="shared" si="1"/>
        <v>70</v>
      </c>
      <c r="R20" s="359">
        <f t="shared" si="2"/>
        <v>70</v>
      </c>
      <c r="S20" s="360">
        <f t="shared" si="3"/>
        <v>0</v>
      </c>
      <c r="T20" s="461">
        <f t="shared" si="4"/>
        <v>0</v>
      </c>
      <c r="U20" s="253">
        <v>2015</v>
      </c>
      <c r="V20" s="252" t="s">
        <v>23</v>
      </c>
      <c r="W20" s="104"/>
      <c r="X20" s="104"/>
      <c r="Y20" s="104"/>
      <c r="Z20" s="104"/>
      <c r="AA20" s="144">
        <v>43138</v>
      </c>
      <c r="AB20" s="149">
        <v>2017</v>
      </c>
      <c r="AC20" s="145" t="s">
        <v>245</v>
      </c>
      <c r="AD20" s="145">
        <v>502</v>
      </c>
      <c r="AE20" s="104" t="s">
        <v>246</v>
      </c>
      <c r="AF20" s="104"/>
      <c r="AG20" s="104"/>
      <c r="AH20" s="104"/>
      <c r="AI20" s="104"/>
      <c r="AJ20" s="104"/>
      <c r="AK20" s="158"/>
      <c r="AL20" s="142"/>
      <c r="AM20" s="142"/>
      <c r="AN20" s="142"/>
      <c r="AO20" s="104"/>
      <c r="AP20" s="104"/>
      <c r="AQ20" s="104"/>
      <c r="AR20" s="104"/>
      <c r="AS20" s="155"/>
      <c r="AT20" s="105"/>
      <c r="AU20" s="105"/>
      <c r="AV20" s="105"/>
      <c r="AW20" s="104"/>
    </row>
    <row r="21" spans="1:49" x14ac:dyDescent="0.2">
      <c r="A21" s="252">
        <v>84802</v>
      </c>
      <c r="B21" s="253">
        <v>2015</v>
      </c>
      <c r="C21" s="252" t="s">
        <v>93</v>
      </c>
      <c r="D21" s="255">
        <v>210</v>
      </c>
      <c r="E21" s="443">
        <v>0</v>
      </c>
      <c r="F21" s="443">
        <v>0</v>
      </c>
      <c r="G21" s="443">
        <v>0</v>
      </c>
      <c r="H21" s="443">
        <v>0</v>
      </c>
      <c r="I21" s="443">
        <v>6</v>
      </c>
      <c r="J21" s="443">
        <v>0</v>
      </c>
      <c r="K21" s="443">
        <v>0</v>
      </c>
      <c r="L21" s="443">
        <v>2</v>
      </c>
      <c r="M21" s="443">
        <v>15</v>
      </c>
      <c r="N21" s="443">
        <v>19</v>
      </c>
      <c r="O21" s="443">
        <v>12</v>
      </c>
      <c r="P21" s="443">
        <v>10</v>
      </c>
      <c r="Q21" s="256">
        <f t="shared" si="1"/>
        <v>64</v>
      </c>
      <c r="R21" s="359">
        <f t="shared" si="2"/>
        <v>5.333333333333333</v>
      </c>
      <c r="S21" s="360">
        <f t="shared" si="3"/>
        <v>27.375</v>
      </c>
      <c r="T21" s="461">
        <f t="shared" si="4"/>
        <v>146</v>
      </c>
      <c r="U21" s="253">
        <v>2015</v>
      </c>
      <c r="V21" s="252" t="s">
        <v>93</v>
      </c>
      <c r="W21" s="104"/>
      <c r="X21" s="104"/>
      <c r="Y21" s="104"/>
      <c r="Z21" s="104"/>
      <c r="AA21" s="144">
        <v>43138</v>
      </c>
      <c r="AB21" s="149">
        <v>2017</v>
      </c>
      <c r="AC21" s="145" t="s">
        <v>247</v>
      </c>
      <c r="AD21" s="145">
        <v>316</v>
      </c>
      <c r="AE21" s="104" t="s">
        <v>246</v>
      </c>
      <c r="AF21" s="104"/>
      <c r="AG21" s="104"/>
      <c r="AH21" s="104"/>
      <c r="AI21" s="104"/>
      <c r="AJ21" s="104"/>
      <c r="AK21" s="158"/>
      <c r="AL21" s="142"/>
      <c r="AM21" s="142"/>
      <c r="AN21" s="142"/>
      <c r="AO21" s="104"/>
      <c r="AP21" s="104"/>
      <c r="AQ21" s="104"/>
      <c r="AR21" s="104"/>
      <c r="AS21" s="155"/>
      <c r="AT21" s="105"/>
      <c r="AU21" s="105"/>
      <c r="AV21" s="105"/>
      <c r="AW21" s="104"/>
    </row>
    <row r="22" spans="1:49" x14ac:dyDescent="0.2">
      <c r="A22" s="252">
        <v>27736</v>
      </c>
      <c r="B22" s="253">
        <v>2015</v>
      </c>
      <c r="C22" s="252" t="s">
        <v>70</v>
      </c>
      <c r="D22" s="255">
        <v>27</v>
      </c>
      <c r="E22" s="443">
        <v>26</v>
      </c>
      <c r="F22" s="443">
        <v>1</v>
      </c>
      <c r="G22" s="260"/>
      <c r="H22" s="260"/>
      <c r="I22" s="260"/>
      <c r="J22" s="260"/>
      <c r="K22" s="260"/>
      <c r="L22" s="260"/>
      <c r="M22" s="260"/>
      <c r="N22" s="260"/>
      <c r="O22" s="260"/>
      <c r="P22" s="260"/>
      <c r="Q22" s="256">
        <f t="shared" si="1"/>
        <v>27</v>
      </c>
      <c r="R22" s="359">
        <f t="shared" si="2"/>
        <v>13.5</v>
      </c>
      <c r="S22" s="360">
        <f t="shared" si="3"/>
        <v>0</v>
      </c>
      <c r="T22" s="461">
        <f t="shared" si="4"/>
        <v>0</v>
      </c>
      <c r="U22" s="253">
        <v>2015</v>
      </c>
      <c r="V22" s="252" t="s">
        <v>70</v>
      </c>
      <c r="W22" s="104"/>
      <c r="X22" s="104"/>
      <c r="Y22" s="104"/>
      <c r="Z22" s="104"/>
      <c r="AA22" s="144">
        <v>43138</v>
      </c>
      <c r="AB22" s="149">
        <v>2017</v>
      </c>
      <c r="AC22" s="145" t="s">
        <v>248</v>
      </c>
      <c r="AD22" s="145">
        <v>43</v>
      </c>
      <c r="AE22" s="104" t="s">
        <v>249</v>
      </c>
      <c r="AF22" s="104"/>
      <c r="AG22" s="104"/>
      <c r="AH22" s="104"/>
      <c r="AI22" s="104"/>
      <c r="AJ22" s="104"/>
      <c r="AK22" s="142"/>
      <c r="AL22" s="142"/>
      <c r="AM22" s="142"/>
      <c r="AN22" s="142"/>
      <c r="AO22" s="104"/>
      <c r="AP22" s="104"/>
      <c r="AQ22" s="104"/>
      <c r="AR22" s="104"/>
      <c r="AS22" s="155"/>
      <c r="AT22" s="105"/>
      <c r="AU22" s="105"/>
      <c r="AV22" s="105"/>
      <c r="AW22" s="104"/>
    </row>
    <row r="23" spans="1:49" x14ac:dyDescent="0.2">
      <c r="A23" s="252">
        <v>22921</v>
      </c>
      <c r="B23" s="253">
        <v>2015</v>
      </c>
      <c r="C23" s="252" t="s">
        <v>196</v>
      </c>
      <c r="D23" s="255">
        <v>264</v>
      </c>
      <c r="E23" s="443">
        <v>37</v>
      </c>
      <c r="F23" s="443">
        <v>25</v>
      </c>
      <c r="G23" s="443">
        <v>47</v>
      </c>
      <c r="H23" s="443">
        <v>85</v>
      </c>
      <c r="I23" s="443">
        <v>44</v>
      </c>
      <c r="J23" s="443">
        <v>26</v>
      </c>
      <c r="K23" s="260"/>
      <c r="L23" s="260"/>
      <c r="M23" s="260"/>
      <c r="N23" s="260"/>
      <c r="O23" s="260"/>
      <c r="P23" s="260"/>
      <c r="Q23" s="256">
        <f t="shared" si="1"/>
        <v>264</v>
      </c>
      <c r="R23" s="359">
        <f t="shared" si="2"/>
        <v>44</v>
      </c>
      <c r="S23" s="360">
        <f t="shared" si="3"/>
        <v>0</v>
      </c>
      <c r="T23" s="461">
        <f t="shared" si="4"/>
        <v>0</v>
      </c>
      <c r="U23" s="253">
        <v>2015</v>
      </c>
      <c r="V23" s="252" t="s">
        <v>22</v>
      </c>
      <c r="W23" s="104"/>
      <c r="X23" s="104"/>
      <c r="Y23" s="104"/>
      <c r="Z23" s="104"/>
      <c r="AA23" s="144">
        <v>43186</v>
      </c>
      <c r="AB23" s="149">
        <v>2017</v>
      </c>
      <c r="AC23" s="145" t="s">
        <v>250</v>
      </c>
      <c r="AD23" s="145">
        <v>107</v>
      </c>
      <c r="AE23" s="104"/>
      <c r="AF23" s="104"/>
      <c r="AG23" s="104"/>
      <c r="AH23" s="104"/>
      <c r="AI23" s="104"/>
      <c r="AJ23" s="104"/>
      <c r="AK23" s="142"/>
      <c r="AL23" s="142"/>
      <c r="AM23" s="142"/>
      <c r="AN23" s="142"/>
      <c r="AO23" s="104"/>
      <c r="AP23" s="104"/>
      <c r="AQ23" s="104"/>
      <c r="AR23" s="104"/>
      <c r="AS23" s="155"/>
      <c r="AT23" s="105"/>
      <c r="AU23" s="105"/>
      <c r="AV23" s="105"/>
      <c r="AW23" s="104"/>
    </row>
    <row r="24" spans="1:49" x14ac:dyDescent="0.2">
      <c r="A24" s="361">
        <v>34641</v>
      </c>
      <c r="B24" s="253">
        <v>2015</v>
      </c>
      <c r="C24" s="361" t="s">
        <v>66</v>
      </c>
      <c r="D24" s="255">
        <v>210</v>
      </c>
      <c r="E24" s="443">
        <v>10</v>
      </c>
      <c r="F24" s="443">
        <v>16</v>
      </c>
      <c r="G24" s="443">
        <v>20</v>
      </c>
      <c r="H24" s="443">
        <v>38</v>
      </c>
      <c r="I24" s="443">
        <v>28</v>
      </c>
      <c r="J24" s="443">
        <v>31</v>
      </c>
      <c r="K24" s="443">
        <v>27</v>
      </c>
      <c r="L24" s="443">
        <v>40</v>
      </c>
      <c r="M24" s="260"/>
      <c r="N24" s="260"/>
      <c r="O24" s="260"/>
      <c r="P24" s="260"/>
      <c r="Q24" s="256">
        <f>SUM(E24:P24)</f>
        <v>210</v>
      </c>
      <c r="R24" s="359">
        <f t="shared" si="2"/>
        <v>26.25</v>
      </c>
      <c r="S24" s="360">
        <f t="shared" si="3"/>
        <v>0</v>
      </c>
      <c r="T24" s="461">
        <f>SUM(D24-Q24)</f>
        <v>0</v>
      </c>
      <c r="U24" s="253">
        <v>2015</v>
      </c>
      <c r="V24" s="361" t="s">
        <v>66</v>
      </c>
      <c r="W24" s="104"/>
      <c r="X24" s="104"/>
      <c r="Y24" s="104"/>
      <c r="Z24" s="104"/>
      <c r="AA24" s="144">
        <v>43186</v>
      </c>
      <c r="AB24" s="149">
        <v>2017</v>
      </c>
      <c r="AC24" s="145" t="s">
        <v>170</v>
      </c>
      <c r="AD24" s="145">
        <v>450</v>
      </c>
      <c r="AE24" s="104" t="s">
        <v>237</v>
      </c>
      <c r="AF24" s="104"/>
      <c r="AG24" s="104"/>
      <c r="AH24" s="104"/>
      <c r="AI24" s="104"/>
      <c r="AJ24" s="104"/>
      <c r="AK24" s="142"/>
      <c r="AL24" s="142"/>
      <c r="AM24" s="142"/>
      <c r="AN24" s="142"/>
      <c r="AO24" s="104"/>
      <c r="AP24" s="104"/>
      <c r="AQ24" s="104"/>
      <c r="AR24" s="104"/>
      <c r="AS24" s="155"/>
      <c r="AT24" s="105"/>
      <c r="AU24" s="105"/>
      <c r="AV24" s="105"/>
      <c r="AW24" s="104"/>
    </row>
    <row r="25" spans="1:49" x14ac:dyDescent="0.2">
      <c r="A25" s="252">
        <v>18004</v>
      </c>
      <c r="B25" s="253">
        <v>2015</v>
      </c>
      <c r="C25" s="252" t="s">
        <v>29</v>
      </c>
      <c r="D25" s="255">
        <v>195</v>
      </c>
      <c r="E25" s="443">
        <v>14</v>
      </c>
      <c r="F25" s="443">
        <v>48</v>
      </c>
      <c r="G25" s="443">
        <v>20</v>
      </c>
      <c r="H25" s="443">
        <v>9</v>
      </c>
      <c r="I25" s="443">
        <v>10</v>
      </c>
      <c r="J25" s="443">
        <v>64</v>
      </c>
      <c r="K25" s="443">
        <v>0</v>
      </c>
      <c r="L25" s="443">
        <v>0</v>
      </c>
      <c r="M25" s="443">
        <v>0</v>
      </c>
      <c r="N25" s="443">
        <v>19</v>
      </c>
      <c r="O25" s="443">
        <v>11</v>
      </c>
      <c r="P25" s="260"/>
      <c r="Q25" s="256">
        <f>SUM(E25:P25)</f>
        <v>195</v>
      </c>
      <c r="R25" s="359">
        <f t="shared" si="2"/>
        <v>17.727272727272727</v>
      </c>
      <c r="S25" s="360">
        <f t="shared" si="3"/>
        <v>0</v>
      </c>
      <c r="T25" s="461">
        <f>SUM(D25-Q25)</f>
        <v>0</v>
      </c>
      <c r="U25" s="253">
        <v>2015</v>
      </c>
      <c r="V25" s="252" t="s">
        <v>29</v>
      </c>
      <c r="W25" s="104"/>
      <c r="X25" s="104"/>
      <c r="Y25" s="104"/>
      <c r="Z25" s="104"/>
      <c r="AA25" s="144">
        <v>43186</v>
      </c>
      <c r="AB25" s="149">
        <v>2017</v>
      </c>
      <c r="AC25" s="145" t="s">
        <v>251</v>
      </c>
      <c r="AD25" s="145">
        <v>450</v>
      </c>
      <c r="AE25" s="104" t="s">
        <v>246</v>
      </c>
      <c r="AF25" s="104"/>
      <c r="AG25" s="104"/>
      <c r="AH25" s="104"/>
      <c r="AI25" s="104"/>
      <c r="AJ25" s="104"/>
      <c r="AK25" s="142"/>
      <c r="AL25" s="142"/>
      <c r="AM25" s="142"/>
      <c r="AN25" s="142"/>
      <c r="AO25" s="104"/>
      <c r="AP25" s="104"/>
      <c r="AQ25" s="104"/>
      <c r="AR25" s="104"/>
      <c r="AS25" s="155"/>
      <c r="AT25" s="105"/>
      <c r="AU25" s="105"/>
      <c r="AV25" s="105"/>
      <c r="AW25" s="104"/>
    </row>
    <row r="26" spans="1:49" x14ac:dyDescent="0.2">
      <c r="A26" s="252">
        <v>86051</v>
      </c>
      <c r="B26" s="253">
        <v>2015</v>
      </c>
      <c r="C26" s="252" t="s">
        <v>94</v>
      </c>
      <c r="D26" s="255">
        <v>126</v>
      </c>
      <c r="E26" s="443">
        <v>44</v>
      </c>
      <c r="F26" s="443">
        <v>56</v>
      </c>
      <c r="G26" s="443">
        <v>26</v>
      </c>
      <c r="H26" s="260"/>
      <c r="I26" s="260"/>
      <c r="J26" s="260"/>
      <c r="K26" s="260"/>
      <c r="L26" s="260"/>
      <c r="M26" s="260"/>
      <c r="N26" s="260"/>
      <c r="O26" s="260"/>
      <c r="P26" s="260"/>
      <c r="Q26" s="256">
        <f t="shared" si="1"/>
        <v>126</v>
      </c>
      <c r="R26" s="359">
        <f t="shared" si="2"/>
        <v>42</v>
      </c>
      <c r="S26" s="360">
        <f t="shared" si="3"/>
        <v>0</v>
      </c>
      <c r="T26" s="461">
        <f t="shared" si="4"/>
        <v>0</v>
      </c>
      <c r="U26" s="253">
        <v>2015</v>
      </c>
      <c r="V26" s="252" t="s">
        <v>94</v>
      </c>
      <c r="W26" s="104"/>
      <c r="X26" s="104"/>
      <c r="Y26" s="104"/>
      <c r="Z26" s="104"/>
      <c r="AA26" s="144">
        <v>43186</v>
      </c>
      <c r="AB26" s="149">
        <v>2017</v>
      </c>
      <c r="AC26" s="145" t="s">
        <v>252</v>
      </c>
      <c r="AD26" s="145">
        <v>450</v>
      </c>
      <c r="AE26" s="104" t="s">
        <v>246</v>
      </c>
      <c r="AF26" s="104"/>
      <c r="AG26" s="104"/>
      <c r="AH26" s="104"/>
      <c r="AI26" s="104"/>
      <c r="AJ26" s="104"/>
      <c r="AK26" s="142"/>
      <c r="AL26" s="142"/>
      <c r="AM26" s="142"/>
      <c r="AN26" s="142"/>
      <c r="AO26" s="104"/>
      <c r="AP26" s="104"/>
      <c r="AQ26" s="104"/>
      <c r="AR26" s="104"/>
      <c r="AS26" s="155"/>
      <c r="AT26" s="105"/>
      <c r="AU26" s="105"/>
      <c r="AV26" s="105"/>
      <c r="AW26" s="104"/>
    </row>
    <row r="27" spans="1:49" x14ac:dyDescent="0.2">
      <c r="A27" s="249"/>
      <c r="B27" s="249"/>
      <c r="C27" s="249"/>
      <c r="D27" s="251"/>
      <c r="E27" s="251"/>
      <c r="F27" s="251"/>
      <c r="G27" s="251"/>
      <c r="H27" s="251"/>
      <c r="I27" s="251"/>
      <c r="J27" s="251"/>
      <c r="K27" s="251"/>
      <c r="L27" s="251"/>
      <c r="M27" s="251"/>
      <c r="N27" s="251"/>
      <c r="O27" s="251"/>
      <c r="P27" s="251"/>
      <c r="Q27" s="251"/>
      <c r="R27" s="251"/>
      <c r="S27" s="251"/>
      <c r="T27" s="251"/>
      <c r="U27" s="249"/>
      <c r="V27" s="249"/>
      <c r="W27" s="104"/>
      <c r="X27" s="104"/>
      <c r="Y27" s="104"/>
      <c r="Z27" s="104"/>
      <c r="AA27" s="144">
        <v>43186</v>
      </c>
      <c r="AB27" s="149">
        <v>2017</v>
      </c>
      <c r="AC27" s="145" t="s">
        <v>253</v>
      </c>
      <c r="AD27" s="145">
        <v>198</v>
      </c>
      <c r="AE27" s="104" t="s">
        <v>246</v>
      </c>
      <c r="AF27" s="104"/>
      <c r="AG27" s="104"/>
      <c r="AH27" s="104"/>
      <c r="AI27" s="104"/>
      <c r="AJ27" s="104"/>
      <c r="AK27" s="142"/>
      <c r="AL27" s="142"/>
      <c r="AM27" s="142"/>
      <c r="AN27" s="142"/>
      <c r="AO27" s="104"/>
      <c r="AP27" s="104"/>
      <c r="AQ27" s="104"/>
      <c r="AR27" s="104"/>
      <c r="AS27" s="155"/>
      <c r="AT27" s="105"/>
      <c r="AU27" s="105"/>
      <c r="AV27" s="105"/>
      <c r="AW27" s="104"/>
    </row>
    <row r="28" spans="1:49" x14ac:dyDescent="0.2">
      <c r="A28" s="252">
        <v>111574</v>
      </c>
      <c r="B28" s="112">
        <v>2016</v>
      </c>
      <c r="C28" s="252" t="s">
        <v>205</v>
      </c>
      <c r="D28" s="367">
        <v>196</v>
      </c>
      <c r="E28" s="463">
        <v>21</v>
      </c>
      <c r="F28" s="463">
        <v>14</v>
      </c>
      <c r="G28" s="463">
        <v>17</v>
      </c>
      <c r="H28" s="463">
        <v>13</v>
      </c>
      <c r="I28" s="463">
        <v>28</v>
      </c>
      <c r="J28" s="463">
        <v>24</v>
      </c>
      <c r="K28" s="463">
        <v>24</v>
      </c>
      <c r="L28" s="463">
        <v>17</v>
      </c>
      <c r="M28" s="463">
        <v>20</v>
      </c>
      <c r="N28" s="463">
        <v>16</v>
      </c>
      <c r="O28" s="463">
        <v>2</v>
      </c>
      <c r="P28" s="467"/>
      <c r="Q28" s="285">
        <f>SUM(E28:P28)</f>
        <v>196</v>
      </c>
      <c r="R28" s="359">
        <f t="shared" ref="R28:R33" si="6">IFERROR((AVERAGE(E28:P28)),0)</f>
        <v>17.818181818181817</v>
      </c>
      <c r="S28" s="360">
        <f t="shared" ref="S28:S40" si="7">IFERROR((T28/R28),0)</f>
        <v>0</v>
      </c>
      <c r="T28" s="461">
        <f>SUM(D28-Q28)</f>
        <v>0</v>
      </c>
      <c r="U28" s="112">
        <v>2016</v>
      </c>
      <c r="V28" s="252" t="s">
        <v>205</v>
      </c>
      <c r="W28" s="104"/>
      <c r="X28" s="104"/>
      <c r="Y28" s="104"/>
      <c r="Z28" s="104"/>
      <c r="AA28" s="144">
        <v>43187</v>
      </c>
      <c r="AB28" s="149">
        <v>2017</v>
      </c>
      <c r="AC28" s="145" t="s">
        <v>254</v>
      </c>
      <c r="AD28" s="145">
        <v>204</v>
      </c>
      <c r="AE28" s="104" t="s">
        <v>237</v>
      </c>
      <c r="AF28" s="104"/>
      <c r="AG28" s="104"/>
      <c r="AH28" s="104"/>
      <c r="AI28" s="104"/>
      <c r="AJ28" s="104"/>
      <c r="AK28" s="104"/>
      <c r="AL28" s="104"/>
      <c r="AM28" s="104"/>
      <c r="AN28" s="104"/>
      <c r="AO28" s="104"/>
      <c r="AP28" s="104"/>
      <c r="AQ28" s="104"/>
      <c r="AR28" s="104"/>
      <c r="AS28" s="155"/>
      <c r="AT28" s="105"/>
      <c r="AU28" s="105"/>
      <c r="AV28" s="105"/>
      <c r="AW28" s="104"/>
    </row>
    <row r="29" spans="1:49" x14ac:dyDescent="0.2">
      <c r="A29" s="252">
        <v>116506</v>
      </c>
      <c r="B29" s="112">
        <v>2016</v>
      </c>
      <c r="C29" s="252" t="s">
        <v>207</v>
      </c>
      <c r="D29" s="367">
        <v>4</v>
      </c>
      <c r="E29" s="463">
        <v>0</v>
      </c>
      <c r="F29" s="463">
        <v>0</v>
      </c>
      <c r="G29" s="463">
        <v>4</v>
      </c>
      <c r="H29" s="464"/>
      <c r="I29" s="464"/>
      <c r="J29" s="464"/>
      <c r="K29" s="464"/>
      <c r="L29" s="464"/>
      <c r="M29" s="464"/>
      <c r="N29" s="464"/>
      <c r="O29" s="464"/>
      <c r="P29" s="464"/>
      <c r="Q29" s="285">
        <f t="shared" ref="Q29:Q40" si="8">SUM(E29:P29)</f>
        <v>4</v>
      </c>
      <c r="R29" s="359">
        <f t="shared" si="6"/>
        <v>1.3333333333333333</v>
      </c>
      <c r="S29" s="360">
        <f t="shared" si="7"/>
        <v>0</v>
      </c>
      <c r="T29" s="461">
        <f t="shared" ref="T29:T40" si="9">SUM(D29-Q29)</f>
        <v>0</v>
      </c>
      <c r="U29" s="112">
        <v>2016</v>
      </c>
      <c r="V29" s="252" t="s">
        <v>207</v>
      </c>
      <c r="W29" s="104"/>
      <c r="X29" s="104"/>
      <c r="Y29" s="104"/>
      <c r="Z29" s="104"/>
      <c r="AA29" s="144">
        <v>43187</v>
      </c>
      <c r="AB29" s="149">
        <v>2017</v>
      </c>
      <c r="AC29" s="145" t="s">
        <v>255</v>
      </c>
      <c r="AD29" s="145">
        <v>114</v>
      </c>
      <c r="AE29" s="104"/>
      <c r="AF29" s="104"/>
      <c r="AG29" s="104"/>
      <c r="AH29" s="104"/>
      <c r="AI29" s="104"/>
      <c r="AJ29" s="104"/>
      <c r="AK29" s="104"/>
      <c r="AL29" s="104"/>
      <c r="AM29" s="104"/>
      <c r="AN29" s="104"/>
      <c r="AO29" s="104"/>
      <c r="AP29" s="104"/>
      <c r="AQ29" s="104"/>
      <c r="AR29" s="104"/>
      <c r="AS29" s="155"/>
      <c r="AT29" s="105"/>
      <c r="AU29" s="105"/>
      <c r="AV29" s="105"/>
      <c r="AW29" s="104"/>
    </row>
    <row r="30" spans="1:49" x14ac:dyDescent="0.2">
      <c r="A30" s="252">
        <v>11198</v>
      </c>
      <c r="B30" s="112">
        <v>2016</v>
      </c>
      <c r="C30" s="252" t="s">
        <v>46</v>
      </c>
      <c r="D30" s="367">
        <v>173</v>
      </c>
      <c r="E30" s="463">
        <v>14</v>
      </c>
      <c r="F30" s="463">
        <v>20</v>
      </c>
      <c r="G30" s="463">
        <v>21</v>
      </c>
      <c r="H30" s="463">
        <v>17</v>
      </c>
      <c r="I30" s="463">
        <v>27</v>
      </c>
      <c r="J30" s="463">
        <v>39</v>
      </c>
      <c r="K30" s="463">
        <v>28</v>
      </c>
      <c r="L30" s="463">
        <v>7</v>
      </c>
      <c r="M30" s="464"/>
      <c r="N30" s="464"/>
      <c r="O30" s="464"/>
      <c r="P30" s="464"/>
      <c r="Q30" s="285">
        <f>SUM(E30:P30)</f>
        <v>173</v>
      </c>
      <c r="R30" s="359">
        <f t="shared" si="6"/>
        <v>21.625</v>
      </c>
      <c r="S30" s="360">
        <f t="shared" si="7"/>
        <v>0</v>
      </c>
      <c r="T30" s="461">
        <f>SUM(D30-Q30)</f>
        <v>0</v>
      </c>
      <c r="U30" s="112">
        <v>2016</v>
      </c>
      <c r="V30" s="252" t="s">
        <v>46</v>
      </c>
      <c r="W30" s="104"/>
      <c r="X30" s="104"/>
      <c r="Y30" s="104"/>
      <c r="Z30" s="104"/>
      <c r="AA30" s="144">
        <v>43187</v>
      </c>
      <c r="AB30" s="149">
        <v>2017</v>
      </c>
      <c r="AC30" s="145" t="s">
        <v>256</v>
      </c>
      <c r="AD30" s="145">
        <v>616</v>
      </c>
      <c r="AE30" s="104" t="s">
        <v>246</v>
      </c>
      <c r="AF30" s="104"/>
      <c r="AG30" s="104"/>
      <c r="AH30" s="104"/>
      <c r="AI30" s="104"/>
      <c r="AJ30" s="104"/>
      <c r="AK30" s="104"/>
      <c r="AL30" s="104"/>
      <c r="AM30" s="104"/>
      <c r="AN30" s="104"/>
      <c r="AO30" s="104"/>
      <c r="AP30" s="104"/>
      <c r="AQ30" s="104"/>
      <c r="AR30" s="104"/>
      <c r="AS30" s="155"/>
      <c r="AT30" s="105"/>
      <c r="AU30" s="105"/>
      <c r="AV30" s="105"/>
      <c r="AW30" s="104"/>
    </row>
    <row r="31" spans="1:49" x14ac:dyDescent="0.2">
      <c r="A31" s="252">
        <v>57632</v>
      </c>
      <c r="B31" s="253">
        <v>2016</v>
      </c>
      <c r="C31" s="252" t="s">
        <v>31</v>
      </c>
      <c r="D31" s="255">
        <v>460</v>
      </c>
      <c r="E31" s="443">
        <v>20</v>
      </c>
      <c r="F31" s="443">
        <v>23</v>
      </c>
      <c r="G31" s="443">
        <v>31</v>
      </c>
      <c r="H31" s="443">
        <v>25</v>
      </c>
      <c r="I31" s="443">
        <v>50</v>
      </c>
      <c r="J31" s="443">
        <v>45</v>
      </c>
      <c r="K31" s="443">
        <v>38</v>
      </c>
      <c r="L31" s="443">
        <v>42</v>
      </c>
      <c r="M31" s="443">
        <v>33</v>
      </c>
      <c r="N31" s="443">
        <v>29</v>
      </c>
      <c r="O31" s="443">
        <v>28</v>
      </c>
      <c r="P31" s="443">
        <v>35</v>
      </c>
      <c r="Q31" s="256">
        <f>SUM(E31:P31)</f>
        <v>399</v>
      </c>
      <c r="R31" s="359">
        <f t="shared" si="6"/>
        <v>33.25</v>
      </c>
      <c r="S31" s="360">
        <f t="shared" si="7"/>
        <v>1.8345864661654134</v>
      </c>
      <c r="T31" s="461">
        <f>SUM(D31-Q31)</f>
        <v>61</v>
      </c>
      <c r="U31" s="112">
        <v>2016</v>
      </c>
      <c r="V31" s="252" t="s">
        <v>31</v>
      </c>
      <c r="W31" s="104"/>
      <c r="X31" s="104"/>
      <c r="Y31" s="104"/>
      <c r="Z31" s="104"/>
      <c r="AA31" s="144">
        <v>43262</v>
      </c>
      <c r="AB31" s="149">
        <v>2017</v>
      </c>
      <c r="AC31" s="145" t="s">
        <v>257</v>
      </c>
      <c r="AD31" s="145">
        <v>600</v>
      </c>
      <c r="AE31" s="104" t="s">
        <v>246</v>
      </c>
      <c r="AF31" s="104"/>
      <c r="AG31" s="104"/>
      <c r="AH31" s="104"/>
      <c r="AI31" s="104"/>
      <c r="AJ31" s="104"/>
      <c r="AK31" s="104"/>
      <c r="AL31" s="104"/>
      <c r="AM31" s="104"/>
      <c r="AN31" s="104"/>
      <c r="AO31" s="104"/>
      <c r="AP31" s="104"/>
      <c r="AQ31" s="104"/>
      <c r="AR31" s="104"/>
      <c r="AS31" s="155"/>
      <c r="AT31" s="105"/>
      <c r="AU31" s="105"/>
      <c r="AV31" s="105"/>
      <c r="AW31" s="104"/>
    </row>
    <row r="32" spans="1:49" ht="16.350000000000001" customHeight="1" x14ac:dyDescent="0.2">
      <c r="A32" s="252">
        <v>57630</v>
      </c>
      <c r="B32" s="253">
        <v>2016</v>
      </c>
      <c r="C32" s="252" t="s">
        <v>25</v>
      </c>
      <c r="D32" s="255">
        <v>719</v>
      </c>
      <c r="E32" s="443">
        <v>5</v>
      </c>
      <c r="F32" s="443">
        <v>15</v>
      </c>
      <c r="G32" s="443">
        <v>20</v>
      </c>
      <c r="H32" s="443">
        <v>38</v>
      </c>
      <c r="I32" s="443">
        <v>0</v>
      </c>
      <c r="J32" s="443">
        <v>29</v>
      </c>
      <c r="K32" s="443">
        <v>21</v>
      </c>
      <c r="L32" s="443">
        <v>34</v>
      </c>
      <c r="M32" s="443">
        <v>28</v>
      </c>
      <c r="N32" s="443">
        <v>39</v>
      </c>
      <c r="O32" s="443">
        <v>82</v>
      </c>
      <c r="P32" s="443">
        <v>42</v>
      </c>
      <c r="Q32" s="256">
        <f>SUM(E32:P32)</f>
        <v>353</v>
      </c>
      <c r="R32" s="359">
        <f t="shared" si="6"/>
        <v>29.416666666666668</v>
      </c>
      <c r="S32" s="360">
        <f t="shared" si="7"/>
        <v>12.441926345609065</v>
      </c>
      <c r="T32" s="461">
        <f>SUM(D32-Q32)</f>
        <v>366</v>
      </c>
      <c r="U32" s="112">
        <v>2016</v>
      </c>
      <c r="V32" s="252" t="s">
        <v>25</v>
      </c>
      <c r="W32" s="104"/>
      <c r="X32" s="104"/>
      <c r="Y32" s="104"/>
      <c r="Z32" s="104"/>
      <c r="AA32" s="144">
        <v>43262</v>
      </c>
      <c r="AB32" s="149">
        <v>2017</v>
      </c>
      <c r="AC32" s="145" t="s">
        <v>258</v>
      </c>
      <c r="AD32" s="145">
        <v>700</v>
      </c>
      <c r="AE32" s="104" t="s">
        <v>246</v>
      </c>
      <c r="AF32" s="104"/>
      <c r="AG32" s="104"/>
      <c r="AH32" s="104"/>
      <c r="AI32" s="104"/>
      <c r="AJ32" s="104"/>
      <c r="AK32" s="104"/>
      <c r="AL32" s="104"/>
      <c r="AM32" s="104"/>
      <c r="AN32" s="104"/>
      <c r="AO32" s="104"/>
      <c r="AP32" s="104"/>
      <c r="AQ32" s="104"/>
      <c r="AR32" s="104"/>
      <c r="AS32" s="155"/>
      <c r="AT32" s="105"/>
      <c r="AU32" s="105"/>
      <c r="AV32" s="105"/>
      <c r="AW32" s="104"/>
    </row>
    <row r="33" spans="1:49" ht="16.350000000000001" customHeight="1" x14ac:dyDescent="0.2">
      <c r="A33" s="252">
        <v>38269</v>
      </c>
      <c r="B33" s="253">
        <v>2016</v>
      </c>
      <c r="C33" s="252" t="s">
        <v>28</v>
      </c>
      <c r="D33" s="255">
        <v>24</v>
      </c>
      <c r="E33" s="443">
        <v>2</v>
      </c>
      <c r="F33" s="443">
        <v>8</v>
      </c>
      <c r="G33" s="443">
        <v>0</v>
      </c>
      <c r="H33" s="443">
        <v>14</v>
      </c>
      <c r="I33" s="468"/>
      <c r="J33" s="459"/>
      <c r="K33" s="459"/>
      <c r="L33" s="459"/>
      <c r="M33" s="459"/>
      <c r="N33" s="459"/>
      <c r="O33" s="459"/>
      <c r="P33" s="459"/>
      <c r="Q33" s="256">
        <f t="shared" si="8"/>
        <v>24</v>
      </c>
      <c r="R33" s="359">
        <f t="shared" si="6"/>
        <v>6</v>
      </c>
      <c r="S33" s="360">
        <f t="shared" si="7"/>
        <v>0</v>
      </c>
      <c r="T33" s="461">
        <f t="shared" si="9"/>
        <v>0</v>
      </c>
      <c r="U33" s="112">
        <v>2016</v>
      </c>
      <c r="V33" s="252" t="s">
        <v>28</v>
      </c>
      <c r="W33" s="104"/>
      <c r="X33" s="104"/>
      <c r="Y33" s="104"/>
      <c r="Z33" s="104"/>
      <c r="AA33" s="144">
        <v>43262</v>
      </c>
      <c r="AB33" s="149">
        <v>2017</v>
      </c>
      <c r="AC33" s="145" t="s">
        <v>259</v>
      </c>
      <c r="AD33" s="145">
        <v>112</v>
      </c>
      <c r="AE33" s="104" t="s">
        <v>246</v>
      </c>
      <c r="AF33" s="104"/>
      <c r="AG33" s="104"/>
      <c r="AH33" s="104"/>
      <c r="AI33" s="104"/>
      <c r="AJ33" s="104"/>
      <c r="AK33" s="104"/>
      <c r="AL33" s="104"/>
      <c r="AM33" s="104"/>
      <c r="AN33" s="104"/>
      <c r="AO33" s="104"/>
      <c r="AP33" s="104"/>
      <c r="AQ33" s="104"/>
      <c r="AR33" s="104"/>
      <c r="AS33" s="155"/>
      <c r="AT33" s="105"/>
      <c r="AU33" s="105"/>
      <c r="AV33" s="105"/>
      <c r="AW33" s="104"/>
    </row>
    <row r="34" spans="1:49" x14ac:dyDescent="0.2">
      <c r="A34" s="252">
        <v>22382</v>
      </c>
      <c r="B34" s="253">
        <v>2016</v>
      </c>
      <c r="C34" s="252" t="s">
        <v>23</v>
      </c>
      <c r="D34" s="255">
        <v>694</v>
      </c>
      <c r="E34" s="443">
        <v>15</v>
      </c>
      <c r="F34" s="443">
        <v>30</v>
      </c>
      <c r="G34" s="443">
        <v>18</v>
      </c>
      <c r="H34" s="443">
        <v>32</v>
      </c>
      <c r="I34" s="443">
        <v>26</v>
      </c>
      <c r="J34" s="443">
        <v>38</v>
      </c>
      <c r="K34" s="443">
        <v>32</v>
      </c>
      <c r="L34" s="443">
        <v>72</v>
      </c>
      <c r="M34" s="443">
        <v>53</v>
      </c>
      <c r="N34" s="443">
        <v>35</v>
      </c>
      <c r="O34" s="443">
        <v>48</v>
      </c>
      <c r="P34" s="443">
        <v>43</v>
      </c>
      <c r="Q34" s="256">
        <f>SUM(E34:P34)</f>
        <v>442</v>
      </c>
      <c r="R34" s="359">
        <f t="shared" ref="R34" si="10">IFERROR((AVERAGE(E34:P34)),0)</f>
        <v>36.833333333333336</v>
      </c>
      <c r="S34" s="360">
        <f t="shared" si="7"/>
        <v>6.8416289592760178</v>
      </c>
      <c r="T34" s="461">
        <f>SUM(D34-Q34)</f>
        <v>252</v>
      </c>
      <c r="U34" s="112">
        <v>2016</v>
      </c>
      <c r="V34" s="252" t="s">
        <v>23</v>
      </c>
      <c r="W34" s="104"/>
      <c r="X34" s="104"/>
      <c r="Y34" s="104"/>
      <c r="Z34" s="104"/>
      <c r="AA34" s="144">
        <v>43262</v>
      </c>
      <c r="AB34" s="149">
        <v>2017</v>
      </c>
      <c r="AC34" s="145" t="s">
        <v>260</v>
      </c>
      <c r="AD34" s="145">
        <v>200</v>
      </c>
      <c r="AE34" s="104" t="s">
        <v>261</v>
      </c>
      <c r="AF34" s="104"/>
      <c r="AG34" s="104"/>
      <c r="AH34" s="104"/>
      <c r="AI34" s="104"/>
      <c r="AJ34" s="104"/>
      <c r="AK34" s="104"/>
      <c r="AL34" s="104"/>
      <c r="AM34" s="104"/>
      <c r="AN34" s="104"/>
      <c r="AO34" s="104"/>
      <c r="AP34" s="104"/>
      <c r="AQ34" s="104"/>
      <c r="AR34" s="104"/>
      <c r="AS34" s="155"/>
      <c r="AT34" s="105"/>
      <c r="AU34" s="105"/>
      <c r="AV34" s="105"/>
      <c r="AW34" s="104"/>
    </row>
    <row r="35" spans="1:49" x14ac:dyDescent="0.2">
      <c r="A35" s="252">
        <v>84802</v>
      </c>
      <c r="B35" s="253">
        <v>2016</v>
      </c>
      <c r="C35" s="252" t="s">
        <v>93</v>
      </c>
      <c r="D35" s="255">
        <v>133</v>
      </c>
      <c r="E35" s="443">
        <v>20</v>
      </c>
      <c r="F35" s="443">
        <v>0</v>
      </c>
      <c r="G35" s="443">
        <v>0</v>
      </c>
      <c r="H35" s="443">
        <v>0</v>
      </c>
      <c r="I35" s="443">
        <v>0</v>
      </c>
      <c r="J35" s="443">
        <v>0</v>
      </c>
      <c r="K35" s="443">
        <v>0</v>
      </c>
      <c r="L35" s="443">
        <v>0</v>
      </c>
      <c r="M35" s="443">
        <v>0</v>
      </c>
      <c r="N35" s="443">
        <v>1</v>
      </c>
      <c r="O35" s="443">
        <v>0</v>
      </c>
      <c r="P35" s="443">
        <v>0</v>
      </c>
      <c r="Q35" s="256">
        <f t="shared" si="8"/>
        <v>21</v>
      </c>
      <c r="R35" s="359">
        <f t="shared" ref="R35:R40" si="11">IFERROR((AVERAGE(E35:P35)),0)</f>
        <v>1.75</v>
      </c>
      <c r="S35" s="360">
        <f t="shared" si="7"/>
        <v>64</v>
      </c>
      <c r="T35" s="461">
        <f t="shared" si="9"/>
        <v>112</v>
      </c>
      <c r="U35" s="112">
        <v>2016</v>
      </c>
      <c r="V35" s="252" t="s">
        <v>93</v>
      </c>
      <c r="W35" s="104"/>
      <c r="X35" s="104"/>
      <c r="Y35" s="104"/>
      <c r="Z35" s="104"/>
      <c r="AA35" s="144">
        <v>43262</v>
      </c>
      <c r="AB35" s="149">
        <v>2017</v>
      </c>
      <c r="AC35" s="145" t="s">
        <v>262</v>
      </c>
      <c r="AD35" s="145">
        <v>168</v>
      </c>
      <c r="AE35" s="104"/>
      <c r="AF35" s="104"/>
      <c r="AG35" s="104"/>
      <c r="AH35" s="104"/>
      <c r="AI35" s="104"/>
      <c r="AJ35" s="104"/>
      <c r="AK35" s="104"/>
      <c r="AL35" s="104"/>
      <c r="AM35" s="104"/>
      <c r="AN35" s="104"/>
      <c r="AO35" s="104"/>
      <c r="AP35" s="104"/>
      <c r="AQ35" s="104"/>
      <c r="AR35" s="104"/>
      <c r="AS35" s="155"/>
      <c r="AT35" s="105"/>
      <c r="AU35" s="105"/>
      <c r="AV35" s="105"/>
      <c r="AW35" s="104"/>
    </row>
    <row r="36" spans="1:49" x14ac:dyDescent="0.2">
      <c r="A36" s="252">
        <v>27736</v>
      </c>
      <c r="B36" s="253">
        <v>2016</v>
      </c>
      <c r="C36" s="252" t="s">
        <v>70</v>
      </c>
      <c r="D36" s="255">
        <v>727</v>
      </c>
      <c r="E36" s="443">
        <v>14</v>
      </c>
      <c r="F36" s="443">
        <v>37</v>
      </c>
      <c r="G36" s="443">
        <v>30</v>
      </c>
      <c r="H36" s="443">
        <v>30</v>
      </c>
      <c r="I36" s="443">
        <v>28</v>
      </c>
      <c r="J36" s="443">
        <v>40</v>
      </c>
      <c r="K36" s="443">
        <v>40</v>
      </c>
      <c r="L36" s="443">
        <v>16</v>
      </c>
      <c r="M36" s="443">
        <v>35</v>
      </c>
      <c r="N36" s="443">
        <v>30</v>
      </c>
      <c r="O36" s="443">
        <v>44</v>
      </c>
      <c r="P36" s="443">
        <v>40</v>
      </c>
      <c r="Q36" s="256">
        <f>SUM(E36:P36)</f>
        <v>384</v>
      </c>
      <c r="R36" s="359">
        <f t="shared" si="11"/>
        <v>32</v>
      </c>
      <c r="S36" s="360">
        <f t="shared" si="7"/>
        <v>10.71875</v>
      </c>
      <c r="T36" s="461">
        <f>SUM(D36-Q36)</f>
        <v>343</v>
      </c>
      <c r="U36" s="112">
        <v>2016</v>
      </c>
      <c r="V36" s="252" t="s">
        <v>70</v>
      </c>
      <c r="W36" s="104"/>
      <c r="X36" s="104"/>
      <c r="Y36" s="104"/>
      <c r="Z36" s="104"/>
      <c r="AA36" s="144">
        <v>43298</v>
      </c>
      <c r="AB36" s="149">
        <v>2017</v>
      </c>
      <c r="AC36" s="145" t="s">
        <v>263</v>
      </c>
      <c r="AD36" s="145">
        <v>504</v>
      </c>
      <c r="AE36" s="104"/>
      <c r="AF36" s="104"/>
      <c r="AG36" s="104"/>
      <c r="AH36" s="104"/>
      <c r="AI36" s="104"/>
      <c r="AJ36" s="104"/>
      <c r="AK36" s="104"/>
      <c r="AL36" s="104"/>
      <c r="AM36" s="104"/>
      <c r="AN36" s="104"/>
      <c r="AO36" s="104"/>
      <c r="AP36" s="104"/>
      <c r="AQ36" s="104"/>
      <c r="AR36" s="104"/>
      <c r="AS36" s="104"/>
      <c r="AT36" s="104"/>
      <c r="AU36" s="104"/>
      <c r="AV36" s="104"/>
      <c r="AW36" s="104"/>
    </row>
    <row r="37" spans="1:49" x14ac:dyDescent="0.2">
      <c r="A37" s="252">
        <v>28361</v>
      </c>
      <c r="B37" s="253">
        <v>2016</v>
      </c>
      <c r="C37" s="252" t="s">
        <v>24</v>
      </c>
      <c r="D37" s="255">
        <v>175</v>
      </c>
      <c r="E37" s="443">
        <v>4</v>
      </c>
      <c r="F37" s="443">
        <v>9</v>
      </c>
      <c r="G37" s="443">
        <v>6</v>
      </c>
      <c r="H37" s="443">
        <v>0</v>
      </c>
      <c r="I37" s="443">
        <v>7</v>
      </c>
      <c r="J37" s="443">
        <v>7</v>
      </c>
      <c r="K37" s="443">
        <v>2</v>
      </c>
      <c r="L37" s="443">
        <v>18</v>
      </c>
      <c r="M37" s="443">
        <v>0</v>
      </c>
      <c r="N37" s="443">
        <v>0</v>
      </c>
      <c r="O37" s="443">
        <v>5</v>
      </c>
      <c r="P37" s="443">
        <v>8</v>
      </c>
      <c r="Q37" s="256">
        <f>SUM(E37:P37)</f>
        <v>66</v>
      </c>
      <c r="R37" s="359">
        <f t="shared" si="11"/>
        <v>5.5</v>
      </c>
      <c r="S37" s="360">
        <f t="shared" si="7"/>
        <v>19.818181818181817</v>
      </c>
      <c r="T37" s="461">
        <f>SUM(D37-Q37)</f>
        <v>109</v>
      </c>
      <c r="U37" s="112">
        <v>2016</v>
      </c>
      <c r="V37" s="252" t="s">
        <v>24</v>
      </c>
      <c r="W37" s="104"/>
      <c r="X37" s="104"/>
      <c r="Y37" s="104"/>
      <c r="Z37" s="104"/>
      <c r="AA37" s="144">
        <v>43298</v>
      </c>
      <c r="AB37" s="149">
        <v>2017</v>
      </c>
      <c r="AC37" s="145" t="s">
        <v>195</v>
      </c>
      <c r="AD37" s="145">
        <v>928</v>
      </c>
      <c r="AE37" s="104" t="s">
        <v>261</v>
      </c>
      <c r="AF37" s="104"/>
      <c r="AG37" s="104"/>
      <c r="AH37" s="104"/>
      <c r="AI37" s="104"/>
      <c r="AJ37" s="104"/>
      <c r="AK37" s="104"/>
      <c r="AL37" s="104"/>
      <c r="AM37" s="104"/>
      <c r="AN37" s="104"/>
      <c r="AO37" s="104"/>
      <c r="AP37" s="104"/>
      <c r="AQ37" s="104"/>
      <c r="AR37" s="104"/>
      <c r="AS37" s="104"/>
      <c r="AT37" s="104"/>
      <c r="AU37" s="104"/>
      <c r="AV37" s="104"/>
      <c r="AW37" s="104"/>
    </row>
    <row r="38" spans="1:49" x14ac:dyDescent="0.2">
      <c r="A38" s="252">
        <v>22921</v>
      </c>
      <c r="B38" s="253">
        <v>2016</v>
      </c>
      <c r="C38" s="252" t="s">
        <v>221</v>
      </c>
      <c r="D38" s="255">
        <v>1015</v>
      </c>
      <c r="E38" s="443">
        <v>16</v>
      </c>
      <c r="F38" s="443">
        <v>43</v>
      </c>
      <c r="G38" s="443">
        <v>0</v>
      </c>
      <c r="H38" s="443">
        <v>4</v>
      </c>
      <c r="I38" s="443">
        <v>12</v>
      </c>
      <c r="J38" s="443">
        <v>13</v>
      </c>
      <c r="K38" s="443">
        <v>53</v>
      </c>
      <c r="L38" s="443">
        <v>35</v>
      </c>
      <c r="M38" s="443">
        <v>47</v>
      </c>
      <c r="N38" s="443">
        <v>48</v>
      </c>
      <c r="O38" s="443">
        <v>50</v>
      </c>
      <c r="P38" s="443">
        <v>47</v>
      </c>
      <c r="Q38" s="256">
        <f>SUM(E38:P38)</f>
        <v>368</v>
      </c>
      <c r="R38" s="359">
        <f t="shared" si="11"/>
        <v>30.666666666666668</v>
      </c>
      <c r="S38" s="360">
        <f t="shared" si="7"/>
        <v>21.09782608695652</v>
      </c>
      <c r="T38" s="461">
        <f>SUM(D38-Q38)</f>
        <v>647</v>
      </c>
      <c r="U38" s="112">
        <v>2016</v>
      </c>
      <c r="V38" s="252" t="s">
        <v>22</v>
      </c>
      <c r="W38" s="104"/>
      <c r="X38" s="104"/>
      <c r="Y38" s="104"/>
      <c r="Z38" s="104"/>
      <c r="AA38" s="144">
        <v>43299</v>
      </c>
      <c r="AB38" s="149">
        <v>2017</v>
      </c>
      <c r="AC38" s="145" t="s">
        <v>194</v>
      </c>
      <c r="AD38" s="145">
        <v>471</v>
      </c>
      <c r="AE38" s="104" t="s">
        <v>261</v>
      </c>
      <c r="AF38" s="104"/>
      <c r="AG38" s="104"/>
      <c r="AH38" s="104"/>
      <c r="AI38" s="104"/>
      <c r="AJ38" s="104"/>
      <c r="AK38" s="104"/>
      <c r="AL38" s="104"/>
      <c r="AM38" s="104"/>
      <c r="AN38" s="104"/>
      <c r="AO38" s="104"/>
      <c r="AP38" s="104"/>
      <c r="AQ38" s="104"/>
      <c r="AR38" s="104"/>
      <c r="AS38" s="104"/>
      <c r="AT38" s="104"/>
      <c r="AU38" s="104"/>
      <c r="AV38" s="104"/>
      <c r="AW38" s="104"/>
    </row>
    <row r="39" spans="1:49" x14ac:dyDescent="0.2">
      <c r="A39" s="361">
        <v>34641</v>
      </c>
      <c r="B39" s="253">
        <v>2016</v>
      </c>
      <c r="C39" s="361" t="s">
        <v>66</v>
      </c>
      <c r="D39" s="255">
        <v>612</v>
      </c>
      <c r="E39" s="443">
        <v>15</v>
      </c>
      <c r="F39" s="443">
        <v>4</v>
      </c>
      <c r="G39" s="443">
        <v>0</v>
      </c>
      <c r="H39" s="443">
        <v>0</v>
      </c>
      <c r="I39" s="443">
        <v>9</v>
      </c>
      <c r="J39" s="443">
        <v>0</v>
      </c>
      <c r="K39" s="443">
        <v>0</v>
      </c>
      <c r="L39" s="443">
        <v>0</v>
      </c>
      <c r="M39" s="443">
        <v>12</v>
      </c>
      <c r="N39" s="443">
        <v>0</v>
      </c>
      <c r="O39" s="443">
        <v>38</v>
      </c>
      <c r="P39" s="443">
        <v>24</v>
      </c>
      <c r="Q39" s="256">
        <f t="shared" si="8"/>
        <v>102</v>
      </c>
      <c r="R39" s="359">
        <f t="shared" si="11"/>
        <v>8.5</v>
      </c>
      <c r="S39" s="360">
        <f t="shared" si="7"/>
        <v>60</v>
      </c>
      <c r="T39" s="461">
        <f t="shared" si="9"/>
        <v>510</v>
      </c>
      <c r="U39" s="112">
        <v>2016</v>
      </c>
      <c r="V39" s="361" t="s">
        <v>66</v>
      </c>
      <c r="W39" s="104"/>
      <c r="X39" s="104"/>
      <c r="Y39" s="104"/>
      <c r="Z39" s="104"/>
      <c r="AA39" s="144">
        <v>43299</v>
      </c>
      <c r="AB39" s="149">
        <v>2017</v>
      </c>
      <c r="AC39" s="145" t="s">
        <v>198</v>
      </c>
      <c r="AD39" s="145">
        <v>329</v>
      </c>
      <c r="AE39" s="104"/>
      <c r="AF39" s="104"/>
      <c r="AG39" s="104"/>
      <c r="AH39" s="104"/>
      <c r="AI39" s="104"/>
      <c r="AJ39" s="104"/>
      <c r="AK39" s="104"/>
      <c r="AL39" s="104"/>
      <c r="AM39" s="104"/>
      <c r="AN39" s="104"/>
      <c r="AO39" s="104"/>
      <c r="AP39" s="104"/>
      <c r="AQ39" s="104"/>
      <c r="AR39" s="104"/>
      <c r="AS39" s="104"/>
      <c r="AT39" s="104"/>
      <c r="AU39" s="104"/>
      <c r="AV39" s="104"/>
      <c r="AW39" s="104"/>
    </row>
    <row r="40" spans="1:49" x14ac:dyDescent="0.2">
      <c r="A40" s="252"/>
      <c r="B40" s="253">
        <v>2016</v>
      </c>
      <c r="C40" s="252" t="s">
        <v>217</v>
      </c>
      <c r="D40" s="255">
        <v>454</v>
      </c>
      <c r="E40" s="469">
        <v>20</v>
      </c>
      <c r="F40" s="469">
        <v>24</v>
      </c>
      <c r="G40" s="469">
        <v>15</v>
      </c>
      <c r="H40" s="469">
        <v>3</v>
      </c>
      <c r="I40" s="469">
        <v>0</v>
      </c>
      <c r="J40" s="469">
        <v>0</v>
      </c>
      <c r="K40" s="469">
        <v>0</v>
      </c>
      <c r="L40" s="469">
        <v>16</v>
      </c>
      <c r="M40" s="469">
        <v>4</v>
      </c>
      <c r="N40" s="469">
        <v>0</v>
      </c>
      <c r="O40" s="469">
        <v>13</v>
      </c>
      <c r="P40" s="443">
        <v>0</v>
      </c>
      <c r="Q40" s="256">
        <f t="shared" si="8"/>
        <v>95</v>
      </c>
      <c r="R40" s="359">
        <f t="shared" si="11"/>
        <v>7.916666666666667</v>
      </c>
      <c r="S40" s="360">
        <f t="shared" si="7"/>
        <v>45.347368421052629</v>
      </c>
      <c r="T40" s="461">
        <f t="shared" si="9"/>
        <v>359</v>
      </c>
      <c r="U40" s="112">
        <v>2016</v>
      </c>
      <c r="V40" s="252" t="s">
        <v>264</v>
      </c>
      <c r="W40" s="104"/>
      <c r="X40" s="104"/>
      <c r="Y40" s="104"/>
      <c r="Z40" s="104"/>
      <c r="AA40" s="144">
        <v>43299</v>
      </c>
      <c r="AB40" s="149">
        <v>2015</v>
      </c>
      <c r="AC40" s="145" t="s">
        <v>42</v>
      </c>
      <c r="AD40" s="145">
        <v>254</v>
      </c>
      <c r="AE40" s="104" t="s">
        <v>261</v>
      </c>
      <c r="AF40" s="104"/>
      <c r="AG40" s="104"/>
      <c r="AH40" s="104"/>
      <c r="AI40" s="104"/>
      <c r="AJ40" s="104"/>
      <c r="AK40" s="104"/>
      <c r="AL40" s="104"/>
      <c r="AM40" s="104"/>
      <c r="AN40" s="104"/>
      <c r="AO40" s="104"/>
      <c r="AP40" s="104"/>
      <c r="AQ40" s="104"/>
      <c r="AR40" s="104"/>
      <c r="AS40" s="104"/>
      <c r="AT40" s="104"/>
      <c r="AU40" s="104"/>
      <c r="AV40" s="104"/>
      <c r="AW40" s="104"/>
    </row>
    <row r="41" spans="1:49" x14ac:dyDescent="0.2">
      <c r="A41" s="252">
        <v>86051</v>
      </c>
      <c r="B41" s="253" t="s">
        <v>265</v>
      </c>
      <c r="C41" s="252" t="s">
        <v>94</v>
      </c>
      <c r="D41" s="255">
        <v>384</v>
      </c>
      <c r="E41" s="443">
        <v>29</v>
      </c>
      <c r="F41" s="443">
        <v>8</v>
      </c>
      <c r="G41" s="443">
        <v>1</v>
      </c>
      <c r="H41" s="443">
        <v>4</v>
      </c>
      <c r="I41" s="443">
        <v>16</v>
      </c>
      <c r="J41" s="443">
        <v>35</v>
      </c>
      <c r="K41" s="443">
        <v>21</v>
      </c>
      <c r="L41" s="443">
        <v>0</v>
      </c>
      <c r="M41" s="443">
        <v>22</v>
      </c>
      <c r="N41" s="443">
        <v>42</v>
      </c>
      <c r="O41" s="443">
        <v>123</v>
      </c>
      <c r="P41" s="443">
        <v>30</v>
      </c>
      <c r="Q41" s="256">
        <f>SUM(E41:P41)</f>
        <v>331</v>
      </c>
      <c r="R41" s="359">
        <f>IFERROR((AVERAGE(E41:P41)),0)</f>
        <v>27.583333333333332</v>
      </c>
      <c r="S41" s="360">
        <f>IFERROR((T41/R41),0)</f>
        <v>1.9214501510574018</v>
      </c>
      <c r="T41" s="461">
        <f>SUM(D41-Q41)</f>
        <v>53</v>
      </c>
      <c r="U41" s="112" t="s">
        <v>265</v>
      </c>
      <c r="V41" s="252" t="s">
        <v>94</v>
      </c>
      <c r="W41" s="104"/>
      <c r="X41" s="104"/>
      <c r="Y41" s="104"/>
      <c r="Z41" s="104"/>
      <c r="AA41" s="144">
        <v>43325</v>
      </c>
      <c r="AB41" s="149">
        <v>2017</v>
      </c>
      <c r="AC41" s="145" t="s">
        <v>215</v>
      </c>
      <c r="AD41" s="145">
        <v>620</v>
      </c>
      <c r="AE41" s="104"/>
      <c r="AF41" s="104"/>
      <c r="AG41" s="104"/>
      <c r="AH41" s="104"/>
      <c r="AI41" s="104"/>
      <c r="AJ41" s="104"/>
      <c r="AK41" s="104"/>
      <c r="AL41" s="104"/>
      <c r="AM41" s="104"/>
      <c r="AN41" s="104"/>
      <c r="AO41" s="104"/>
      <c r="AP41" s="104"/>
      <c r="AQ41" s="104"/>
      <c r="AR41" s="104"/>
      <c r="AS41" s="104"/>
      <c r="AT41" s="104"/>
      <c r="AU41" s="104"/>
      <c r="AV41" s="104"/>
      <c r="AW41" s="104"/>
    </row>
    <row r="42" spans="1:49" x14ac:dyDescent="0.2">
      <c r="A42" s="249"/>
      <c r="B42" s="249"/>
      <c r="C42" s="249"/>
      <c r="D42" s="251"/>
      <c r="E42" s="251"/>
      <c r="F42" s="251"/>
      <c r="G42" s="251"/>
      <c r="H42" s="251"/>
      <c r="I42" s="251"/>
      <c r="J42" s="251"/>
      <c r="K42" s="251"/>
      <c r="L42" s="251"/>
      <c r="M42" s="251"/>
      <c r="N42" s="251"/>
      <c r="O42" s="251"/>
      <c r="P42" s="251"/>
      <c r="Q42" s="251"/>
      <c r="R42" s="251"/>
      <c r="S42" s="251"/>
      <c r="T42" s="251"/>
      <c r="U42" s="249"/>
      <c r="V42" s="249"/>
      <c r="W42" s="104"/>
      <c r="X42" s="104"/>
      <c r="Y42" s="104"/>
      <c r="Z42" s="104"/>
      <c r="AA42" s="144">
        <v>43325</v>
      </c>
      <c r="AB42" s="149">
        <v>2017</v>
      </c>
      <c r="AC42" s="145" t="s">
        <v>214</v>
      </c>
      <c r="AD42" s="145">
        <v>480</v>
      </c>
      <c r="AE42" s="104"/>
      <c r="AF42" s="104"/>
      <c r="AG42" s="104"/>
      <c r="AH42" s="104"/>
      <c r="AI42" s="104"/>
      <c r="AJ42" s="104"/>
      <c r="AK42" s="104"/>
      <c r="AL42" s="104"/>
      <c r="AM42" s="104"/>
      <c r="AN42" s="104"/>
      <c r="AO42" s="104"/>
      <c r="AP42" s="104"/>
      <c r="AQ42" s="104"/>
      <c r="AR42" s="104"/>
      <c r="AS42" s="104"/>
      <c r="AT42" s="104"/>
      <c r="AU42" s="104"/>
      <c r="AV42" s="104"/>
      <c r="AW42" s="104"/>
    </row>
    <row r="43" spans="1:49" x14ac:dyDescent="0.2">
      <c r="A43" s="252">
        <v>111574</v>
      </c>
      <c r="B43" s="112">
        <v>2017</v>
      </c>
      <c r="C43" s="252" t="s">
        <v>205</v>
      </c>
      <c r="D43" s="445">
        <v>406</v>
      </c>
      <c r="E43" s="446"/>
      <c r="F43" s="446">
        <v>3</v>
      </c>
      <c r="G43" s="446">
        <v>14</v>
      </c>
      <c r="H43" s="446">
        <v>0</v>
      </c>
      <c r="I43" s="446">
        <v>1</v>
      </c>
      <c r="J43" s="446">
        <v>1</v>
      </c>
      <c r="K43" s="446">
        <v>5</v>
      </c>
      <c r="L43" s="446">
        <v>42</v>
      </c>
      <c r="M43" s="446">
        <v>11</v>
      </c>
      <c r="N43" s="446">
        <v>6</v>
      </c>
      <c r="O43" s="446">
        <v>15</v>
      </c>
      <c r="P43" s="446">
        <v>12</v>
      </c>
      <c r="Q43" s="256">
        <f t="shared" ref="Q43:Q49" si="12">SUM(E43:P43)</f>
        <v>110</v>
      </c>
      <c r="R43" s="359">
        <f t="shared" ref="R43:R47" si="13">IFERROR((AVERAGE(E43:P43)),0)</f>
        <v>10</v>
      </c>
      <c r="S43" s="360">
        <f>IFERROR((T43/R43),0)</f>
        <v>29.6</v>
      </c>
      <c r="T43" s="461">
        <f t="shared" ref="T43:T49" si="14">SUM(D43-Q43)</f>
        <v>296</v>
      </c>
      <c r="U43" s="112">
        <v>2017</v>
      </c>
      <c r="V43" s="252" t="s">
        <v>205</v>
      </c>
      <c r="W43" s="104"/>
      <c r="X43" s="104"/>
      <c r="Y43" s="104"/>
      <c r="Z43" s="104"/>
      <c r="AA43" s="144">
        <v>43325</v>
      </c>
      <c r="AB43" s="149">
        <v>2017</v>
      </c>
      <c r="AC43" s="145" t="s">
        <v>266</v>
      </c>
      <c r="AD43" s="145">
        <v>602</v>
      </c>
      <c r="AE43" s="104"/>
      <c r="AF43" s="104"/>
      <c r="AG43" s="104"/>
      <c r="AH43" s="104"/>
      <c r="AI43" s="104"/>
      <c r="AJ43" s="104"/>
      <c r="AK43" s="104"/>
      <c r="AL43" s="104"/>
      <c r="AM43" s="104"/>
      <c r="AN43" s="104"/>
      <c r="AO43" s="104"/>
      <c r="AP43" s="104"/>
      <c r="AQ43" s="104"/>
      <c r="AR43" s="104"/>
      <c r="AS43" s="104"/>
      <c r="AT43" s="104"/>
      <c r="AU43" s="104"/>
      <c r="AV43" s="104"/>
      <c r="AW43" s="104"/>
    </row>
    <row r="44" spans="1:49" x14ac:dyDescent="0.2">
      <c r="A44" s="252">
        <v>22385</v>
      </c>
      <c r="B44" s="112">
        <v>2017</v>
      </c>
      <c r="C44" s="252" t="s">
        <v>33</v>
      </c>
      <c r="D44" s="445">
        <v>397</v>
      </c>
      <c r="E44" s="446"/>
      <c r="F44" s="446">
        <v>5</v>
      </c>
      <c r="G44" s="446">
        <v>11</v>
      </c>
      <c r="H44" s="446">
        <v>26</v>
      </c>
      <c r="I44" s="446">
        <v>63</v>
      </c>
      <c r="J44" s="446">
        <v>45</v>
      </c>
      <c r="K44" s="446">
        <v>28</v>
      </c>
      <c r="L44" s="446">
        <v>23</v>
      </c>
      <c r="M44" s="446">
        <v>25</v>
      </c>
      <c r="N44" s="446">
        <v>22</v>
      </c>
      <c r="O44" s="446">
        <v>17</v>
      </c>
      <c r="P44" s="446">
        <v>16</v>
      </c>
      <c r="Q44" s="256">
        <f t="shared" si="12"/>
        <v>281</v>
      </c>
      <c r="R44" s="359">
        <f t="shared" si="13"/>
        <v>25.545454545454547</v>
      </c>
      <c r="S44" s="360">
        <f t="shared" ref="S44" si="15">IFERROR((T44/R44),0)</f>
        <v>4.5409252669039146</v>
      </c>
      <c r="T44" s="461">
        <f t="shared" si="14"/>
        <v>116</v>
      </c>
      <c r="U44" s="112">
        <v>2017</v>
      </c>
      <c r="V44" s="252" t="s">
        <v>33</v>
      </c>
      <c r="W44" s="104"/>
      <c r="X44" s="104"/>
      <c r="Y44" s="104"/>
      <c r="Z44" s="104"/>
      <c r="AA44" s="144">
        <v>43325</v>
      </c>
      <c r="AB44" s="149">
        <v>2017</v>
      </c>
      <c r="AC44" s="145" t="s">
        <v>208</v>
      </c>
      <c r="AD44" s="145">
        <v>650</v>
      </c>
      <c r="AE44" s="104"/>
      <c r="AF44" s="104"/>
      <c r="AG44" s="104"/>
      <c r="AH44" s="104"/>
      <c r="AI44" s="104"/>
      <c r="AJ44" s="104"/>
      <c r="AK44" s="104"/>
      <c r="AL44" s="104"/>
      <c r="AM44" s="104"/>
      <c r="AN44" s="104"/>
      <c r="AO44" s="104"/>
      <c r="AP44" s="104"/>
      <c r="AQ44" s="104"/>
      <c r="AR44" s="104"/>
      <c r="AS44" s="104"/>
      <c r="AT44" s="104"/>
      <c r="AU44" s="104"/>
      <c r="AV44" s="104"/>
      <c r="AW44" s="104"/>
    </row>
    <row r="45" spans="1:49" x14ac:dyDescent="0.2">
      <c r="A45" s="252">
        <v>111575</v>
      </c>
      <c r="B45" s="112">
        <v>2017</v>
      </c>
      <c r="C45" s="252" t="s">
        <v>159</v>
      </c>
      <c r="D45" s="445">
        <v>204</v>
      </c>
      <c r="E45" s="446"/>
      <c r="F45" s="446"/>
      <c r="G45" s="446">
        <v>6</v>
      </c>
      <c r="H45" s="446">
        <v>12</v>
      </c>
      <c r="I45" s="446">
        <v>59</v>
      </c>
      <c r="J45" s="446">
        <v>36</v>
      </c>
      <c r="K45" s="446">
        <v>26</v>
      </c>
      <c r="L45" s="446">
        <v>12</v>
      </c>
      <c r="M45" s="446">
        <v>15</v>
      </c>
      <c r="N45" s="446">
        <v>6</v>
      </c>
      <c r="O45" s="446">
        <v>3</v>
      </c>
      <c r="P45" s="446">
        <v>9</v>
      </c>
      <c r="Q45" s="256">
        <f t="shared" si="12"/>
        <v>184</v>
      </c>
      <c r="R45" s="359">
        <f t="shared" si="13"/>
        <v>18.399999999999999</v>
      </c>
      <c r="S45" s="360">
        <f>IFERROR((T45/R45),0)</f>
        <v>1.0869565217391306</v>
      </c>
      <c r="T45" s="461">
        <f t="shared" si="14"/>
        <v>20</v>
      </c>
      <c r="U45" s="112">
        <v>2017</v>
      </c>
      <c r="V45" s="252" t="s">
        <v>159</v>
      </c>
      <c r="W45" s="104"/>
      <c r="X45" s="104"/>
      <c r="Y45" s="104"/>
      <c r="Z45" s="104"/>
      <c r="AA45" s="144">
        <v>43326</v>
      </c>
      <c r="AB45" s="149">
        <v>2017</v>
      </c>
      <c r="AC45" s="145" t="s">
        <v>267</v>
      </c>
      <c r="AD45" s="145">
        <v>112</v>
      </c>
      <c r="AE45" s="104" t="s">
        <v>268</v>
      </c>
      <c r="AF45" s="104"/>
      <c r="AG45" s="104"/>
      <c r="AH45" s="104"/>
      <c r="AI45" s="104"/>
      <c r="AJ45" s="104"/>
      <c r="AK45" s="104"/>
      <c r="AL45" s="104"/>
      <c r="AM45" s="104"/>
      <c r="AN45" s="104"/>
      <c r="AO45" s="104"/>
      <c r="AP45" s="104"/>
      <c r="AQ45" s="104"/>
      <c r="AR45" s="104"/>
      <c r="AS45" s="104"/>
      <c r="AT45" s="104"/>
      <c r="AU45" s="104"/>
      <c r="AV45" s="104"/>
      <c r="AW45" s="104"/>
    </row>
    <row r="46" spans="1:49" x14ac:dyDescent="0.2">
      <c r="A46" s="252">
        <v>11198</v>
      </c>
      <c r="B46" s="112">
        <v>2017</v>
      </c>
      <c r="C46" s="252" t="s">
        <v>46</v>
      </c>
      <c r="D46" s="445">
        <v>450</v>
      </c>
      <c r="E46" s="446"/>
      <c r="F46" s="446"/>
      <c r="G46" s="446">
        <v>5</v>
      </c>
      <c r="H46" s="446">
        <v>2</v>
      </c>
      <c r="I46" s="446">
        <v>3</v>
      </c>
      <c r="J46" s="446">
        <v>0</v>
      </c>
      <c r="K46" s="446">
        <v>7</v>
      </c>
      <c r="L46" s="446">
        <v>57</v>
      </c>
      <c r="M46" s="446">
        <v>31</v>
      </c>
      <c r="N46" s="446">
        <v>21</v>
      </c>
      <c r="O46" s="446">
        <v>27</v>
      </c>
      <c r="P46" s="446">
        <v>18</v>
      </c>
      <c r="Q46" s="256">
        <f t="shared" si="12"/>
        <v>171</v>
      </c>
      <c r="R46" s="359">
        <f t="shared" si="13"/>
        <v>17.100000000000001</v>
      </c>
      <c r="S46" s="360">
        <f>IFERROR((T46/R46),0)</f>
        <v>16.315789473684209</v>
      </c>
      <c r="T46" s="461">
        <f t="shared" si="14"/>
        <v>279</v>
      </c>
      <c r="U46" s="112">
        <v>2017</v>
      </c>
      <c r="V46" s="252" t="s">
        <v>46</v>
      </c>
      <c r="W46" s="104"/>
      <c r="X46" s="104"/>
      <c r="Y46" s="104"/>
      <c r="Z46" s="104"/>
      <c r="AA46" s="144">
        <v>43341</v>
      </c>
      <c r="AB46" s="149">
        <v>2017</v>
      </c>
      <c r="AC46" s="145" t="s">
        <v>269</v>
      </c>
      <c r="AD46" s="145">
        <v>74</v>
      </c>
      <c r="AE46" s="104" t="s">
        <v>270</v>
      </c>
      <c r="AF46" s="104"/>
      <c r="AG46" s="104"/>
      <c r="AH46" s="104"/>
      <c r="AI46" s="104"/>
      <c r="AJ46" s="104"/>
      <c r="AK46" s="104"/>
      <c r="AL46" s="104"/>
      <c r="AM46" s="104"/>
      <c r="AN46" s="104"/>
      <c r="AO46" s="104"/>
      <c r="AP46" s="104"/>
      <c r="AQ46" s="104"/>
      <c r="AR46" s="104"/>
      <c r="AS46" s="104"/>
      <c r="AT46" s="104"/>
      <c r="AU46" s="104"/>
      <c r="AV46" s="104"/>
      <c r="AW46" s="104"/>
    </row>
    <row r="47" spans="1:49" x14ac:dyDescent="0.2">
      <c r="A47" s="252">
        <v>28384</v>
      </c>
      <c r="B47" s="112">
        <v>2017</v>
      </c>
      <c r="C47" s="252" t="s">
        <v>271</v>
      </c>
      <c r="D47" s="445">
        <v>200</v>
      </c>
      <c r="E47" s="446"/>
      <c r="F47" s="446"/>
      <c r="G47" s="446"/>
      <c r="H47" s="446"/>
      <c r="I47" s="446"/>
      <c r="J47" s="446"/>
      <c r="K47" s="446">
        <v>35</v>
      </c>
      <c r="L47" s="446">
        <v>16</v>
      </c>
      <c r="M47" s="446">
        <v>10</v>
      </c>
      <c r="N47" s="446">
        <v>26</v>
      </c>
      <c r="O47" s="446">
        <v>0</v>
      </c>
      <c r="P47" s="446">
        <v>0</v>
      </c>
      <c r="Q47" s="256">
        <f t="shared" si="12"/>
        <v>87</v>
      </c>
      <c r="R47" s="359">
        <f t="shared" si="13"/>
        <v>14.5</v>
      </c>
      <c r="S47" s="360">
        <f>IFERROR((T47/R47),0)</f>
        <v>7.7931034482758621</v>
      </c>
      <c r="T47" s="461">
        <f t="shared" si="14"/>
        <v>113</v>
      </c>
      <c r="U47" s="112">
        <v>2017</v>
      </c>
      <c r="V47" s="252" t="s">
        <v>272</v>
      </c>
      <c r="W47" s="104"/>
      <c r="X47" s="104"/>
      <c r="Y47" s="104"/>
      <c r="Z47" s="104"/>
      <c r="AA47" s="144">
        <v>43326</v>
      </c>
      <c r="AB47" s="149" t="s">
        <v>273</v>
      </c>
      <c r="AC47" s="145" t="s">
        <v>274</v>
      </c>
      <c r="AD47" s="145">
        <v>854</v>
      </c>
      <c r="AE47" s="104" t="s">
        <v>270</v>
      </c>
      <c r="AF47" s="104"/>
      <c r="AG47" s="104"/>
      <c r="AH47" s="104"/>
      <c r="AI47" s="104"/>
      <c r="AJ47" s="104"/>
      <c r="AK47" s="104"/>
      <c r="AL47" s="104"/>
      <c r="AM47" s="104"/>
      <c r="AN47" s="104"/>
      <c r="AO47" s="104"/>
      <c r="AP47" s="104"/>
      <c r="AQ47" s="104"/>
      <c r="AR47" s="104"/>
      <c r="AS47" s="104"/>
      <c r="AT47" s="104"/>
      <c r="AU47" s="104"/>
      <c r="AV47" s="104"/>
      <c r="AW47" s="104"/>
    </row>
    <row r="48" spans="1:49" x14ac:dyDescent="0.2">
      <c r="A48" s="252">
        <v>57632</v>
      </c>
      <c r="B48" s="112">
        <v>2017</v>
      </c>
      <c r="C48" s="252" t="s">
        <v>31</v>
      </c>
      <c r="D48" s="445">
        <v>471</v>
      </c>
      <c r="E48" s="446"/>
      <c r="F48" s="446"/>
      <c r="G48" s="446"/>
      <c r="H48" s="446"/>
      <c r="I48" s="446"/>
      <c r="J48" s="446"/>
      <c r="K48" s="446">
        <v>0</v>
      </c>
      <c r="L48" s="446">
        <v>8</v>
      </c>
      <c r="M48" s="446">
        <v>3</v>
      </c>
      <c r="N48" s="446">
        <v>0</v>
      </c>
      <c r="O48" s="446">
        <v>6</v>
      </c>
      <c r="P48" s="446">
        <v>6</v>
      </c>
      <c r="Q48" s="256">
        <f>SUM(E48:P48)</f>
        <v>23</v>
      </c>
      <c r="R48" s="359">
        <f>IFERROR((AVERAGE(E48:P48)),0)</f>
        <v>3.8333333333333335</v>
      </c>
      <c r="S48" s="360">
        <f>IFERROR((T48/R48),0)</f>
        <v>116.8695652173913</v>
      </c>
      <c r="T48" s="461">
        <f>SUM(D48-Q48)</f>
        <v>448</v>
      </c>
      <c r="U48" s="112">
        <v>2017</v>
      </c>
      <c r="V48" s="252" t="s">
        <v>31</v>
      </c>
      <c r="W48" s="104"/>
      <c r="X48" s="104"/>
      <c r="Y48" s="104"/>
      <c r="Z48" s="104"/>
      <c r="AA48" s="144">
        <v>43439</v>
      </c>
      <c r="AB48" s="149">
        <v>2017</v>
      </c>
      <c r="AC48" s="145" t="s">
        <v>227</v>
      </c>
      <c r="AD48" s="145">
        <v>174</v>
      </c>
      <c r="AE48" s="104" t="s">
        <v>270</v>
      </c>
      <c r="AF48" s="104"/>
      <c r="AG48" s="104"/>
      <c r="AH48" s="104"/>
      <c r="AI48" s="104"/>
      <c r="AJ48" s="104"/>
      <c r="AK48" s="104"/>
      <c r="AL48" s="104"/>
      <c r="AM48" s="104"/>
      <c r="AN48" s="104"/>
      <c r="AO48" s="104"/>
      <c r="AP48" s="104"/>
      <c r="AQ48" s="104"/>
      <c r="AR48" s="104"/>
      <c r="AS48" s="104"/>
      <c r="AT48" s="104"/>
      <c r="AU48" s="104"/>
      <c r="AV48" s="104"/>
      <c r="AW48" s="104"/>
    </row>
    <row r="49" spans="1:52" x14ac:dyDescent="0.2">
      <c r="A49" s="252">
        <v>57630</v>
      </c>
      <c r="B49" s="112">
        <v>2017</v>
      </c>
      <c r="C49" s="252" t="s">
        <v>25</v>
      </c>
      <c r="D49" s="445">
        <v>928</v>
      </c>
      <c r="E49" s="446"/>
      <c r="F49" s="446"/>
      <c r="G49" s="446"/>
      <c r="H49" s="446"/>
      <c r="I49" s="446"/>
      <c r="J49" s="446"/>
      <c r="K49" s="446">
        <v>0</v>
      </c>
      <c r="L49" s="446">
        <v>11</v>
      </c>
      <c r="M49" s="446">
        <v>3</v>
      </c>
      <c r="N49" s="446">
        <v>0</v>
      </c>
      <c r="O49" s="446">
        <v>0</v>
      </c>
      <c r="P49" s="446">
        <v>49</v>
      </c>
      <c r="Q49" s="256">
        <f t="shared" si="12"/>
        <v>63</v>
      </c>
      <c r="R49" s="359">
        <f t="shared" ref="R49:R57" si="16">IFERROR((AVERAGE(E49:P49)),0)</f>
        <v>10.5</v>
      </c>
      <c r="S49" s="360">
        <f t="shared" ref="S49:S57" si="17">IFERROR((T49/R49),0)</f>
        <v>82.38095238095238</v>
      </c>
      <c r="T49" s="461">
        <f t="shared" si="14"/>
        <v>865</v>
      </c>
      <c r="U49" s="112">
        <v>2017</v>
      </c>
      <c r="V49" s="252" t="s">
        <v>25</v>
      </c>
      <c r="W49" s="104"/>
      <c r="X49" s="104"/>
      <c r="Y49" s="104"/>
      <c r="Z49" s="104"/>
      <c r="AA49" s="144">
        <v>43439</v>
      </c>
      <c r="AB49" s="149">
        <v>2017</v>
      </c>
      <c r="AC49" s="145" t="s">
        <v>275</v>
      </c>
      <c r="AD49" s="145">
        <v>247</v>
      </c>
      <c r="AE49" s="104" t="s">
        <v>276</v>
      </c>
      <c r="AF49" s="104"/>
      <c r="AG49" s="104"/>
      <c r="AH49" s="104"/>
      <c r="AI49" s="104"/>
      <c r="AJ49" s="104"/>
      <c r="AK49" s="104"/>
      <c r="AL49" s="104"/>
      <c r="AM49" s="104"/>
      <c r="AN49" s="104"/>
      <c r="AO49" s="104"/>
      <c r="AP49" s="104"/>
      <c r="AQ49" s="104"/>
      <c r="AR49" s="104"/>
      <c r="AS49" s="104"/>
      <c r="AT49" s="104"/>
      <c r="AU49" s="104"/>
      <c r="AV49" s="104"/>
      <c r="AW49" s="104"/>
      <c r="AX49" s="104"/>
      <c r="AY49" s="104"/>
      <c r="AZ49" s="104"/>
    </row>
    <row r="50" spans="1:52" x14ac:dyDescent="0.2">
      <c r="A50" s="252">
        <v>22382</v>
      </c>
      <c r="B50" s="112">
        <v>2017</v>
      </c>
      <c r="C50" s="252" t="s">
        <v>23</v>
      </c>
      <c r="D50" s="445">
        <v>620</v>
      </c>
      <c r="E50" s="446"/>
      <c r="F50" s="446"/>
      <c r="G50" s="446"/>
      <c r="H50" s="446"/>
      <c r="I50" s="446"/>
      <c r="J50" s="446"/>
      <c r="K50" s="446"/>
      <c r="L50" s="446">
        <v>0</v>
      </c>
      <c r="M50" s="446">
        <v>0</v>
      </c>
      <c r="N50" s="446">
        <v>0</v>
      </c>
      <c r="O50" s="446">
        <v>0</v>
      </c>
      <c r="P50" s="446">
        <v>0</v>
      </c>
      <c r="Q50" s="256">
        <f t="shared" ref="Q50:Q57" si="18">SUM(E50:P50)</f>
        <v>0</v>
      </c>
      <c r="R50" s="359">
        <f t="shared" si="16"/>
        <v>0</v>
      </c>
      <c r="S50" s="360">
        <f t="shared" si="17"/>
        <v>0</v>
      </c>
      <c r="T50" s="461">
        <f t="shared" ref="T50:T58" si="19">SUM(D50-Q50)</f>
        <v>620</v>
      </c>
      <c r="U50" s="112">
        <v>2017</v>
      </c>
      <c r="V50" s="252" t="s">
        <v>23</v>
      </c>
      <c r="W50" s="104"/>
      <c r="X50" s="104"/>
      <c r="Y50" s="104"/>
      <c r="Z50" s="104"/>
      <c r="AA50" s="144">
        <v>43439</v>
      </c>
      <c r="AB50" s="149">
        <v>2017</v>
      </c>
      <c r="AC50" s="145" t="s">
        <v>220</v>
      </c>
      <c r="AD50" s="145">
        <v>818</v>
      </c>
      <c r="AE50" s="104" t="s">
        <v>270</v>
      </c>
      <c r="AF50" s="104"/>
      <c r="AG50" s="104"/>
      <c r="AH50" s="104"/>
      <c r="AI50" s="104"/>
      <c r="AJ50" s="104"/>
      <c r="AK50" s="104"/>
      <c r="AL50" s="104"/>
      <c r="AM50" s="104"/>
      <c r="AN50" s="104"/>
      <c r="AO50" s="104"/>
      <c r="AP50" s="104"/>
      <c r="AQ50" s="104"/>
      <c r="AR50" s="104"/>
      <c r="AS50" s="104"/>
      <c r="AT50" s="104"/>
      <c r="AU50" s="104"/>
      <c r="AV50" s="104"/>
      <c r="AW50" s="104"/>
      <c r="AX50" s="104"/>
      <c r="AY50" s="104"/>
      <c r="AZ50" s="104"/>
    </row>
    <row r="51" spans="1:52" x14ac:dyDescent="0.2">
      <c r="A51" s="252">
        <v>84802</v>
      </c>
      <c r="B51" s="112">
        <v>2017</v>
      </c>
      <c r="C51" s="252" t="s">
        <v>93</v>
      </c>
      <c r="D51" s="445">
        <v>174</v>
      </c>
      <c r="E51" s="446"/>
      <c r="F51" s="446"/>
      <c r="G51" s="446"/>
      <c r="H51" s="446"/>
      <c r="I51" s="446"/>
      <c r="J51" s="446"/>
      <c r="K51" s="446"/>
      <c r="L51" s="446"/>
      <c r="M51" s="446"/>
      <c r="N51" s="446">
        <v>0</v>
      </c>
      <c r="O51" s="446">
        <v>0</v>
      </c>
      <c r="P51" s="446">
        <v>25</v>
      </c>
      <c r="Q51" s="256">
        <f t="shared" si="18"/>
        <v>25</v>
      </c>
      <c r="R51" s="359">
        <f t="shared" si="16"/>
        <v>8.3333333333333339</v>
      </c>
      <c r="S51" s="360">
        <f t="shared" si="17"/>
        <v>17.88</v>
      </c>
      <c r="T51" s="461">
        <f t="shared" si="19"/>
        <v>149</v>
      </c>
      <c r="U51" s="112">
        <v>2017</v>
      </c>
      <c r="V51" s="252" t="s">
        <v>93</v>
      </c>
      <c r="W51" s="104"/>
      <c r="X51" s="104"/>
      <c r="Y51" s="104"/>
      <c r="Z51" s="104"/>
      <c r="AA51" s="144">
        <v>43439</v>
      </c>
      <c r="AB51" s="149">
        <v>2017</v>
      </c>
      <c r="AC51" s="145" t="s">
        <v>277</v>
      </c>
      <c r="AD51" s="145">
        <v>690</v>
      </c>
      <c r="AE51" s="104" t="s">
        <v>270</v>
      </c>
      <c r="AF51" s="104"/>
      <c r="AG51" s="104"/>
      <c r="AH51" s="104"/>
      <c r="AI51" s="104"/>
      <c r="AJ51" s="104"/>
      <c r="AK51" s="104"/>
      <c r="AL51" s="104"/>
      <c r="AM51" s="104"/>
      <c r="AN51" s="104"/>
      <c r="AO51" s="104"/>
      <c r="AP51" s="104"/>
      <c r="AQ51" s="104"/>
      <c r="AR51" s="104"/>
      <c r="AS51" s="104"/>
      <c r="AT51" s="104"/>
      <c r="AU51" s="104"/>
      <c r="AV51" s="104"/>
      <c r="AW51" s="104"/>
      <c r="AX51" s="104"/>
      <c r="AY51" s="104"/>
      <c r="AZ51" s="104"/>
    </row>
    <row r="52" spans="1:52" x14ac:dyDescent="0.2">
      <c r="A52" s="252">
        <v>27736</v>
      </c>
      <c r="B52" s="112">
        <v>2017</v>
      </c>
      <c r="C52" s="252" t="s">
        <v>70</v>
      </c>
      <c r="D52" s="445">
        <v>480</v>
      </c>
      <c r="E52" s="446"/>
      <c r="F52" s="446"/>
      <c r="G52" s="446"/>
      <c r="H52" s="446"/>
      <c r="I52" s="446"/>
      <c r="J52" s="446"/>
      <c r="K52" s="446"/>
      <c r="L52" s="446">
        <v>7</v>
      </c>
      <c r="M52" s="446">
        <v>0</v>
      </c>
      <c r="N52" s="446">
        <v>5</v>
      </c>
      <c r="O52" s="446">
        <v>49</v>
      </c>
      <c r="P52" s="446">
        <v>13</v>
      </c>
      <c r="Q52" s="256">
        <f t="shared" si="18"/>
        <v>74</v>
      </c>
      <c r="R52" s="359">
        <f t="shared" si="16"/>
        <v>14.8</v>
      </c>
      <c r="S52" s="360">
        <f t="shared" si="17"/>
        <v>27.432432432432432</v>
      </c>
      <c r="T52" s="461">
        <f t="shared" si="19"/>
        <v>406</v>
      </c>
      <c r="U52" s="112">
        <v>2017</v>
      </c>
      <c r="V52" s="252" t="s">
        <v>70</v>
      </c>
      <c r="W52" s="104"/>
      <c r="X52" s="104"/>
      <c r="Y52" s="104"/>
      <c r="Z52" s="104"/>
      <c r="AA52" s="144">
        <v>43439</v>
      </c>
      <c r="AB52" s="149">
        <v>2017</v>
      </c>
      <c r="AC52" s="145" t="s">
        <v>24</v>
      </c>
      <c r="AD52" s="145">
        <v>305</v>
      </c>
      <c r="AE52" s="104" t="s">
        <v>270</v>
      </c>
      <c r="AF52" s="104"/>
      <c r="AG52" s="104"/>
      <c r="AH52" s="104"/>
      <c r="AI52" s="104"/>
      <c r="AJ52" s="104"/>
      <c r="AK52" s="104"/>
      <c r="AL52" s="104"/>
      <c r="AM52" s="104"/>
      <c r="AN52" s="104"/>
      <c r="AO52" s="104"/>
      <c r="AP52" s="104"/>
      <c r="AQ52" s="104"/>
      <c r="AR52" s="104"/>
      <c r="AS52" s="104"/>
      <c r="AT52" s="104"/>
      <c r="AU52" s="104"/>
      <c r="AV52" s="104"/>
      <c r="AW52" s="104"/>
      <c r="AX52" s="104"/>
      <c r="AY52" s="104"/>
      <c r="AZ52" s="104"/>
    </row>
    <row r="53" spans="1:52" x14ac:dyDescent="0.2">
      <c r="A53" s="252">
        <v>28361</v>
      </c>
      <c r="B53" s="112">
        <v>2017</v>
      </c>
      <c r="C53" s="252" t="s">
        <v>24</v>
      </c>
      <c r="D53" s="445">
        <v>305</v>
      </c>
      <c r="E53" s="446"/>
      <c r="F53" s="446"/>
      <c r="G53" s="446"/>
      <c r="H53" s="446"/>
      <c r="I53" s="446"/>
      <c r="J53" s="446"/>
      <c r="K53" s="446"/>
      <c r="L53" s="446"/>
      <c r="M53" s="446"/>
      <c r="N53" s="446">
        <v>0</v>
      </c>
      <c r="O53" s="446">
        <v>0</v>
      </c>
      <c r="P53" s="446">
        <v>25</v>
      </c>
      <c r="Q53" s="256">
        <f t="shared" si="18"/>
        <v>25</v>
      </c>
      <c r="R53" s="359">
        <f t="shared" si="16"/>
        <v>8.3333333333333339</v>
      </c>
      <c r="S53" s="360">
        <f t="shared" si="17"/>
        <v>33.599999999999994</v>
      </c>
      <c r="T53" s="461">
        <f t="shared" si="19"/>
        <v>280</v>
      </c>
      <c r="U53" s="112">
        <v>2017</v>
      </c>
      <c r="V53" s="252" t="s">
        <v>24</v>
      </c>
      <c r="W53" s="104"/>
      <c r="X53" s="104"/>
      <c r="Y53" s="104"/>
      <c r="Z53" s="104"/>
      <c r="AA53" s="144">
        <v>43439</v>
      </c>
      <c r="AB53" s="149">
        <v>2017</v>
      </c>
      <c r="AC53" s="145" t="s">
        <v>217</v>
      </c>
      <c r="AD53" s="145">
        <v>205</v>
      </c>
      <c r="AE53" s="104" t="s">
        <v>270</v>
      </c>
      <c r="AF53" s="104"/>
      <c r="AG53" s="104"/>
      <c r="AH53" s="104"/>
      <c r="AI53" s="104"/>
      <c r="AJ53" s="104"/>
      <c r="AK53" s="104"/>
      <c r="AL53" s="104"/>
      <c r="AM53" s="104"/>
      <c r="AN53" s="104"/>
      <c r="AO53" s="104"/>
      <c r="AP53" s="104"/>
      <c r="AQ53" s="104"/>
      <c r="AR53" s="104"/>
      <c r="AS53" s="104"/>
      <c r="AT53" s="104"/>
      <c r="AU53" s="104"/>
      <c r="AV53" s="104"/>
      <c r="AW53" s="104"/>
      <c r="AX53" s="104"/>
      <c r="AY53" s="104"/>
      <c r="AZ53" s="104"/>
    </row>
    <row r="54" spans="1:52" x14ac:dyDescent="0.2">
      <c r="A54" s="252">
        <v>22921</v>
      </c>
      <c r="B54" s="112">
        <v>2017</v>
      </c>
      <c r="C54" s="252" t="s">
        <v>278</v>
      </c>
      <c r="D54" s="445">
        <v>818</v>
      </c>
      <c r="E54" s="446"/>
      <c r="F54" s="446"/>
      <c r="G54" s="446"/>
      <c r="H54" s="446"/>
      <c r="I54" s="446"/>
      <c r="J54" s="446"/>
      <c r="K54" s="446"/>
      <c r="L54" s="446"/>
      <c r="M54" s="446"/>
      <c r="N54" s="446">
        <v>0</v>
      </c>
      <c r="O54" s="446">
        <v>0</v>
      </c>
      <c r="P54" s="446">
        <v>34</v>
      </c>
      <c r="Q54" s="256">
        <f t="shared" si="18"/>
        <v>34</v>
      </c>
      <c r="R54" s="359">
        <f t="shared" si="16"/>
        <v>11.333333333333334</v>
      </c>
      <c r="S54" s="360">
        <f t="shared" si="17"/>
        <v>69.17647058823529</v>
      </c>
      <c r="T54" s="461">
        <f t="shared" si="19"/>
        <v>784</v>
      </c>
      <c r="U54" s="112">
        <v>2017</v>
      </c>
      <c r="V54" s="252" t="s">
        <v>278</v>
      </c>
      <c r="W54" s="104"/>
      <c r="X54" s="104"/>
      <c r="Y54" s="104"/>
      <c r="Z54" s="104"/>
      <c r="AA54" s="144"/>
      <c r="AB54" s="149"/>
      <c r="AC54" s="145"/>
      <c r="AD54" s="145"/>
      <c r="AE54" s="104"/>
      <c r="AF54" s="104"/>
      <c r="AG54" s="104"/>
      <c r="AH54" s="104"/>
      <c r="AI54" s="104"/>
      <c r="AJ54" s="104"/>
      <c r="AK54" s="104"/>
      <c r="AL54" s="104"/>
      <c r="AM54" s="104"/>
      <c r="AN54" s="104"/>
      <c r="AO54" s="104"/>
      <c r="AP54" s="104"/>
      <c r="AQ54" s="104"/>
      <c r="AR54" s="104"/>
      <c r="AS54" s="104"/>
      <c r="AT54" s="104"/>
      <c r="AU54" s="104"/>
      <c r="AV54" s="104"/>
      <c r="AW54" s="104"/>
      <c r="AX54" s="104"/>
      <c r="AY54" s="104"/>
      <c r="AZ54" s="104"/>
    </row>
    <row r="55" spans="1:52" x14ac:dyDescent="0.2">
      <c r="A55" s="252"/>
      <c r="B55" s="112">
        <v>2017</v>
      </c>
      <c r="C55" s="252" t="s">
        <v>217</v>
      </c>
      <c r="D55" s="445">
        <v>205</v>
      </c>
      <c r="E55" s="446"/>
      <c r="F55" s="446"/>
      <c r="G55" s="446"/>
      <c r="H55" s="446"/>
      <c r="I55" s="446"/>
      <c r="J55" s="446"/>
      <c r="K55" s="446"/>
      <c r="L55" s="446"/>
      <c r="M55" s="446"/>
      <c r="N55" s="446">
        <v>0</v>
      </c>
      <c r="O55" s="446">
        <v>0</v>
      </c>
      <c r="P55" s="446">
        <v>37</v>
      </c>
      <c r="Q55" s="256">
        <f t="shared" si="18"/>
        <v>37</v>
      </c>
      <c r="R55" s="359">
        <f t="shared" si="16"/>
        <v>12.333333333333334</v>
      </c>
      <c r="S55" s="360">
        <f t="shared" si="17"/>
        <v>13.621621621621621</v>
      </c>
      <c r="T55" s="461">
        <f t="shared" si="19"/>
        <v>168</v>
      </c>
      <c r="U55" s="112">
        <v>2017</v>
      </c>
      <c r="V55" s="252" t="s">
        <v>217</v>
      </c>
      <c r="W55" s="104"/>
      <c r="X55" s="104"/>
      <c r="Y55" s="104"/>
      <c r="Z55" s="104"/>
      <c r="AA55" s="144">
        <v>43143</v>
      </c>
      <c r="AB55" s="149"/>
      <c r="AC55" s="145" t="s">
        <v>279</v>
      </c>
      <c r="AD55" s="145"/>
      <c r="AE55" s="104" t="s">
        <v>280</v>
      </c>
      <c r="AF55" s="104"/>
      <c r="AG55" s="104"/>
      <c r="AH55" s="104"/>
      <c r="AI55" s="104"/>
      <c r="AJ55" s="104"/>
      <c r="AK55" s="104"/>
      <c r="AL55" s="104"/>
      <c r="AM55" s="104"/>
      <c r="AN55" s="104"/>
      <c r="AO55" s="104"/>
      <c r="AP55" s="104"/>
      <c r="AQ55" s="104"/>
      <c r="AR55" s="104"/>
      <c r="AS55" s="104"/>
      <c r="AT55" s="104"/>
      <c r="AU55" s="104"/>
      <c r="AV55" s="104"/>
      <c r="AW55" s="104"/>
      <c r="AX55" s="104"/>
      <c r="AY55" s="104"/>
      <c r="AZ55" s="104"/>
    </row>
    <row r="56" spans="1:52" x14ac:dyDescent="0.2">
      <c r="A56" s="252">
        <v>86051</v>
      </c>
      <c r="B56" s="112" t="s">
        <v>281</v>
      </c>
      <c r="C56" s="252" t="s">
        <v>94</v>
      </c>
      <c r="D56" s="445">
        <v>690</v>
      </c>
      <c r="E56" s="446"/>
      <c r="F56" s="446"/>
      <c r="G56" s="446"/>
      <c r="H56" s="446"/>
      <c r="I56" s="446"/>
      <c r="J56" s="446"/>
      <c r="K56" s="446"/>
      <c r="L56" s="446"/>
      <c r="M56" s="446"/>
      <c r="N56" s="446">
        <v>0</v>
      </c>
      <c r="O56" s="446">
        <v>0</v>
      </c>
      <c r="P56" s="446">
        <v>18</v>
      </c>
      <c r="Q56" s="256">
        <f t="shared" si="18"/>
        <v>18</v>
      </c>
      <c r="R56" s="359">
        <f t="shared" si="16"/>
        <v>6</v>
      </c>
      <c r="S56" s="360">
        <f t="shared" si="17"/>
        <v>112</v>
      </c>
      <c r="T56" s="461">
        <f t="shared" si="19"/>
        <v>672</v>
      </c>
      <c r="U56" s="112">
        <v>2017</v>
      </c>
      <c r="V56" s="252" t="s">
        <v>94</v>
      </c>
      <c r="W56" s="104"/>
      <c r="X56" s="104"/>
      <c r="Y56" s="104"/>
      <c r="Z56" s="104"/>
      <c r="AA56" s="144">
        <v>43150</v>
      </c>
      <c r="AB56" s="149"/>
      <c r="AC56" s="145" t="s">
        <v>282</v>
      </c>
      <c r="AD56" s="145"/>
      <c r="AE56" s="104" t="s">
        <v>283</v>
      </c>
      <c r="AF56" s="104"/>
      <c r="AG56" s="104"/>
      <c r="AH56" s="104"/>
      <c r="AI56" s="104"/>
      <c r="AJ56" s="104"/>
      <c r="AK56" s="104"/>
      <c r="AL56" s="104"/>
      <c r="AM56" s="104"/>
      <c r="AN56" s="104"/>
      <c r="AO56" s="104"/>
      <c r="AP56" s="104"/>
      <c r="AQ56" s="104"/>
      <c r="AR56" s="104"/>
      <c r="AS56" s="104"/>
      <c r="AT56" s="104"/>
      <c r="AU56" s="104"/>
      <c r="AV56" s="104"/>
      <c r="AW56" s="104"/>
      <c r="AX56" s="104"/>
      <c r="AY56" s="104"/>
      <c r="AZ56" s="104"/>
    </row>
    <row r="57" spans="1:52" x14ac:dyDescent="0.2">
      <c r="A57" s="252">
        <v>28381</v>
      </c>
      <c r="B57" s="112">
        <v>2017</v>
      </c>
      <c r="C57" s="252" t="s">
        <v>269</v>
      </c>
      <c r="D57" s="445">
        <v>74</v>
      </c>
      <c r="E57" s="446"/>
      <c r="F57" s="446"/>
      <c r="G57" s="446"/>
      <c r="H57" s="446"/>
      <c r="I57" s="446"/>
      <c r="J57" s="446"/>
      <c r="K57" s="446"/>
      <c r="L57" s="446">
        <v>0</v>
      </c>
      <c r="M57" s="446">
        <v>0</v>
      </c>
      <c r="N57" s="446">
        <v>0</v>
      </c>
      <c r="O57" s="446">
        <v>31</v>
      </c>
      <c r="P57" s="446">
        <v>12</v>
      </c>
      <c r="Q57" s="256">
        <f t="shared" si="18"/>
        <v>43</v>
      </c>
      <c r="R57" s="359">
        <f t="shared" si="16"/>
        <v>8.6</v>
      </c>
      <c r="S57" s="360">
        <f t="shared" si="17"/>
        <v>3.6046511627906979</v>
      </c>
      <c r="T57" s="461">
        <f t="shared" si="19"/>
        <v>31</v>
      </c>
      <c r="U57" s="112"/>
      <c r="V57" s="252" t="s">
        <v>269</v>
      </c>
      <c r="W57" s="104"/>
      <c r="X57" s="104"/>
      <c r="Y57" s="104"/>
      <c r="Z57" s="104"/>
      <c r="AA57" s="144">
        <v>43150</v>
      </c>
      <c r="AB57" s="149"/>
      <c r="AC57" s="145" t="s">
        <v>284</v>
      </c>
      <c r="AD57" s="145"/>
      <c r="AE57" s="104" t="s">
        <v>283</v>
      </c>
      <c r="AF57" s="104"/>
      <c r="AG57" s="104"/>
      <c r="AH57" s="104"/>
      <c r="AI57" s="104"/>
      <c r="AJ57" s="104"/>
      <c r="AK57" s="104"/>
      <c r="AL57" s="104"/>
      <c r="AM57" s="104"/>
      <c r="AN57" s="104"/>
      <c r="AO57" s="104"/>
      <c r="AP57" s="104"/>
      <c r="AQ57" s="104"/>
      <c r="AR57" s="104"/>
      <c r="AS57" s="104"/>
      <c r="AT57" s="104"/>
      <c r="AU57" s="104"/>
      <c r="AV57" s="104"/>
      <c r="AW57" s="104"/>
      <c r="AX57" s="104"/>
      <c r="AY57" s="104"/>
      <c r="AZ57" s="104"/>
    </row>
    <row r="58" spans="1:52" x14ac:dyDescent="0.2">
      <c r="A58" s="252">
        <v>116508</v>
      </c>
      <c r="B58" s="112" t="s">
        <v>273</v>
      </c>
      <c r="C58" s="252" t="s">
        <v>274</v>
      </c>
      <c r="D58" s="445">
        <v>854</v>
      </c>
      <c r="E58" s="446"/>
      <c r="F58" s="446"/>
      <c r="G58" s="446"/>
      <c r="H58" s="446"/>
      <c r="I58" s="446"/>
      <c r="J58" s="446"/>
      <c r="K58" s="446"/>
      <c r="L58" s="446">
        <v>80</v>
      </c>
      <c r="M58" s="446">
        <v>86</v>
      </c>
      <c r="N58" s="446">
        <v>71</v>
      </c>
      <c r="O58" s="446">
        <v>180</v>
      </c>
      <c r="P58" s="446">
        <v>0</v>
      </c>
      <c r="Q58" s="256">
        <f t="shared" ref="Q58" si="20">SUM(E58:P58)</f>
        <v>417</v>
      </c>
      <c r="R58" s="359">
        <f t="shared" ref="R58" si="21">IFERROR((AVERAGE(E58:P58)),0)</f>
        <v>83.4</v>
      </c>
      <c r="S58" s="360">
        <f t="shared" ref="S58" si="22">IFERROR((T58/R58),0)</f>
        <v>5.2398081534772176</v>
      </c>
      <c r="T58" s="461">
        <f t="shared" si="19"/>
        <v>437</v>
      </c>
      <c r="U58" s="112"/>
      <c r="V58" s="252" t="s">
        <v>274</v>
      </c>
      <c r="W58" s="104"/>
      <c r="X58" s="104"/>
      <c r="Y58" s="104"/>
      <c r="Z58" s="104"/>
      <c r="AA58" s="144"/>
      <c r="AB58" s="149"/>
      <c r="AC58" s="145"/>
      <c r="AD58" s="145"/>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row>
    <row r="59" spans="1:52" x14ac:dyDescent="0.2">
      <c r="A59" s="249"/>
      <c r="B59" s="165"/>
      <c r="C59" s="249"/>
      <c r="D59" s="356"/>
      <c r="E59" s="356"/>
      <c r="F59" s="356"/>
      <c r="G59" s="356"/>
      <c r="H59" s="356"/>
      <c r="I59" s="356"/>
      <c r="J59" s="356"/>
      <c r="K59" s="356"/>
      <c r="L59" s="356"/>
      <c r="M59" s="356"/>
      <c r="N59" s="356"/>
      <c r="O59" s="356"/>
      <c r="P59" s="356"/>
      <c r="Q59" s="251"/>
      <c r="R59" s="357"/>
      <c r="S59" s="358"/>
      <c r="T59" s="462"/>
      <c r="U59" s="165"/>
      <c r="V59" s="249"/>
      <c r="W59" s="104"/>
      <c r="X59" s="104"/>
      <c r="Y59" s="104"/>
      <c r="Z59" s="104"/>
      <c r="AA59" s="144">
        <v>43167</v>
      </c>
      <c r="AB59" s="149"/>
      <c r="AC59" s="145" t="s">
        <v>285</v>
      </c>
      <c r="AD59" s="145"/>
      <c r="AE59" s="104" t="s">
        <v>283</v>
      </c>
      <c r="AF59" s="104"/>
      <c r="AG59" s="104"/>
      <c r="AH59" s="104"/>
      <c r="AI59" s="104"/>
      <c r="AJ59" s="104"/>
      <c r="AK59" s="104"/>
      <c r="AL59" s="104"/>
      <c r="AM59" s="104"/>
      <c r="AN59" s="104"/>
      <c r="AO59" s="104"/>
      <c r="AP59" s="104"/>
      <c r="AQ59" s="104"/>
      <c r="AR59" s="104"/>
      <c r="AS59" s="104"/>
      <c r="AT59" s="104"/>
      <c r="AU59" s="104"/>
      <c r="AV59" s="104"/>
      <c r="AW59" s="104"/>
      <c r="AX59" s="104"/>
      <c r="AY59" s="104"/>
      <c r="AZ59" s="104"/>
    </row>
    <row r="60" spans="1:52" s="146" customFormat="1" x14ac:dyDescent="0.2">
      <c r="A60" s="252"/>
      <c r="B60" s="112">
        <v>2013</v>
      </c>
      <c r="C60" s="252"/>
      <c r="D60" s="359">
        <f t="shared" ref="D60:Q60" si="23">SUM(D10:D10)</f>
        <v>28</v>
      </c>
      <c r="E60" s="359">
        <f t="shared" si="23"/>
        <v>28</v>
      </c>
      <c r="F60" s="359">
        <f t="shared" si="23"/>
        <v>0</v>
      </c>
      <c r="G60" s="359">
        <f t="shared" si="23"/>
        <v>0</v>
      </c>
      <c r="H60" s="359">
        <f t="shared" si="23"/>
        <v>0</v>
      </c>
      <c r="I60" s="359">
        <f t="shared" si="23"/>
        <v>0</v>
      </c>
      <c r="J60" s="359">
        <f t="shared" si="23"/>
        <v>0</v>
      </c>
      <c r="K60" s="359">
        <f t="shared" si="23"/>
        <v>0</v>
      </c>
      <c r="L60" s="359">
        <f t="shared" si="23"/>
        <v>0</v>
      </c>
      <c r="M60" s="359">
        <f t="shared" si="23"/>
        <v>0</v>
      </c>
      <c r="N60" s="359">
        <f t="shared" si="23"/>
        <v>0</v>
      </c>
      <c r="O60" s="359">
        <f t="shared" si="23"/>
        <v>0</v>
      </c>
      <c r="P60" s="359">
        <f t="shared" si="23"/>
        <v>0</v>
      </c>
      <c r="Q60" s="256">
        <f t="shared" si="23"/>
        <v>28</v>
      </c>
      <c r="R60" s="359">
        <f>AVERAGE(E60:P60)</f>
        <v>2.3333333333333335</v>
      </c>
      <c r="S60" s="360">
        <f>T60/R60</f>
        <v>0</v>
      </c>
      <c r="T60" s="461">
        <f>SUM(D60-Q60)</f>
        <v>0</v>
      </c>
      <c r="U60" s="112">
        <v>2013</v>
      </c>
      <c r="V60" s="252"/>
      <c r="W60" s="127"/>
      <c r="X60" s="127"/>
      <c r="Y60" s="127"/>
      <c r="Z60" s="127"/>
      <c r="AA60" s="144">
        <v>43167</v>
      </c>
      <c r="AB60" s="149"/>
      <c r="AC60" s="145" t="s">
        <v>286</v>
      </c>
      <c r="AD60" s="145"/>
      <c r="AE60" s="104" t="s">
        <v>283</v>
      </c>
      <c r="AF60" s="104"/>
      <c r="AG60" s="127"/>
      <c r="AH60" s="127"/>
      <c r="AI60" s="127"/>
      <c r="AJ60" s="127"/>
      <c r="AK60" s="127"/>
      <c r="AL60" s="127"/>
      <c r="AM60" s="127"/>
      <c r="AN60" s="127"/>
      <c r="AO60" s="127"/>
      <c r="AP60" s="127"/>
      <c r="AQ60" s="127"/>
      <c r="AR60" s="127"/>
      <c r="AS60" s="127"/>
      <c r="AT60" s="127"/>
      <c r="AU60" s="127"/>
      <c r="AV60" s="127"/>
      <c r="AW60" s="127"/>
      <c r="AX60" s="127"/>
      <c r="AY60" s="127"/>
      <c r="AZ60" s="127"/>
    </row>
    <row r="61" spans="1:52" x14ac:dyDescent="0.2">
      <c r="A61" s="252"/>
      <c r="B61" s="112">
        <v>2014</v>
      </c>
      <c r="C61" s="252"/>
      <c r="D61" s="359">
        <f t="shared" ref="D61:Q61" si="24">SUM(D12:D14)</f>
        <v>207</v>
      </c>
      <c r="E61" s="359">
        <f t="shared" si="24"/>
        <v>36</v>
      </c>
      <c r="F61" s="359">
        <f t="shared" si="24"/>
        <v>31</v>
      </c>
      <c r="G61" s="359">
        <f t="shared" si="24"/>
        <v>18</v>
      </c>
      <c r="H61" s="359">
        <f t="shared" si="24"/>
        <v>17</v>
      </c>
      <c r="I61" s="359">
        <f t="shared" si="24"/>
        <v>74</v>
      </c>
      <c r="J61" s="359">
        <f t="shared" si="24"/>
        <v>10</v>
      </c>
      <c r="K61" s="359">
        <f t="shared" si="24"/>
        <v>8</v>
      </c>
      <c r="L61" s="359">
        <f t="shared" si="24"/>
        <v>2</v>
      </c>
      <c r="M61" s="359">
        <f t="shared" si="24"/>
        <v>3</v>
      </c>
      <c r="N61" s="359">
        <f t="shared" si="24"/>
        <v>0</v>
      </c>
      <c r="O61" s="359">
        <f t="shared" si="24"/>
        <v>0</v>
      </c>
      <c r="P61" s="359">
        <f t="shared" si="24"/>
        <v>0</v>
      </c>
      <c r="Q61" s="256">
        <f t="shared" si="24"/>
        <v>199</v>
      </c>
      <c r="R61" s="359">
        <f>AVERAGE(E61:P61)</f>
        <v>16.583333333333332</v>
      </c>
      <c r="S61" s="360">
        <f>T61/R61</f>
        <v>0.48241206030150757</v>
      </c>
      <c r="T61" s="461">
        <f>SUM(D61-Q61)</f>
        <v>8</v>
      </c>
      <c r="U61" s="112">
        <v>2014</v>
      </c>
      <c r="V61" s="252"/>
      <c r="W61" s="104"/>
      <c r="X61" s="104"/>
      <c r="Y61" s="104"/>
      <c r="Z61" s="104"/>
      <c r="AA61" s="144">
        <v>43173</v>
      </c>
      <c r="AB61" s="149"/>
      <c r="AC61" s="145" t="s">
        <v>286</v>
      </c>
      <c r="AD61" s="145"/>
      <c r="AE61" s="104" t="s">
        <v>283</v>
      </c>
      <c r="AF61" s="104"/>
      <c r="AG61" s="104"/>
      <c r="AH61" s="104"/>
      <c r="AI61" s="104"/>
      <c r="AJ61" s="104"/>
      <c r="AK61" s="104"/>
      <c r="AL61" s="104"/>
      <c r="AM61" s="104"/>
      <c r="AN61" s="104"/>
      <c r="AO61" s="104"/>
      <c r="AP61" s="104"/>
      <c r="AQ61" s="104"/>
      <c r="AR61" s="104"/>
      <c r="AS61" s="104"/>
      <c r="AT61" s="104"/>
      <c r="AU61" s="104"/>
      <c r="AV61" s="104"/>
      <c r="AW61" s="104"/>
      <c r="AX61" s="104"/>
      <c r="AY61" s="104"/>
      <c r="AZ61" s="104"/>
    </row>
    <row r="62" spans="1:52" x14ac:dyDescent="0.2">
      <c r="A62" s="252"/>
      <c r="B62" s="112">
        <v>2015</v>
      </c>
      <c r="C62" s="252"/>
      <c r="D62" s="359">
        <f t="shared" ref="D62:Q62" si="25">SUM(D17:D26)</f>
        <v>1500</v>
      </c>
      <c r="E62" s="359">
        <f t="shared" si="25"/>
        <v>225</v>
      </c>
      <c r="F62" s="359">
        <f t="shared" si="25"/>
        <v>165</v>
      </c>
      <c r="G62" s="359">
        <f t="shared" si="25"/>
        <v>141</v>
      </c>
      <c r="H62" s="359">
        <f t="shared" si="25"/>
        <v>169</v>
      </c>
      <c r="I62" s="359">
        <f t="shared" si="25"/>
        <v>119</v>
      </c>
      <c r="J62" s="359">
        <f t="shared" si="25"/>
        <v>126</v>
      </c>
      <c r="K62" s="359">
        <f t="shared" si="25"/>
        <v>37</v>
      </c>
      <c r="L62" s="359">
        <f t="shared" si="25"/>
        <v>42</v>
      </c>
      <c r="M62" s="359">
        <f t="shared" si="25"/>
        <v>15</v>
      </c>
      <c r="N62" s="359">
        <f t="shared" si="25"/>
        <v>38</v>
      </c>
      <c r="O62" s="359">
        <f t="shared" si="25"/>
        <v>23</v>
      </c>
      <c r="P62" s="359">
        <f t="shared" si="25"/>
        <v>10</v>
      </c>
      <c r="Q62" s="256">
        <f t="shared" si="25"/>
        <v>1110</v>
      </c>
      <c r="R62" s="359">
        <f>AVERAGE(E62:P62)</f>
        <v>92.5</v>
      </c>
      <c r="S62" s="360">
        <f>T62/R62</f>
        <v>4.2162162162162158</v>
      </c>
      <c r="T62" s="461">
        <f>SUM(D62-Q62)</f>
        <v>390</v>
      </c>
      <c r="U62" s="112">
        <v>2015</v>
      </c>
      <c r="V62" s="252"/>
      <c r="W62" s="104"/>
      <c r="X62" s="104"/>
      <c r="Y62" s="104"/>
      <c r="Z62" s="104"/>
      <c r="AA62" s="144"/>
      <c r="AB62" s="149"/>
      <c r="AC62" s="145"/>
      <c r="AD62" s="145"/>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row>
    <row r="63" spans="1:52" x14ac:dyDescent="0.2">
      <c r="A63" s="252"/>
      <c r="B63" s="112">
        <v>2016</v>
      </c>
      <c r="C63" s="252"/>
      <c r="D63" s="359">
        <f t="shared" ref="D63:Q63" si="26">SUM(D28:D41)</f>
        <v>5770</v>
      </c>
      <c r="E63" s="359">
        <f t="shared" si="26"/>
        <v>195</v>
      </c>
      <c r="F63" s="359">
        <f t="shared" si="26"/>
        <v>235</v>
      </c>
      <c r="G63" s="359">
        <f t="shared" si="26"/>
        <v>163</v>
      </c>
      <c r="H63" s="359">
        <f t="shared" si="26"/>
        <v>180</v>
      </c>
      <c r="I63" s="359">
        <f t="shared" si="26"/>
        <v>203</v>
      </c>
      <c r="J63" s="359">
        <f t="shared" si="26"/>
        <v>270</v>
      </c>
      <c r="K63" s="359">
        <f t="shared" si="26"/>
        <v>259</v>
      </c>
      <c r="L63" s="359">
        <f t="shared" si="26"/>
        <v>257</v>
      </c>
      <c r="M63" s="359">
        <f t="shared" si="26"/>
        <v>254</v>
      </c>
      <c r="N63" s="359">
        <f t="shared" si="26"/>
        <v>240</v>
      </c>
      <c r="O63" s="359">
        <f t="shared" si="26"/>
        <v>433</v>
      </c>
      <c r="P63" s="359">
        <f t="shared" si="26"/>
        <v>269</v>
      </c>
      <c r="Q63" s="256">
        <f t="shared" si="26"/>
        <v>2958</v>
      </c>
      <c r="R63" s="359">
        <f t="shared" ref="R63:R65" si="27">AVERAGE(E63:P63)</f>
        <v>246.5</v>
      </c>
      <c r="S63" s="360"/>
      <c r="T63" s="461">
        <f t="shared" ref="T63:T64" si="28">SUM(D63-Q63)</f>
        <v>2812</v>
      </c>
      <c r="U63" s="112">
        <v>2016</v>
      </c>
      <c r="V63" s="252"/>
      <c r="W63" s="104"/>
      <c r="X63" s="104"/>
      <c r="Y63" s="104"/>
      <c r="Z63" s="104"/>
      <c r="AA63" s="144"/>
      <c r="AB63" s="149"/>
      <c r="AC63" s="145"/>
      <c r="AD63" s="145"/>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row>
    <row r="64" spans="1:52" x14ac:dyDescent="0.2">
      <c r="A64" s="252"/>
      <c r="B64" s="112">
        <v>2017</v>
      </c>
      <c r="C64" s="252"/>
      <c r="D64" s="359">
        <f t="shared" ref="D64:Q64" si="29">SUM(D43:D57)</f>
        <v>6422</v>
      </c>
      <c r="E64" s="359">
        <f t="shared" si="29"/>
        <v>0</v>
      </c>
      <c r="F64" s="359">
        <f t="shared" si="29"/>
        <v>8</v>
      </c>
      <c r="G64" s="359">
        <f t="shared" si="29"/>
        <v>36</v>
      </c>
      <c r="H64" s="359">
        <f t="shared" si="29"/>
        <v>40</v>
      </c>
      <c r="I64" s="359">
        <f t="shared" si="29"/>
        <v>126</v>
      </c>
      <c r="J64" s="359">
        <f t="shared" si="29"/>
        <v>82</v>
      </c>
      <c r="K64" s="359">
        <f t="shared" si="29"/>
        <v>101</v>
      </c>
      <c r="L64" s="359">
        <f t="shared" si="29"/>
        <v>176</v>
      </c>
      <c r="M64" s="359">
        <f t="shared" si="29"/>
        <v>98</v>
      </c>
      <c r="N64" s="359">
        <f t="shared" si="29"/>
        <v>86</v>
      </c>
      <c r="O64" s="359">
        <f t="shared" si="29"/>
        <v>148</v>
      </c>
      <c r="P64" s="359">
        <f t="shared" si="29"/>
        <v>274</v>
      </c>
      <c r="Q64" s="256">
        <f t="shared" si="29"/>
        <v>1175</v>
      </c>
      <c r="R64" s="359">
        <f t="shared" si="27"/>
        <v>97.916666666666671</v>
      </c>
      <c r="S64" s="360"/>
      <c r="T64" s="461">
        <f t="shared" si="28"/>
        <v>5247</v>
      </c>
      <c r="U64" s="112">
        <v>2017</v>
      </c>
      <c r="V64" s="252"/>
      <c r="W64" s="104"/>
      <c r="X64" s="104"/>
      <c r="Y64" s="104"/>
      <c r="Z64" s="104"/>
      <c r="AA64" s="144"/>
      <c r="AB64" s="149"/>
      <c r="AC64" s="145"/>
      <c r="AD64" s="145"/>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row>
    <row r="65" spans="1:52" x14ac:dyDescent="0.2">
      <c r="A65" s="252"/>
      <c r="B65" s="116" t="s">
        <v>78</v>
      </c>
      <c r="C65" s="252"/>
      <c r="D65" s="359">
        <f>SUM(D44:D59)</f>
        <v>6870</v>
      </c>
      <c r="E65" s="455">
        <f t="shared" ref="E65:Q65" si="30">SUM(E28:E62)</f>
        <v>484</v>
      </c>
      <c r="F65" s="455">
        <f t="shared" si="30"/>
        <v>439</v>
      </c>
      <c r="G65" s="455">
        <f t="shared" si="30"/>
        <v>358</v>
      </c>
      <c r="H65" s="455">
        <f t="shared" si="30"/>
        <v>406</v>
      </c>
      <c r="I65" s="455">
        <f t="shared" si="30"/>
        <v>522</v>
      </c>
      <c r="J65" s="455">
        <f t="shared" si="30"/>
        <v>488</v>
      </c>
      <c r="K65" s="455">
        <f t="shared" si="30"/>
        <v>405</v>
      </c>
      <c r="L65" s="455">
        <f t="shared" si="30"/>
        <v>557</v>
      </c>
      <c r="M65" s="455">
        <f t="shared" si="30"/>
        <v>456</v>
      </c>
      <c r="N65" s="455">
        <f t="shared" si="30"/>
        <v>435</v>
      </c>
      <c r="O65" s="455">
        <f t="shared" si="30"/>
        <v>784</v>
      </c>
      <c r="P65" s="455">
        <f t="shared" si="30"/>
        <v>553</v>
      </c>
      <c r="Q65" s="256">
        <f t="shared" si="30"/>
        <v>5887</v>
      </c>
      <c r="R65" s="359">
        <f t="shared" si="27"/>
        <v>490.58333333333331</v>
      </c>
      <c r="S65" s="360">
        <f>T65/R65</f>
        <v>17.238661457448615</v>
      </c>
      <c r="T65" s="461">
        <f>SUM(T60+T61+T62+T63+T64)</f>
        <v>8457</v>
      </c>
      <c r="U65" s="116" t="s">
        <v>78</v>
      </c>
      <c r="V65" s="252"/>
      <c r="W65" s="104"/>
      <c r="X65" s="104"/>
      <c r="Y65" s="104"/>
      <c r="Z65" s="104"/>
      <c r="AA65" s="144"/>
      <c r="AB65" s="149"/>
      <c r="AC65" s="145"/>
      <c r="AD65" s="145"/>
      <c r="AE65" s="104"/>
      <c r="AF65" s="104"/>
      <c r="AG65" s="104"/>
      <c r="AH65" s="104"/>
      <c r="AI65" s="104"/>
      <c r="AJ65" s="104"/>
      <c r="AK65" s="104"/>
      <c r="AL65" s="104"/>
      <c r="AM65" s="104"/>
      <c r="AN65" s="104"/>
      <c r="AO65" s="104"/>
      <c r="AP65" s="104"/>
      <c r="AQ65" s="104"/>
      <c r="AR65" s="104"/>
      <c r="AS65" s="104"/>
      <c r="AT65" s="104"/>
      <c r="AU65" s="104"/>
      <c r="AV65" s="104"/>
      <c r="AW65" s="104"/>
      <c r="AX65" s="104"/>
      <c r="AY65" s="104"/>
      <c r="AZ65" s="104"/>
    </row>
    <row r="66" spans="1:52" x14ac:dyDescent="0.2">
      <c r="A66" s="249"/>
      <c r="B66" s="117"/>
      <c r="C66" s="117"/>
      <c r="D66" s="119"/>
      <c r="E66" s="119"/>
      <c r="F66" s="119"/>
      <c r="G66" s="119"/>
      <c r="H66" s="119"/>
      <c r="I66" s="119"/>
      <c r="J66" s="120"/>
      <c r="K66" s="120"/>
      <c r="L66" s="120"/>
      <c r="M66" s="120"/>
      <c r="N66" s="120"/>
      <c r="O66" s="120"/>
      <c r="P66" s="120"/>
      <c r="Q66" s="120"/>
      <c r="R66" s="166"/>
      <c r="S66" s="167"/>
      <c r="T66" s="160"/>
      <c r="U66" s="117"/>
      <c r="V66" s="117"/>
      <c r="W66" s="104"/>
      <c r="X66" s="104"/>
      <c r="Y66" s="104"/>
      <c r="Z66" s="104"/>
      <c r="AA66" s="144"/>
      <c r="AB66" s="149"/>
      <c r="AC66" s="145"/>
      <c r="AD66" s="145"/>
      <c r="AE66" s="104"/>
      <c r="AF66" s="104"/>
      <c r="AG66" s="104"/>
      <c r="AH66" s="104"/>
      <c r="AI66" s="104"/>
      <c r="AJ66" s="104"/>
      <c r="AK66" s="104"/>
      <c r="AL66" s="104"/>
      <c r="AM66" s="104"/>
      <c r="AN66" s="104"/>
      <c r="AO66" s="104"/>
      <c r="AP66" s="104"/>
      <c r="AQ66" s="104"/>
      <c r="AR66" s="104"/>
      <c r="AS66" s="104"/>
      <c r="AT66" s="104"/>
      <c r="AU66" s="104"/>
      <c r="AV66" s="104"/>
      <c r="AW66" s="104"/>
      <c r="AX66" s="104"/>
      <c r="AY66" s="104"/>
      <c r="AZ66" s="104"/>
    </row>
    <row r="67" spans="1:52" x14ac:dyDescent="0.2">
      <c r="A67" s="104"/>
      <c r="B67" s="104"/>
      <c r="C67" s="104"/>
      <c r="D67" s="124"/>
      <c r="E67" s="124"/>
      <c r="F67" s="124"/>
      <c r="G67" s="124"/>
      <c r="H67" s="124"/>
      <c r="I67" s="124"/>
      <c r="J67" s="105"/>
      <c r="K67" s="105"/>
      <c r="L67" s="105"/>
      <c r="M67" s="105"/>
      <c r="N67" s="105"/>
      <c r="O67" s="105"/>
      <c r="P67" s="105"/>
      <c r="Q67" s="105"/>
      <c r="R67" s="124"/>
      <c r="S67" s="168"/>
      <c r="T67" s="105"/>
      <c r="U67" s="104"/>
      <c r="V67" s="104"/>
      <c r="W67" s="104"/>
      <c r="X67" s="104"/>
      <c r="Y67" s="104"/>
      <c r="Z67" s="104"/>
      <c r="AA67" s="144"/>
      <c r="AB67" s="149"/>
      <c r="AC67" s="145"/>
      <c r="AD67" s="145"/>
      <c r="AE67" s="104"/>
      <c r="AF67" s="104"/>
      <c r="AG67" s="104"/>
      <c r="AH67" s="104"/>
      <c r="AI67" s="104"/>
      <c r="AJ67" s="104"/>
      <c r="AK67" s="104"/>
      <c r="AL67" s="104"/>
      <c r="AM67" s="104"/>
      <c r="AN67" s="104"/>
      <c r="AO67" s="104"/>
      <c r="AP67" s="104"/>
      <c r="AQ67" s="104"/>
      <c r="AR67" s="104"/>
      <c r="AS67" s="104"/>
      <c r="AT67" s="104"/>
      <c r="AU67" s="104"/>
      <c r="AV67" s="104"/>
      <c r="AW67" s="104"/>
      <c r="AX67" s="104"/>
      <c r="AY67" s="104"/>
      <c r="AZ67" s="104"/>
    </row>
    <row r="68" spans="1:52" ht="15.75" thickBot="1" x14ac:dyDescent="0.25">
      <c r="A68" s="104"/>
      <c r="B68" s="104"/>
      <c r="C68" s="104"/>
      <c r="D68" s="105"/>
      <c r="E68" s="105"/>
      <c r="F68" s="105"/>
      <c r="G68" s="105"/>
      <c r="H68" s="105"/>
      <c r="I68" s="105"/>
      <c r="J68" s="105"/>
      <c r="K68" s="105"/>
      <c r="L68" s="105"/>
      <c r="M68" s="105"/>
      <c r="N68" s="105"/>
      <c r="O68" s="105"/>
      <c r="P68" s="105"/>
      <c r="Q68" s="105"/>
      <c r="R68" s="124"/>
      <c r="S68" s="168"/>
      <c r="T68" s="124"/>
      <c r="U68" s="104"/>
      <c r="V68" s="104"/>
      <c r="W68" s="104"/>
      <c r="X68" s="104"/>
      <c r="Y68" s="104"/>
      <c r="Z68" s="104"/>
      <c r="AA68" s="144"/>
      <c r="AB68" s="149"/>
      <c r="AC68" s="145"/>
      <c r="AD68" s="145"/>
      <c r="AE68" s="104"/>
      <c r="AF68" s="104"/>
      <c r="AG68" s="104"/>
      <c r="AH68" s="104"/>
      <c r="AI68" s="104"/>
      <c r="AJ68" s="104"/>
      <c r="AK68" s="104"/>
      <c r="AL68" s="104"/>
      <c r="AM68" s="104"/>
      <c r="AN68" s="104"/>
      <c r="AO68" s="104"/>
      <c r="AP68" s="104"/>
      <c r="AQ68" s="104"/>
      <c r="AR68" s="104"/>
      <c r="AS68" s="104"/>
      <c r="AT68" s="104"/>
      <c r="AU68" s="104"/>
      <c r="AV68" s="104"/>
      <c r="AW68" s="104"/>
      <c r="AX68" s="104"/>
      <c r="AY68" s="104"/>
      <c r="AZ68" s="104"/>
    </row>
    <row r="69" spans="1:52" ht="48" thickBot="1" x14ac:dyDescent="0.3">
      <c r="A69" s="104"/>
      <c r="B69" s="132" t="s">
        <v>79</v>
      </c>
      <c r="C69" s="133"/>
      <c r="D69" s="72" t="s">
        <v>138</v>
      </c>
      <c r="E69" s="572" t="s">
        <v>139</v>
      </c>
      <c r="F69" s="573"/>
      <c r="G69" s="573"/>
      <c r="H69" s="573"/>
      <c r="I69" s="573"/>
      <c r="J69" s="573"/>
      <c r="K69" s="573"/>
      <c r="L69" s="573"/>
      <c r="M69" s="573"/>
      <c r="N69" s="573"/>
      <c r="O69" s="573"/>
      <c r="P69" s="573"/>
      <c r="Q69" s="65" t="s">
        <v>82</v>
      </c>
      <c r="R69" s="163"/>
      <c r="S69" s="163"/>
      <c r="T69" s="105"/>
      <c r="U69" s="132" t="s">
        <v>79</v>
      </c>
      <c r="V69" s="133"/>
      <c r="W69" s="104"/>
      <c r="X69" s="104"/>
      <c r="Y69" s="104"/>
      <c r="Z69" s="104"/>
      <c r="AA69" s="144"/>
      <c r="AB69" s="149"/>
      <c r="AC69" s="145"/>
      <c r="AD69" s="145"/>
      <c r="AE69" s="104"/>
      <c r="AF69" s="104"/>
      <c r="AG69" s="104"/>
      <c r="AH69" s="104"/>
      <c r="AI69" s="104"/>
      <c r="AJ69" s="104"/>
      <c r="AK69" s="104"/>
      <c r="AL69" s="104"/>
      <c r="AM69" s="104"/>
      <c r="AN69" s="104"/>
      <c r="AO69" s="104"/>
      <c r="AP69" s="104"/>
      <c r="AQ69" s="104"/>
      <c r="AR69" s="104"/>
      <c r="AS69" s="104"/>
      <c r="AT69" s="104"/>
      <c r="AU69" s="104"/>
      <c r="AV69" s="104"/>
      <c r="AW69" s="104"/>
      <c r="AX69" s="104"/>
      <c r="AY69" s="104"/>
      <c r="AZ69" s="104"/>
    </row>
    <row r="70" spans="1:52" ht="15.75" x14ac:dyDescent="0.25">
      <c r="A70" s="104"/>
      <c r="B70" s="135"/>
      <c r="C70" s="135"/>
      <c r="D70" s="136"/>
      <c r="E70" s="137"/>
      <c r="F70" s="137"/>
      <c r="G70" s="137"/>
      <c r="H70" s="137"/>
      <c r="I70" s="137"/>
      <c r="J70" s="137"/>
      <c r="K70" s="137"/>
      <c r="L70" s="137"/>
      <c r="M70" s="137"/>
      <c r="N70" s="137"/>
      <c r="O70" s="137"/>
      <c r="P70" s="138"/>
      <c r="Q70" s="137"/>
      <c r="R70" s="105"/>
      <c r="S70" s="105"/>
      <c r="T70" s="163"/>
      <c r="U70" s="135"/>
      <c r="V70" s="135"/>
      <c r="W70" s="104"/>
      <c r="X70" s="104"/>
      <c r="Y70" s="104"/>
      <c r="Z70" s="104"/>
      <c r="AA70" s="144"/>
      <c r="AB70" s="149"/>
      <c r="AC70" s="145"/>
      <c r="AD70" s="145"/>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row>
    <row r="71" spans="1:52" x14ac:dyDescent="0.2">
      <c r="A71" s="104"/>
      <c r="B71" s="252"/>
      <c r="C71" s="252"/>
      <c r="D71" s="137"/>
      <c r="E71" s="255"/>
      <c r="F71" s="255"/>
      <c r="G71" s="255"/>
      <c r="H71" s="255"/>
      <c r="I71" s="255"/>
      <c r="J71" s="255"/>
      <c r="K71" s="255"/>
      <c r="L71" s="255"/>
      <c r="M71" s="255"/>
      <c r="N71" s="255"/>
      <c r="O71" s="255"/>
      <c r="P71" s="457"/>
      <c r="Q71" s="255"/>
      <c r="R71" s="105"/>
      <c r="S71" s="105"/>
      <c r="T71" s="105"/>
      <c r="U71" s="252"/>
      <c r="V71" s="252"/>
      <c r="W71" s="104"/>
      <c r="X71" s="104"/>
      <c r="Y71" s="104"/>
      <c r="Z71" s="104"/>
      <c r="AA71" s="144"/>
      <c r="AB71" s="149"/>
      <c r="AC71" s="145"/>
      <c r="AD71" s="145"/>
      <c r="AE71" s="104"/>
      <c r="AF71" s="104"/>
      <c r="AG71" s="104"/>
      <c r="AH71" s="104"/>
      <c r="AI71" s="104"/>
      <c r="AJ71" s="104"/>
      <c r="AK71" s="104"/>
      <c r="AL71" s="104"/>
      <c r="AM71" s="104"/>
      <c r="AN71" s="104"/>
      <c r="AO71" s="104"/>
      <c r="AP71" s="104"/>
      <c r="AQ71" s="104"/>
      <c r="AR71" s="104"/>
      <c r="AS71" s="104"/>
      <c r="AT71" s="104"/>
      <c r="AU71" s="104"/>
      <c r="AV71" s="104"/>
      <c r="AW71" s="104"/>
      <c r="AX71" s="104"/>
      <c r="AY71" s="104"/>
      <c r="AZ71" s="104"/>
    </row>
    <row r="72" spans="1:52" x14ac:dyDescent="0.2">
      <c r="A72" s="104"/>
      <c r="B72" s="435"/>
      <c r="C72" s="435"/>
      <c r="D72" s="436"/>
      <c r="E72" s="436"/>
      <c r="F72" s="436"/>
      <c r="G72" s="436"/>
      <c r="H72" s="436"/>
      <c r="I72" s="436"/>
      <c r="J72" s="436"/>
      <c r="K72" s="436"/>
      <c r="L72" s="436"/>
      <c r="M72" s="436"/>
      <c r="N72" s="436"/>
      <c r="O72" s="436"/>
      <c r="P72" s="458"/>
      <c r="Q72" s="436"/>
      <c r="R72" s="105"/>
      <c r="S72" s="105"/>
      <c r="T72" s="105"/>
      <c r="U72" s="435"/>
      <c r="V72" s="435"/>
      <c r="W72" s="104"/>
      <c r="X72" s="104"/>
      <c r="Y72" s="104"/>
      <c r="Z72" s="104"/>
      <c r="AA72" s="144"/>
      <c r="AB72" s="149"/>
      <c r="AC72" s="145"/>
      <c r="AD72" s="145"/>
      <c r="AE72" s="104"/>
      <c r="AF72" s="104"/>
      <c r="AG72" s="104"/>
      <c r="AH72" s="104"/>
      <c r="AI72" s="104"/>
      <c r="AJ72" s="104"/>
      <c r="AK72" s="104"/>
      <c r="AL72" s="104"/>
      <c r="AM72" s="104"/>
      <c r="AN72" s="104"/>
      <c r="AO72" s="104"/>
      <c r="AP72" s="104"/>
      <c r="AQ72" s="104"/>
      <c r="AR72" s="104"/>
      <c r="AS72" s="104"/>
      <c r="AT72" s="104"/>
      <c r="AU72" s="104"/>
      <c r="AV72" s="104"/>
      <c r="AW72" s="104"/>
      <c r="AX72" s="104"/>
      <c r="AY72" s="104"/>
      <c r="AZ72" s="104"/>
    </row>
    <row r="73" spans="1:52" x14ac:dyDescent="0.2">
      <c r="A73" s="104"/>
      <c r="B73" s="252"/>
      <c r="C73" s="252"/>
      <c r="D73" s="255"/>
      <c r="E73" s="255"/>
      <c r="F73" s="255"/>
      <c r="G73" s="255"/>
      <c r="H73" s="255"/>
      <c r="I73" s="255"/>
      <c r="J73" s="255"/>
      <c r="K73" s="255"/>
      <c r="L73" s="255"/>
      <c r="M73" s="255"/>
      <c r="N73" s="255"/>
      <c r="O73" s="255"/>
      <c r="P73" s="457"/>
      <c r="Q73" s="255"/>
      <c r="R73" s="105"/>
      <c r="S73" s="105"/>
      <c r="T73" s="105"/>
      <c r="U73" s="252"/>
      <c r="V73" s="252"/>
      <c r="W73" s="104"/>
      <c r="X73" s="104"/>
      <c r="Y73" s="104"/>
      <c r="Z73" s="104"/>
      <c r="AA73" s="144"/>
      <c r="AB73" s="149"/>
      <c r="AC73" s="145"/>
      <c r="AD73" s="145"/>
      <c r="AE73" s="104"/>
      <c r="AF73" s="104"/>
      <c r="AG73" s="104"/>
      <c r="AH73" s="104"/>
      <c r="AI73" s="104"/>
      <c r="AJ73" s="104"/>
      <c r="AK73" s="104"/>
      <c r="AL73" s="104"/>
      <c r="AM73" s="104"/>
      <c r="AN73" s="104"/>
      <c r="AO73" s="104"/>
      <c r="AP73" s="104"/>
      <c r="AQ73" s="104"/>
      <c r="AR73" s="104"/>
      <c r="AS73" s="104"/>
      <c r="AT73" s="104"/>
      <c r="AU73" s="104"/>
      <c r="AV73" s="104"/>
      <c r="AW73" s="104"/>
      <c r="AX73" s="104"/>
      <c r="AY73" s="104"/>
      <c r="AZ73" s="104"/>
    </row>
    <row r="74" spans="1:52" x14ac:dyDescent="0.2">
      <c r="A74" s="104"/>
      <c r="B74" s="252"/>
      <c r="C74" s="252"/>
      <c r="D74" s="255"/>
      <c r="E74" s="255"/>
      <c r="F74" s="255"/>
      <c r="G74" s="255"/>
      <c r="H74" s="255"/>
      <c r="I74" s="255"/>
      <c r="J74" s="255"/>
      <c r="K74" s="255"/>
      <c r="L74" s="255"/>
      <c r="M74" s="255"/>
      <c r="N74" s="255"/>
      <c r="O74" s="255"/>
      <c r="P74" s="457"/>
      <c r="Q74" s="255"/>
      <c r="R74" s="105"/>
      <c r="S74" s="105"/>
      <c r="T74" s="105"/>
      <c r="U74" s="252"/>
      <c r="V74" s="252"/>
      <c r="W74" s="104"/>
      <c r="X74" s="104"/>
      <c r="Y74" s="104"/>
      <c r="Z74" s="104"/>
      <c r="AA74" s="144"/>
      <c r="AB74" s="149"/>
      <c r="AC74" s="145"/>
      <c r="AD74" s="145"/>
      <c r="AE74" s="104"/>
      <c r="AF74" s="104"/>
      <c r="AG74" s="104"/>
      <c r="AH74" s="104"/>
      <c r="AI74" s="104"/>
      <c r="AJ74" s="104"/>
      <c r="AK74" s="104"/>
      <c r="AL74" s="104"/>
      <c r="AM74" s="104"/>
      <c r="AN74" s="104"/>
      <c r="AO74" s="104"/>
      <c r="AP74" s="104"/>
      <c r="AQ74" s="104"/>
      <c r="AR74" s="104"/>
      <c r="AS74" s="104"/>
      <c r="AT74" s="104"/>
      <c r="AU74" s="104"/>
      <c r="AV74" s="104"/>
      <c r="AW74" s="104"/>
      <c r="AX74" s="104"/>
      <c r="AY74" s="104"/>
      <c r="AZ74" s="104"/>
    </row>
    <row r="75" spans="1:52" x14ac:dyDescent="0.2">
      <c r="A75" s="104"/>
      <c r="B75" s="128"/>
      <c r="C75" s="128"/>
      <c r="D75" s="119"/>
      <c r="E75" s="119"/>
      <c r="F75" s="119"/>
      <c r="G75" s="119"/>
      <c r="H75" s="119"/>
      <c r="I75" s="119"/>
      <c r="J75" s="119"/>
      <c r="K75" s="119"/>
      <c r="L75" s="119"/>
      <c r="M75" s="119"/>
      <c r="N75" s="119"/>
      <c r="O75" s="119"/>
      <c r="P75" s="119"/>
      <c r="Q75" s="436"/>
      <c r="R75" s="105"/>
      <c r="S75" s="105"/>
      <c r="T75" s="105"/>
      <c r="U75" s="128"/>
      <c r="V75" s="128"/>
      <c r="W75" s="104"/>
      <c r="X75" s="104"/>
      <c r="Y75" s="104"/>
      <c r="Z75" s="104"/>
      <c r="AA75" s="144"/>
      <c r="AB75" s="149"/>
      <c r="AC75" s="145"/>
      <c r="AD75" s="145"/>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row>
    <row r="76" spans="1:52" ht="15.75" thickBot="1" x14ac:dyDescent="0.25">
      <c r="A76" s="104"/>
      <c r="B76" s="104"/>
      <c r="C76" s="104"/>
      <c r="D76" s="105"/>
      <c r="E76" s="105"/>
      <c r="F76" s="105"/>
      <c r="G76" s="105"/>
      <c r="H76" s="105"/>
      <c r="I76" s="105"/>
      <c r="J76" s="105"/>
      <c r="K76" s="105"/>
      <c r="L76" s="105"/>
      <c r="M76" s="105"/>
      <c r="N76" s="105"/>
      <c r="O76" s="105"/>
      <c r="P76" s="105"/>
      <c r="Q76" s="105"/>
      <c r="R76" s="105"/>
      <c r="S76" s="105"/>
      <c r="T76" s="105"/>
      <c r="U76" s="104"/>
      <c r="V76" s="104"/>
      <c r="W76" s="104"/>
      <c r="X76" s="104"/>
      <c r="Y76" s="104"/>
      <c r="Z76" s="104"/>
      <c r="AA76" s="144"/>
      <c r="AB76" s="149"/>
      <c r="AC76" s="145"/>
      <c r="AD76" s="145"/>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row>
    <row r="77" spans="1:52" ht="14.25" customHeight="1" thickBot="1" x14ac:dyDescent="0.3">
      <c r="A77" s="104"/>
      <c r="B77" s="574" t="s">
        <v>79</v>
      </c>
      <c r="C77" s="575"/>
      <c r="D77" s="72" t="s">
        <v>83</v>
      </c>
      <c r="E77" s="572" t="s">
        <v>140</v>
      </c>
      <c r="F77" s="573"/>
      <c r="G77" s="573"/>
      <c r="H77" s="573"/>
      <c r="I77" s="573"/>
      <c r="J77" s="573"/>
      <c r="K77" s="573"/>
      <c r="L77" s="573"/>
      <c r="M77" s="573"/>
      <c r="N77" s="573"/>
      <c r="O77" s="573"/>
      <c r="P77" s="577"/>
      <c r="Q77" s="65" t="s">
        <v>85</v>
      </c>
      <c r="R77" s="105"/>
      <c r="S77" s="105"/>
      <c r="T77" s="105"/>
      <c r="U77" s="104"/>
      <c r="V77" s="104"/>
      <c r="W77" s="104"/>
      <c r="X77" s="104"/>
      <c r="Y77" s="104"/>
      <c r="Z77" s="104"/>
      <c r="AA77" s="144"/>
      <c r="AB77" s="149"/>
      <c r="AC77" s="145"/>
      <c r="AD77" s="145"/>
      <c r="AE77" s="104"/>
      <c r="AF77" s="104"/>
      <c r="AG77" s="104"/>
      <c r="AH77" s="104"/>
      <c r="AI77" s="104"/>
      <c r="AJ77" s="104"/>
      <c r="AK77" s="104"/>
      <c r="AL77" s="104"/>
      <c r="AM77" s="104"/>
      <c r="AN77" s="104"/>
      <c r="AO77" s="104"/>
      <c r="AP77" s="104"/>
      <c r="AQ77" s="104"/>
      <c r="AR77" s="104"/>
      <c r="AS77" s="104"/>
      <c r="AT77" s="104"/>
      <c r="AU77" s="104"/>
      <c r="AV77" s="104"/>
      <c r="AW77" s="104"/>
      <c r="AX77" s="104"/>
      <c r="AY77" s="104"/>
      <c r="AZ77" s="104"/>
    </row>
    <row r="78" spans="1:52" ht="15.75" x14ac:dyDescent="0.25">
      <c r="A78" s="104"/>
      <c r="B78" s="135"/>
      <c r="C78" s="135"/>
      <c r="D78" s="68"/>
      <c r="E78" s="137"/>
      <c r="F78" s="137"/>
      <c r="G78" s="137"/>
      <c r="H78" s="137"/>
      <c r="I78" s="137"/>
      <c r="J78" s="137"/>
      <c r="K78" s="137"/>
      <c r="L78" s="137"/>
      <c r="M78" s="137"/>
      <c r="N78" s="137"/>
      <c r="O78" s="137"/>
      <c r="P78" s="137"/>
      <c r="Q78" s="137"/>
      <c r="R78" s="105"/>
      <c r="S78" s="105"/>
      <c r="T78" s="105"/>
      <c r="U78" s="135"/>
      <c r="V78" s="135"/>
      <c r="W78" s="104"/>
      <c r="X78" s="104"/>
      <c r="Y78" s="104"/>
      <c r="Z78" s="104"/>
      <c r="AA78" s="144"/>
      <c r="AB78" s="149"/>
      <c r="AC78" s="145"/>
      <c r="AD78" s="145"/>
      <c r="AE78" s="104"/>
      <c r="AF78" s="104"/>
      <c r="AG78" s="104"/>
      <c r="AH78" s="104"/>
      <c r="AI78" s="104"/>
      <c r="AJ78" s="104"/>
      <c r="AK78" s="104"/>
      <c r="AL78" s="104"/>
      <c r="AM78" s="104"/>
      <c r="AN78" s="104"/>
      <c r="AO78" s="104"/>
      <c r="AP78" s="104"/>
      <c r="AQ78" s="104"/>
      <c r="AR78" s="104"/>
      <c r="AS78" s="104"/>
      <c r="AT78" s="104"/>
      <c r="AU78" s="104"/>
      <c r="AV78" s="104"/>
      <c r="AW78" s="104"/>
      <c r="AX78" s="104"/>
      <c r="AY78" s="104"/>
      <c r="AZ78" s="104"/>
    </row>
    <row r="79" spans="1:52" x14ac:dyDescent="0.2">
      <c r="A79" s="104"/>
      <c r="B79" s="252"/>
      <c r="C79" s="252"/>
      <c r="D79" s="137"/>
      <c r="E79" s="255"/>
      <c r="F79" s="255"/>
      <c r="G79" s="255"/>
      <c r="H79" s="255"/>
      <c r="I79" s="255"/>
      <c r="J79" s="255"/>
      <c r="K79" s="255"/>
      <c r="L79" s="255"/>
      <c r="M79" s="255"/>
      <c r="N79" s="255"/>
      <c r="O79" s="255"/>
      <c r="P79" s="255"/>
      <c r="Q79" s="255"/>
      <c r="R79" s="105"/>
      <c r="S79" s="105"/>
      <c r="T79" s="105"/>
      <c r="U79" s="252"/>
      <c r="V79" s="252"/>
      <c r="W79" s="104"/>
      <c r="X79" s="104"/>
      <c r="Y79" s="104"/>
      <c r="Z79" s="104"/>
      <c r="AA79" s="144"/>
      <c r="AB79" s="149"/>
      <c r="AC79" s="145"/>
      <c r="AD79" s="145"/>
      <c r="AE79" s="104"/>
      <c r="AF79" s="104"/>
      <c r="AG79" s="104"/>
      <c r="AH79" s="104"/>
      <c r="AI79" s="104"/>
      <c r="AJ79" s="104"/>
      <c r="AK79" s="104"/>
      <c r="AL79" s="104"/>
      <c r="AM79" s="104"/>
      <c r="AN79" s="104"/>
      <c r="AO79" s="104"/>
      <c r="AP79" s="104"/>
      <c r="AQ79" s="104"/>
      <c r="AR79" s="104"/>
      <c r="AS79" s="104"/>
      <c r="AT79" s="104"/>
      <c r="AU79" s="104"/>
      <c r="AV79" s="104"/>
      <c r="AW79" s="104"/>
      <c r="AX79" s="104"/>
      <c r="AY79" s="104"/>
      <c r="AZ79" s="104"/>
    </row>
    <row r="80" spans="1:52" x14ac:dyDescent="0.2">
      <c r="A80" s="104"/>
      <c r="B80" s="435"/>
      <c r="C80" s="435"/>
      <c r="D80" s="436"/>
      <c r="E80" s="436"/>
      <c r="F80" s="436"/>
      <c r="G80" s="436"/>
      <c r="H80" s="436"/>
      <c r="I80" s="436"/>
      <c r="J80" s="436"/>
      <c r="K80" s="436"/>
      <c r="L80" s="436"/>
      <c r="M80" s="436"/>
      <c r="N80" s="436"/>
      <c r="O80" s="436"/>
      <c r="P80" s="436"/>
      <c r="Q80" s="436"/>
      <c r="R80" s="105"/>
      <c r="S80" s="105"/>
      <c r="T80" s="105"/>
      <c r="U80" s="435"/>
      <c r="V80" s="435"/>
      <c r="W80" s="104"/>
      <c r="X80" s="104"/>
      <c r="Y80" s="104"/>
      <c r="Z80" s="104"/>
      <c r="AA80" s="144"/>
      <c r="AB80" s="149"/>
      <c r="AC80" s="145"/>
      <c r="AD80" s="145"/>
      <c r="AE80" s="104"/>
      <c r="AF80" s="104"/>
      <c r="AG80" s="104"/>
      <c r="AH80" s="104"/>
      <c r="AI80" s="104"/>
      <c r="AJ80" s="104"/>
      <c r="AK80" s="104"/>
      <c r="AL80" s="104"/>
      <c r="AM80" s="104"/>
      <c r="AN80" s="104"/>
      <c r="AO80" s="104"/>
      <c r="AP80" s="104"/>
      <c r="AQ80" s="104"/>
      <c r="AR80" s="104"/>
      <c r="AS80" s="104"/>
      <c r="AT80" s="104"/>
      <c r="AU80" s="104"/>
      <c r="AV80" s="104"/>
      <c r="AW80" s="104"/>
      <c r="AX80" s="104"/>
      <c r="AY80" s="104"/>
      <c r="AZ80" s="104"/>
    </row>
    <row r="81" spans="1:52" x14ac:dyDescent="0.2">
      <c r="A81" s="104"/>
      <c r="B81" s="252"/>
      <c r="C81" s="252"/>
      <c r="D81" s="255"/>
      <c r="E81" s="255"/>
      <c r="F81" s="255"/>
      <c r="G81" s="255"/>
      <c r="H81" s="255"/>
      <c r="I81" s="255"/>
      <c r="J81" s="255"/>
      <c r="K81" s="255"/>
      <c r="L81" s="255"/>
      <c r="M81" s="255"/>
      <c r="N81" s="255"/>
      <c r="O81" s="255"/>
      <c r="P81" s="255"/>
      <c r="Q81" s="255"/>
      <c r="R81" s="105"/>
      <c r="S81" s="105"/>
      <c r="T81" s="105"/>
      <c r="U81" s="252"/>
      <c r="V81" s="252"/>
      <c r="W81" s="104"/>
      <c r="X81" s="104"/>
      <c r="Y81" s="104"/>
      <c r="Z81" s="104"/>
      <c r="AA81" s="144"/>
      <c r="AB81" s="149"/>
      <c r="AC81" s="145"/>
      <c r="AD81" s="145"/>
      <c r="AE81" s="104"/>
      <c r="AF81" s="104"/>
      <c r="AG81" s="104"/>
      <c r="AH81" s="104"/>
      <c r="AI81" s="104"/>
      <c r="AJ81" s="104"/>
      <c r="AK81" s="104"/>
      <c r="AL81" s="104"/>
      <c r="AM81" s="104"/>
      <c r="AN81" s="104"/>
      <c r="AO81" s="104"/>
      <c r="AP81" s="104"/>
      <c r="AQ81" s="104"/>
      <c r="AR81" s="104"/>
      <c r="AS81" s="104"/>
      <c r="AT81" s="104"/>
      <c r="AU81" s="104"/>
      <c r="AV81" s="104"/>
      <c r="AW81" s="104"/>
      <c r="AX81" s="104"/>
      <c r="AY81" s="104"/>
      <c r="AZ81" s="104"/>
    </row>
    <row r="82" spans="1:52" x14ac:dyDescent="0.2">
      <c r="A82" s="104"/>
      <c r="B82" s="252"/>
      <c r="C82" s="252"/>
      <c r="D82" s="255"/>
      <c r="E82" s="255"/>
      <c r="F82" s="255"/>
      <c r="G82" s="255"/>
      <c r="H82" s="255"/>
      <c r="I82" s="255"/>
      <c r="J82" s="255"/>
      <c r="K82" s="255"/>
      <c r="L82" s="255"/>
      <c r="M82" s="255"/>
      <c r="N82" s="255"/>
      <c r="O82" s="255"/>
      <c r="P82" s="255"/>
      <c r="Q82" s="255"/>
      <c r="R82" s="105"/>
      <c r="S82" s="105"/>
      <c r="T82" s="105"/>
      <c r="U82" s="252"/>
      <c r="V82" s="252"/>
      <c r="W82" s="104"/>
      <c r="X82" s="104"/>
      <c r="Y82" s="104"/>
      <c r="Z82" s="104"/>
      <c r="AA82" s="144"/>
      <c r="AB82" s="149"/>
      <c r="AC82" s="145"/>
      <c r="AD82" s="145"/>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row>
    <row r="83" spans="1:52" x14ac:dyDescent="0.2">
      <c r="A83" s="104"/>
      <c r="B83" s="104"/>
      <c r="C83" s="104"/>
      <c r="D83" s="105"/>
      <c r="E83" s="105"/>
      <c r="F83" s="105"/>
      <c r="G83" s="105"/>
      <c r="H83" s="105"/>
      <c r="I83" s="105"/>
      <c r="J83" s="105"/>
      <c r="K83" s="105"/>
      <c r="L83" s="105"/>
      <c r="M83" s="105"/>
      <c r="N83" s="105"/>
      <c r="O83" s="105"/>
      <c r="P83" s="105"/>
      <c r="Q83" s="105"/>
      <c r="R83" s="105"/>
      <c r="S83" s="105"/>
      <c r="T83" s="105"/>
      <c r="U83" s="104"/>
      <c r="V83" s="104"/>
      <c r="W83" s="104"/>
      <c r="X83" s="104"/>
      <c r="Y83" s="104"/>
      <c r="Z83" s="104"/>
      <c r="AA83" s="144"/>
      <c r="AB83" s="149"/>
      <c r="AC83" s="145"/>
      <c r="AD83" s="145"/>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row>
    <row r="84" spans="1:52" x14ac:dyDescent="0.2">
      <c r="A84" s="104"/>
      <c r="B84" s="104"/>
      <c r="C84" s="104"/>
      <c r="D84" s="105"/>
      <c r="E84" s="105"/>
      <c r="F84" s="105"/>
      <c r="G84" s="105"/>
      <c r="H84" s="105"/>
      <c r="I84" s="105"/>
      <c r="J84" s="105"/>
      <c r="K84" s="105"/>
      <c r="L84" s="105"/>
      <c r="M84" s="105"/>
      <c r="N84" s="105"/>
      <c r="O84" s="105"/>
      <c r="P84" s="105"/>
      <c r="Q84" s="105"/>
      <c r="R84" s="105"/>
      <c r="S84" s="105"/>
      <c r="T84" s="105"/>
      <c r="U84" s="104"/>
      <c r="V84" s="104"/>
      <c r="W84" s="104"/>
      <c r="X84" s="104"/>
      <c r="Y84" s="104"/>
      <c r="Z84" s="104"/>
      <c r="AA84" s="144"/>
      <c r="AB84" s="149"/>
      <c r="AC84" s="145"/>
      <c r="AD84" s="145"/>
      <c r="AE84" s="104"/>
      <c r="AF84" s="104"/>
      <c r="AG84" s="104"/>
      <c r="AH84" s="104"/>
      <c r="AI84" s="104"/>
      <c r="AJ84" s="104"/>
      <c r="AK84" s="104"/>
      <c r="AL84" s="104"/>
      <c r="AM84" s="104"/>
      <c r="AN84" s="104"/>
      <c r="AO84" s="104"/>
      <c r="AP84" s="104"/>
      <c r="AQ84" s="104"/>
      <c r="AR84" s="104"/>
      <c r="AS84" s="104"/>
      <c r="AT84" s="104"/>
      <c r="AU84" s="104"/>
      <c r="AV84" s="104"/>
      <c r="AW84" s="104"/>
      <c r="AX84" s="104"/>
      <c r="AY84" s="104"/>
      <c r="AZ84" s="104"/>
    </row>
    <row r="85" spans="1:52" x14ac:dyDescent="0.2">
      <c r="A85" s="104"/>
      <c r="B85" s="104"/>
      <c r="C85" s="104"/>
      <c r="D85" s="105"/>
      <c r="E85" s="105"/>
      <c r="F85" s="105"/>
      <c r="G85" s="105"/>
      <c r="H85" s="105"/>
      <c r="I85" s="105"/>
      <c r="J85" s="105"/>
      <c r="K85" s="105"/>
      <c r="L85" s="105"/>
      <c r="M85" s="105"/>
      <c r="N85" s="105"/>
      <c r="O85" s="105"/>
      <c r="P85" s="105"/>
      <c r="Q85" s="105"/>
      <c r="R85" s="105"/>
      <c r="S85" s="105"/>
      <c r="T85" s="105"/>
      <c r="U85" s="104"/>
      <c r="V85" s="104"/>
      <c r="W85" s="104"/>
      <c r="X85" s="104"/>
      <c r="Y85" s="104"/>
      <c r="Z85" s="104"/>
      <c r="AA85" s="144"/>
      <c r="AB85" s="149"/>
      <c r="AC85" s="145"/>
      <c r="AD85" s="145"/>
      <c r="AE85" s="104"/>
      <c r="AF85" s="104"/>
      <c r="AG85" s="104"/>
      <c r="AH85" s="104"/>
      <c r="AI85" s="104"/>
      <c r="AJ85" s="104"/>
      <c r="AK85" s="104"/>
      <c r="AL85" s="104"/>
      <c r="AM85" s="104"/>
      <c r="AN85" s="104"/>
      <c r="AO85" s="104"/>
      <c r="AP85" s="104"/>
      <c r="AQ85" s="104"/>
      <c r="AR85" s="104"/>
      <c r="AS85" s="104"/>
      <c r="AT85" s="104"/>
      <c r="AU85" s="104"/>
      <c r="AV85" s="104"/>
      <c r="AW85" s="104"/>
      <c r="AX85" s="104"/>
      <c r="AY85" s="104"/>
      <c r="AZ85" s="104"/>
    </row>
    <row r="86" spans="1:52" x14ac:dyDescent="0.2">
      <c r="A86" s="104"/>
      <c r="B86" s="104"/>
      <c r="C86" s="104"/>
      <c r="D86" s="105"/>
      <c r="E86" s="105"/>
      <c r="F86" s="105"/>
      <c r="G86" s="105"/>
      <c r="H86" s="105"/>
      <c r="I86" s="105"/>
      <c r="J86" s="105"/>
      <c r="K86" s="105"/>
      <c r="L86" s="105"/>
      <c r="M86" s="105"/>
      <c r="N86" s="105"/>
      <c r="O86" s="105"/>
      <c r="P86" s="105"/>
      <c r="Q86" s="105"/>
      <c r="R86" s="105"/>
      <c r="S86" s="105"/>
      <c r="T86" s="105"/>
      <c r="U86" s="104"/>
      <c r="V86" s="104"/>
      <c r="W86" s="104"/>
      <c r="X86" s="104"/>
      <c r="Y86" s="104"/>
      <c r="Z86" s="104"/>
      <c r="AA86" s="144"/>
      <c r="AB86" s="149"/>
      <c r="AC86" s="145"/>
      <c r="AD86" s="145"/>
      <c r="AE86" s="104"/>
      <c r="AF86" s="104"/>
      <c r="AG86" s="104"/>
      <c r="AH86" s="104"/>
      <c r="AI86" s="104"/>
      <c r="AJ86" s="104"/>
      <c r="AK86" s="104"/>
      <c r="AL86" s="104"/>
      <c r="AM86" s="104"/>
      <c r="AN86" s="104"/>
      <c r="AO86" s="104"/>
      <c r="AP86" s="104"/>
      <c r="AQ86" s="104"/>
      <c r="AR86" s="104"/>
      <c r="AS86" s="104"/>
      <c r="AT86" s="104"/>
      <c r="AU86" s="104"/>
      <c r="AV86" s="104"/>
      <c r="AW86" s="104"/>
      <c r="AX86" s="104"/>
      <c r="AY86" s="104"/>
      <c r="AZ86" s="104"/>
    </row>
    <row r="87" spans="1:52" x14ac:dyDescent="0.2">
      <c r="A87" s="104"/>
      <c r="B87" s="104"/>
      <c r="C87" s="104"/>
      <c r="D87" s="105"/>
      <c r="E87" s="105"/>
      <c r="F87" s="105"/>
      <c r="G87" s="105"/>
      <c r="H87" s="105"/>
      <c r="I87" s="105"/>
      <c r="J87" s="105"/>
      <c r="K87" s="105"/>
      <c r="L87" s="105"/>
      <c r="M87" s="105"/>
      <c r="N87" s="105"/>
      <c r="O87" s="105"/>
      <c r="P87" s="105"/>
      <c r="Q87" s="105"/>
      <c r="R87" s="105"/>
      <c r="S87" s="105"/>
      <c r="T87" s="105"/>
      <c r="U87" s="104"/>
      <c r="V87" s="104"/>
      <c r="W87" s="104"/>
      <c r="X87" s="104"/>
      <c r="Y87" s="104"/>
      <c r="Z87" s="104"/>
      <c r="AA87" s="144"/>
      <c r="AB87" s="149"/>
      <c r="AC87" s="145"/>
      <c r="AD87" s="145"/>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row>
    <row r="88" spans="1:52" x14ac:dyDescent="0.2">
      <c r="A88" s="104"/>
      <c r="B88" s="104"/>
      <c r="C88" s="104"/>
      <c r="D88" s="105"/>
      <c r="E88" s="105"/>
      <c r="F88" s="105"/>
      <c r="G88" s="105"/>
      <c r="H88" s="105"/>
      <c r="I88" s="105"/>
      <c r="J88" s="105"/>
      <c r="K88" s="105"/>
      <c r="L88" s="105"/>
      <c r="M88" s="105"/>
      <c r="N88" s="105"/>
      <c r="O88" s="105"/>
      <c r="P88" s="105"/>
      <c r="Q88" s="105"/>
      <c r="R88" s="105"/>
      <c r="S88" s="105"/>
      <c r="T88" s="105"/>
      <c r="U88" s="104"/>
      <c r="V88" s="104"/>
      <c r="W88" s="104"/>
      <c r="X88" s="104"/>
      <c r="Y88" s="104"/>
      <c r="Z88" s="104"/>
      <c r="AA88" s="144"/>
      <c r="AB88" s="149"/>
      <c r="AC88" s="145"/>
      <c r="AD88" s="145"/>
      <c r="AE88" s="104"/>
      <c r="AF88" s="104"/>
      <c r="AG88" s="104"/>
      <c r="AH88" s="104"/>
      <c r="AI88" s="104"/>
      <c r="AJ88" s="104"/>
      <c r="AK88" s="104"/>
      <c r="AL88" s="104"/>
      <c r="AM88" s="104"/>
      <c r="AN88" s="104"/>
      <c r="AO88" s="104"/>
      <c r="AP88" s="104"/>
      <c r="AQ88" s="104"/>
      <c r="AR88" s="104"/>
      <c r="AS88" s="104"/>
      <c r="AT88" s="104"/>
      <c r="AU88" s="104"/>
      <c r="AV88" s="104"/>
      <c r="AW88" s="104"/>
      <c r="AX88" s="104"/>
      <c r="AY88" s="104"/>
      <c r="AZ88" s="104"/>
    </row>
    <row r="89" spans="1:52" x14ac:dyDescent="0.2">
      <c r="A89" s="104"/>
      <c r="B89" s="104"/>
      <c r="C89" s="104"/>
      <c r="D89" s="105"/>
      <c r="E89" s="105"/>
      <c r="F89" s="105"/>
      <c r="G89" s="105"/>
      <c r="H89" s="105"/>
      <c r="I89" s="105"/>
      <c r="J89" s="105"/>
      <c r="K89" s="105"/>
      <c r="L89" s="105"/>
      <c r="M89" s="105"/>
      <c r="N89" s="105"/>
      <c r="O89" s="105"/>
      <c r="P89" s="105"/>
      <c r="Q89" s="105"/>
      <c r="R89" s="105"/>
      <c r="S89" s="105"/>
      <c r="T89" s="105"/>
      <c r="U89" s="104"/>
      <c r="V89" s="104"/>
      <c r="W89" s="104"/>
      <c r="X89" s="104"/>
      <c r="Y89" s="104"/>
      <c r="Z89" s="104"/>
      <c r="AA89" s="144"/>
      <c r="AB89" s="149"/>
      <c r="AC89" s="145"/>
      <c r="AD89" s="145"/>
      <c r="AE89" s="104"/>
      <c r="AF89" s="104"/>
      <c r="AG89" s="104"/>
      <c r="AH89" s="104"/>
      <c r="AI89" s="104"/>
      <c r="AJ89" s="104"/>
      <c r="AK89" s="104"/>
      <c r="AL89" s="104"/>
      <c r="AM89" s="104"/>
      <c r="AN89" s="104"/>
      <c r="AO89" s="104"/>
      <c r="AP89" s="104"/>
      <c r="AQ89" s="104"/>
      <c r="AR89" s="104"/>
      <c r="AS89" s="104"/>
      <c r="AT89" s="104"/>
      <c r="AU89" s="104"/>
      <c r="AV89" s="104"/>
      <c r="AW89" s="104"/>
      <c r="AX89" s="104"/>
      <c r="AY89" s="104"/>
      <c r="AZ89" s="104"/>
    </row>
    <row r="90" spans="1:52" x14ac:dyDescent="0.2">
      <c r="A90" s="104"/>
      <c r="B90" s="104"/>
      <c r="C90" s="104"/>
      <c r="D90" s="105"/>
      <c r="E90" s="105"/>
      <c r="F90" s="105"/>
      <c r="G90" s="105"/>
      <c r="H90" s="105"/>
      <c r="I90" s="105"/>
      <c r="J90" s="105"/>
      <c r="K90" s="105"/>
      <c r="L90" s="105"/>
      <c r="M90" s="105"/>
      <c r="N90" s="105"/>
      <c r="O90" s="105"/>
      <c r="P90" s="105"/>
      <c r="Q90" s="105"/>
      <c r="R90" s="105"/>
      <c r="S90" s="105"/>
      <c r="T90" s="105"/>
      <c r="U90" s="104"/>
      <c r="V90" s="104"/>
      <c r="W90" s="104"/>
      <c r="X90" s="104"/>
      <c r="Y90" s="104"/>
      <c r="Z90" s="104"/>
      <c r="AA90" s="144"/>
      <c r="AB90" s="149"/>
      <c r="AC90" s="145"/>
      <c r="AD90" s="145"/>
      <c r="AE90" s="104"/>
      <c r="AF90" s="104"/>
      <c r="AG90" s="104"/>
      <c r="AH90" s="104"/>
      <c r="AI90" s="104"/>
      <c r="AJ90" s="104"/>
      <c r="AK90" s="104"/>
      <c r="AL90" s="104"/>
      <c r="AM90" s="104"/>
      <c r="AN90" s="104"/>
      <c r="AO90" s="104"/>
      <c r="AP90" s="104"/>
      <c r="AQ90" s="104"/>
      <c r="AR90" s="104"/>
      <c r="AS90" s="104"/>
      <c r="AT90" s="104"/>
      <c r="AU90" s="104"/>
      <c r="AV90" s="104"/>
      <c r="AW90" s="104"/>
      <c r="AX90" s="104"/>
      <c r="AY90" s="104"/>
      <c r="AZ90" s="104"/>
    </row>
    <row r="91" spans="1:52" x14ac:dyDescent="0.2">
      <c r="A91" s="104"/>
      <c r="B91" s="104"/>
      <c r="C91" s="104"/>
      <c r="D91" s="105"/>
      <c r="E91" s="105"/>
      <c r="F91" s="105"/>
      <c r="G91" s="105"/>
      <c r="H91" s="105"/>
      <c r="I91" s="105"/>
      <c r="J91" s="105"/>
      <c r="K91" s="105"/>
      <c r="L91" s="105"/>
      <c r="M91" s="105"/>
      <c r="N91" s="105"/>
      <c r="O91" s="105"/>
      <c r="P91" s="105"/>
      <c r="Q91" s="105"/>
      <c r="R91" s="105"/>
      <c r="S91" s="105"/>
      <c r="T91" s="105"/>
      <c r="U91" s="104"/>
      <c r="V91" s="104"/>
      <c r="W91" s="104"/>
      <c r="X91" s="104"/>
      <c r="Y91" s="104"/>
      <c r="Z91" s="104"/>
      <c r="AA91" s="144"/>
      <c r="AB91" s="149"/>
      <c r="AC91" s="145"/>
      <c r="AD91" s="145"/>
      <c r="AE91" s="104"/>
      <c r="AF91" s="104"/>
      <c r="AG91" s="104"/>
      <c r="AH91" s="104"/>
      <c r="AI91" s="104"/>
      <c r="AJ91" s="104"/>
      <c r="AK91" s="104"/>
      <c r="AL91" s="104"/>
      <c r="AM91" s="104"/>
      <c r="AN91" s="104"/>
      <c r="AO91" s="104"/>
      <c r="AP91" s="104"/>
      <c r="AQ91" s="104"/>
      <c r="AR91" s="104"/>
      <c r="AS91" s="104"/>
      <c r="AT91" s="104"/>
      <c r="AU91" s="104"/>
      <c r="AV91" s="104"/>
      <c r="AW91" s="104"/>
      <c r="AX91" s="104"/>
      <c r="AY91" s="104"/>
      <c r="AZ91" s="104"/>
    </row>
    <row r="92" spans="1:52" x14ac:dyDescent="0.2">
      <c r="A92" s="104"/>
      <c r="B92" s="104"/>
      <c r="C92" s="104"/>
      <c r="D92" s="105"/>
      <c r="E92" s="105"/>
      <c r="F92" s="105"/>
      <c r="G92" s="105"/>
      <c r="H92" s="105"/>
      <c r="I92" s="105"/>
      <c r="J92" s="105"/>
      <c r="K92" s="105"/>
      <c r="L92" s="105"/>
      <c r="M92" s="105"/>
      <c r="N92" s="105"/>
      <c r="O92" s="105"/>
      <c r="P92" s="105"/>
      <c r="Q92" s="105"/>
      <c r="R92" s="105"/>
      <c r="S92" s="105"/>
      <c r="T92" s="105"/>
      <c r="U92" s="104"/>
      <c r="V92" s="104"/>
      <c r="W92" s="104"/>
      <c r="X92" s="104"/>
      <c r="Y92" s="104"/>
      <c r="Z92" s="104"/>
      <c r="AA92" s="144"/>
      <c r="AB92" s="149"/>
      <c r="AC92" s="145"/>
      <c r="AD92" s="145"/>
      <c r="AE92" s="104"/>
      <c r="AF92" s="104"/>
      <c r="AG92" s="104"/>
      <c r="AH92" s="104"/>
      <c r="AI92" s="104"/>
      <c r="AJ92" s="104"/>
      <c r="AK92" s="104"/>
      <c r="AL92" s="104"/>
      <c r="AM92" s="104"/>
      <c r="AN92" s="104"/>
      <c r="AO92" s="104"/>
      <c r="AP92" s="104"/>
      <c r="AQ92" s="104"/>
      <c r="AR92" s="104"/>
      <c r="AS92" s="104"/>
      <c r="AT92" s="104"/>
      <c r="AU92" s="104"/>
      <c r="AV92" s="104"/>
      <c r="AW92" s="104"/>
      <c r="AX92" s="104"/>
      <c r="AY92" s="104"/>
      <c r="AZ92" s="104"/>
    </row>
    <row r="93" spans="1:52" x14ac:dyDescent="0.2">
      <c r="A93" s="104"/>
      <c r="B93" s="104"/>
      <c r="C93" s="104"/>
      <c r="D93" s="105"/>
      <c r="E93" s="105"/>
      <c r="F93" s="105"/>
      <c r="G93" s="105"/>
      <c r="H93" s="105"/>
      <c r="I93" s="105"/>
      <c r="J93" s="105"/>
      <c r="K93" s="105"/>
      <c r="L93" s="105"/>
      <c r="M93" s="105"/>
      <c r="N93" s="105"/>
      <c r="O93" s="105"/>
      <c r="P93" s="105"/>
      <c r="Q93" s="105"/>
      <c r="R93" s="105"/>
      <c r="S93" s="105"/>
      <c r="T93" s="105"/>
      <c r="U93" s="104"/>
      <c r="V93" s="104"/>
      <c r="W93" s="104"/>
      <c r="X93" s="104"/>
      <c r="Y93" s="104"/>
      <c r="Z93" s="104"/>
      <c r="AA93" s="144"/>
      <c r="AB93" s="149"/>
      <c r="AC93" s="145"/>
      <c r="AD93" s="145"/>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row>
    <row r="94" spans="1:52" x14ac:dyDescent="0.2">
      <c r="A94" s="104"/>
      <c r="B94" s="104"/>
      <c r="C94" s="104"/>
      <c r="D94" s="105"/>
      <c r="E94" s="105"/>
      <c r="F94" s="105"/>
      <c r="G94" s="105"/>
      <c r="H94" s="105"/>
      <c r="I94" s="105"/>
      <c r="J94" s="105"/>
      <c r="K94" s="105"/>
      <c r="L94" s="105"/>
      <c r="M94" s="105"/>
      <c r="N94" s="105"/>
      <c r="O94" s="105"/>
      <c r="P94" s="105"/>
      <c r="Q94" s="105"/>
      <c r="R94" s="105"/>
      <c r="S94" s="105"/>
      <c r="T94" s="105"/>
      <c r="U94" s="104"/>
      <c r="V94" s="104"/>
      <c r="W94" s="104"/>
      <c r="X94" s="104"/>
      <c r="Y94" s="104"/>
      <c r="Z94" s="104"/>
      <c r="AA94" s="144"/>
      <c r="AB94" s="149"/>
      <c r="AC94" s="145"/>
      <c r="AD94" s="145"/>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row>
    <row r="95" spans="1:52" x14ac:dyDescent="0.2">
      <c r="A95" s="104"/>
      <c r="B95" s="104"/>
      <c r="C95" s="104"/>
      <c r="D95" s="105"/>
      <c r="E95" s="105"/>
      <c r="F95" s="105"/>
      <c r="G95" s="105"/>
      <c r="H95" s="105"/>
      <c r="I95" s="105"/>
      <c r="J95" s="105"/>
      <c r="K95" s="105"/>
      <c r="L95" s="105"/>
      <c r="M95" s="105"/>
      <c r="N95" s="105"/>
      <c r="O95" s="105"/>
      <c r="P95" s="105"/>
      <c r="Q95" s="105"/>
      <c r="R95" s="105"/>
      <c r="S95" s="105"/>
      <c r="T95" s="105"/>
      <c r="U95" s="104"/>
      <c r="V95" s="104"/>
      <c r="W95" s="104"/>
      <c r="X95" s="104"/>
      <c r="Y95" s="104"/>
      <c r="Z95" s="104"/>
      <c r="AA95" s="144"/>
      <c r="AB95" s="149"/>
      <c r="AC95" s="145"/>
      <c r="AD95" s="145"/>
      <c r="AE95" s="104"/>
      <c r="AF95" s="104"/>
      <c r="AG95" s="104"/>
      <c r="AH95" s="104"/>
      <c r="AI95" s="104"/>
      <c r="AJ95" s="104"/>
      <c r="AK95" s="104"/>
      <c r="AL95" s="104"/>
      <c r="AM95" s="104"/>
      <c r="AN95" s="104"/>
      <c r="AO95" s="104"/>
      <c r="AP95" s="104"/>
      <c r="AQ95" s="104"/>
      <c r="AR95" s="104"/>
      <c r="AS95" s="104"/>
      <c r="AT95" s="104"/>
      <c r="AU95" s="104"/>
      <c r="AV95" s="104"/>
      <c r="AW95" s="104"/>
      <c r="AX95" s="104"/>
      <c r="AY95" s="104"/>
      <c r="AZ95" s="104"/>
    </row>
    <row r="96" spans="1:52" x14ac:dyDescent="0.2">
      <c r="A96" s="104"/>
      <c r="B96" s="104"/>
      <c r="C96" s="104"/>
      <c r="D96" s="105"/>
      <c r="E96" s="105"/>
      <c r="F96" s="105"/>
      <c r="G96" s="105"/>
      <c r="H96" s="105"/>
      <c r="I96" s="105"/>
      <c r="J96" s="105"/>
      <c r="K96" s="105"/>
      <c r="L96" s="105"/>
      <c r="M96" s="105"/>
      <c r="N96" s="105"/>
      <c r="O96" s="105"/>
      <c r="P96" s="105"/>
      <c r="Q96" s="105"/>
      <c r="R96" s="105"/>
      <c r="S96" s="105"/>
      <c r="T96" s="105"/>
      <c r="U96" s="104"/>
      <c r="V96" s="104"/>
      <c r="W96" s="104"/>
      <c r="X96" s="104"/>
      <c r="Y96" s="104"/>
      <c r="Z96" s="104"/>
      <c r="AA96" s="144"/>
      <c r="AB96" s="149"/>
      <c r="AC96" s="145"/>
      <c r="AD96" s="145"/>
      <c r="AE96" s="104"/>
      <c r="AF96" s="104"/>
      <c r="AG96" s="104"/>
      <c r="AH96" s="104"/>
      <c r="AI96" s="104"/>
      <c r="AJ96" s="104"/>
      <c r="AK96" s="104"/>
      <c r="AL96" s="104"/>
      <c r="AM96" s="104"/>
      <c r="AN96" s="104"/>
      <c r="AO96" s="104"/>
      <c r="AP96" s="104"/>
      <c r="AQ96" s="104"/>
      <c r="AR96" s="104"/>
      <c r="AS96" s="104"/>
      <c r="AT96" s="104"/>
      <c r="AU96" s="104"/>
      <c r="AV96" s="104"/>
      <c r="AW96" s="104"/>
      <c r="AX96" s="104"/>
      <c r="AY96" s="104"/>
      <c r="AZ96" s="104"/>
    </row>
    <row r="97" spans="1:52" x14ac:dyDescent="0.2">
      <c r="A97" s="104"/>
      <c r="B97" s="104"/>
      <c r="C97" s="104"/>
      <c r="D97" s="105"/>
      <c r="E97" s="105"/>
      <c r="F97" s="105"/>
      <c r="G97" s="105"/>
      <c r="H97" s="105"/>
      <c r="I97" s="105"/>
      <c r="J97" s="105"/>
      <c r="K97" s="105"/>
      <c r="L97" s="105"/>
      <c r="M97" s="105"/>
      <c r="N97" s="105"/>
      <c r="O97" s="105"/>
      <c r="P97" s="105"/>
      <c r="Q97" s="105"/>
      <c r="R97" s="105"/>
      <c r="S97" s="105"/>
      <c r="T97" s="105"/>
      <c r="U97" s="104"/>
      <c r="V97" s="104"/>
      <c r="W97" s="104"/>
      <c r="X97" s="104"/>
      <c r="Y97" s="104"/>
      <c r="Z97" s="104"/>
      <c r="AA97" s="144"/>
      <c r="AB97" s="149"/>
      <c r="AC97" s="145"/>
      <c r="AD97" s="145"/>
      <c r="AE97" s="104"/>
      <c r="AF97" s="104"/>
      <c r="AG97" s="104"/>
      <c r="AH97" s="104"/>
      <c r="AI97" s="104"/>
      <c r="AJ97" s="104"/>
      <c r="AK97" s="104"/>
      <c r="AL97" s="104"/>
      <c r="AM97" s="104"/>
      <c r="AN97" s="104"/>
      <c r="AO97" s="104"/>
      <c r="AP97" s="104"/>
      <c r="AQ97" s="104"/>
      <c r="AR97" s="104"/>
      <c r="AS97" s="104"/>
      <c r="AT97" s="104"/>
      <c r="AU97" s="104"/>
      <c r="AV97" s="104"/>
      <c r="AW97" s="104"/>
      <c r="AX97" s="104"/>
      <c r="AY97" s="104"/>
      <c r="AZ97" s="104"/>
    </row>
    <row r="98" spans="1:52" x14ac:dyDescent="0.2">
      <c r="A98" s="104"/>
      <c r="B98" s="104"/>
      <c r="C98" s="104"/>
      <c r="D98" s="105"/>
      <c r="E98" s="105"/>
      <c r="F98" s="105"/>
      <c r="G98" s="105"/>
      <c r="H98" s="105"/>
      <c r="I98" s="105"/>
      <c r="J98" s="105"/>
      <c r="K98" s="105"/>
      <c r="L98" s="105"/>
      <c r="M98" s="105"/>
      <c r="N98" s="105"/>
      <c r="O98" s="105"/>
      <c r="P98" s="105"/>
      <c r="Q98" s="105"/>
      <c r="R98" s="105"/>
      <c r="S98" s="105"/>
      <c r="T98" s="105"/>
      <c r="U98" s="104"/>
      <c r="V98" s="104"/>
      <c r="W98" s="104"/>
      <c r="X98" s="104"/>
      <c r="Y98" s="104"/>
      <c r="Z98" s="104"/>
      <c r="AA98" s="144"/>
      <c r="AB98" s="149"/>
      <c r="AC98" s="145"/>
      <c r="AD98" s="145"/>
      <c r="AE98" s="104"/>
      <c r="AF98" s="104"/>
      <c r="AG98" s="104"/>
      <c r="AH98" s="104"/>
      <c r="AI98" s="104"/>
      <c r="AJ98" s="104"/>
      <c r="AK98" s="104"/>
      <c r="AL98" s="104"/>
      <c r="AM98" s="104"/>
      <c r="AN98" s="104"/>
      <c r="AO98" s="104"/>
      <c r="AP98" s="104"/>
      <c r="AQ98" s="104"/>
      <c r="AR98" s="104"/>
      <c r="AS98" s="104"/>
      <c r="AT98" s="104"/>
      <c r="AU98" s="104"/>
      <c r="AV98" s="104"/>
      <c r="AW98" s="104"/>
      <c r="AX98" s="104"/>
      <c r="AY98" s="104"/>
      <c r="AZ98" s="104"/>
    </row>
    <row r="99" spans="1:52" x14ac:dyDescent="0.2">
      <c r="A99" s="104"/>
      <c r="B99" s="104"/>
      <c r="C99" s="104"/>
      <c r="D99" s="105"/>
      <c r="E99" s="105"/>
      <c r="F99" s="105"/>
      <c r="G99" s="105"/>
      <c r="H99" s="105"/>
      <c r="I99" s="105"/>
      <c r="J99" s="105"/>
      <c r="K99" s="105"/>
      <c r="L99" s="105"/>
      <c r="M99" s="105"/>
      <c r="N99" s="105"/>
      <c r="O99" s="105"/>
      <c r="P99" s="105"/>
      <c r="Q99" s="105"/>
      <c r="R99" s="105"/>
      <c r="S99" s="105"/>
      <c r="T99" s="105"/>
      <c r="U99" s="104"/>
      <c r="V99" s="104"/>
      <c r="W99" s="104"/>
      <c r="X99" s="104"/>
      <c r="Y99" s="104"/>
      <c r="Z99" s="104"/>
      <c r="AA99" s="144"/>
      <c r="AB99" s="149"/>
      <c r="AC99" s="145"/>
      <c r="AD99" s="145"/>
      <c r="AE99" s="104"/>
      <c r="AF99" s="104"/>
      <c r="AG99" s="104"/>
      <c r="AH99" s="104"/>
      <c r="AI99" s="104"/>
      <c r="AJ99" s="104"/>
      <c r="AK99" s="104"/>
      <c r="AL99" s="104"/>
      <c r="AM99" s="104"/>
      <c r="AN99" s="104"/>
      <c r="AO99" s="104"/>
      <c r="AP99" s="104"/>
      <c r="AQ99" s="104"/>
      <c r="AR99" s="104"/>
      <c r="AS99" s="104"/>
      <c r="AT99" s="104"/>
      <c r="AU99" s="104"/>
      <c r="AV99" s="104"/>
      <c r="AW99" s="104"/>
      <c r="AX99" s="104"/>
      <c r="AY99" s="104"/>
      <c r="AZ99" s="104"/>
    </row>
    <row r="100" spans="1:52" x14ac:dyDescent="0.2">
      <c r="A100" s="104"/>
      <c r="B100" s="104"/>
      <c r="C100" s="104"/>
      <c r="D100" s="105"/>
      <c r="E100" s="105"/>
      <c r="F100" s="105"/>
      <c r="G100" s="105"/>
      <c r="H100" s="105"/>
      <c r="I100" s="105"/>
      <c r="J100" s="105"/>
      <c r="K100" s="105"/>
      <c r="L100" s="105"/>
      <c r="M100" s="105"/>
      <c r="N100" s="105"/>
      <c r="O100" s="105"/>
      <c r="P100" s="105"/>
      <c r="Q100" s="105"/>
      <c r="R100" s="105"/>
      <c r="S100" s="105"/>
      <c r="T100" s="105"/>
      <c r="U100" s="104"/>
      <c r="V100" s="104"/>
      <c r="W100" s="104"/>
      <c r="X100" s="104"/>
      <c r="Y100" s="104"/>
      <c r="Z100" s="104"/>
      <c r="AA100" s="144"/>
      <c r="AB100" s="149"/>
      <c r="AC100" s="145"/>
      <c r="AD100" s="145"/>
      <c r="AE100" s="104"/>
      <c r="AF100" s="104"/>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row>
    <row r="101" spans="1:52" x14ac:dyDescent="0.2">
      <c r="A101" s="104"/>
      <c r="B101" s="104"/>
      <c r="C101" s="104"/>
      <c r="D101" s="105"/>
      <c r="E101" s="105"/>
      <c r="F101" s="105"/>
      <c r="G101" s="105"/>
      <c r="H101" s="105"/>
      <c r="I101" s="105"/>
      <c r="J101" s="105"/>
      <c r="K101" s="105"/>
      <c r="L101" s="105"/>
      <c r="M101" s="105"/>
      <c r="N101" s="105"/>
      <c r="O101" s="105"/>
      <c r="P101" s="105"/>
      <c r="Q101" s="105"/>
      <c r="R101" s="105"/>
      <c r="S101" s="105"/>
      <c r="T101" s="105"/>
      <c r="U101" s="104"/>
      <c r="V101" s="104"/>
      <c r="W101" s="104"/>
      <c r="X101" s="104"/>
      <c r="Y101" s="104"/>
      <c r="Z101" s="104"/>
      <c r="AA101" s="144"/>
      <c r="AB101" s="149"/>
      <c r="AC101" s="145"/>
      <c r="AD101" s="145"/>
      <c r="AE101" s="104"/>
      <c r="AF101" s="104"/>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row>
    <row r="102" spans="1:52" x14ac:dyDescent="0.2">
      <c r="A102" s="104"/>
      <c r="B102" s="104"/>
      <c r="C102" s="104"/>
      <c r="D102" s="105"/>
      <c r="E102" s="105"/>
      <c r="F102" s="105"/>
      <c r="G102" s="105"/>
      <c r="H102" s="105"/>
      <c r="I102" s="105"/>
      <c r="J102" s="105"/>
      <c r="K102" s="105"/>
      <c r="L102" s="105"/>
      <c r="M102" s="105"/>
      <c r="N102" s="105"/>
      <c r="O102" s="105"/>
      <c r="P102" s="105"/>
      <c r="Q102" s="105"/>
      <c r="R102" s="105"/>
      <c r="S102" s="105"/>
      <c r="T102" s="105"/>
      <c r="U102" s="104"/>
      <c r="V102" s="104"/>
      <c r="W102" s="104"/>
      <c r="X102" s="104"/>
      <c r="Y102" s="104"/>
      <c r="Z102" s="104"/>
      <c r="AA102" s="144"/>
      <c r="AB102" s="149"/>
      <c r="AC102" s="145"/>
      <c r="AD102" s="145"/>
      <c r="AE102" s="104"/>
      <c r="AF102" s="104"/>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row>
    <row r="103" spans="1:52" x14ac:dyDescent="0.2">
      <c r="A103" s="104"/>
      <c r="B103" s="104"/>
      <c r="C103" s="104"/>
      <c r="D103" s="105"/>
      <c r="E103" s="105"/>
      <c r="F103" s="105"/>
      <c r="G103" s="105"/>
      <c r="H103" s="105"/>
      <c r="I103" s="105"/>
      <c r="J103" s="105"/>
      <c r="K103" s="105"/>
      <c r="L103" s="105"/>
      <c r="M103" s="105"/>
      <c r="N103" s="105"/>
      <c r="O103" s="105"/>
      <c r="P103" s="105"/>
      <c r="Q103" s="105"/>
      <c r="R103" s="105"/>
      <c r="S103" s="105"/>
      <c r="T103" s="105"/>
      <c r="U103" s="104"/>
      <c r="V103" s="104"/>
      <c r="W103" s="104"/>
      <c r="X103" s="104"/>
      <c r="Y103" s="104"/>
      <c r="Z103" s="104"/>
      <c r="AA103" s="144"/>
      <c r="AB103" s="149"/>
      <c r="AC103" s="145"/>
      <c r="AD103" s="145"/>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row>
    <row r="104" spans="1:52" x14ac:dyDescent="0.2">
      <c r="A104" s="104"/>
      <c r="B104" s="104"/>
      <c r="C104" s="104"/>
      <c r="D104" s="105"/>
      <c r="E104" s="105"/>
      <c r="F104" s="105"/>
      <c r="G104" s="105"/>
      <c r="H104" s="105"/>
      <c r="I104" s="105"/>
      <c r="J104" s="105"/>
      <c r="K104" s="105"/>
      <c r="L104" s="105"/>
      <c r="M104" s="105"/>
      <c r="N104" s="105"/>
      <c r="O104" s="105"/>
      <c r="P104" s="105"/>
      <c r="Q104" s="105"/>
      <c r="R104" s="105"/>
      <c r="S104" s="105"/>
      <c r="T104" s="105"/>
      <c r="U104" s="104"/>
      <c r="V104" s="104"/>
      <c r="W104" s="104"/>
      <c r="X104" s="104"/>
      <c r="Y104" s="104"/>
      <c r="Z104" s="104"/>
      <c r="AA104" s="144"/>
      <c r="AB104" s="149"/>
      <c r="AC104" s="145"/>
      <c r="AD104" s="145"/>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row>
    <row r="105" spans="1:52" x14ac:dyDescent="0.2">
      <c r="A105" s="104"/>
      <c r="B105" s="104"/>
      <c r="C105" s="104"/>
      <c r="D105" s="105"/>
      <c r="E105" s="105"/>
      <c r="F105" s="105"/>
      <c r="G105" s="105"/>
      <c r="H105" s="105"/>
      <c r="I105" s="105"/>
      <c r="J105" s="105"/>
      <c r="K105" s="105"/>
      <c r="L105" s="105"/>
      <c r="M105" s="105"/>
      <c r="N105" s="105"/>
      <c r="O105" s="105"/>
      <c r="P105" s="105"/>
      <c r="Q105" s="105"/>
      <c r="R105" s="105"/>
      <c r="S105" s="105"/>
      <c r="T105" s="105"/>
      <c r="U105" s="104"/>
      <c r="V105" s="104"/>
      <c r="W105" s="104"/>
      <c r="X105" s="104"/>
      <c r="Y105" s="104"/>
      <c r="Z105" s="104"/>
      <c r="AA105" s="144"/>
      <c r="AB105" s="149"/>
      <c r="AC105" s="145"/>
      <c r="AD105" s="145"/>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row>
    <row r="106" spans="1:52" x14ac:dyDescent="0.2">
      <c r="A106" s="104"/>
      <c r="B106" s="104"/>
      <c r="C106" s="104"/>
      <c r="D106" s="105"/>
      <c r="E106" s="105"/>
      <c r="F106" s="105"/>
      <c r="G106" s="105"/>
      <c r="H106" s="105"/>
      <c r="I106" s="105"/>
      <c r="J106" s="105"/>
      <c r="K106" s="105"/>
      <c r="L106" s="105"/>
      <c r="M106" s="105"/>
      <c r="N106" s="105"/>
      <c r="O106" s="105"/>
      <c r="P106" s="105"/>
      <c r="Q106" s="105"/>
      <c r="R106" s="105"/>
      <c r="S106" s="105"/>
      <c r="T106" s="105"/>
      <c r="U106" s="104"/>
      <c r="V106" s="104"/>
      <c r="W106" s="104"/>
      <c r="X106" s="104"/>
      <c r="Y106" s="104"/>
      <c r="Z106" s="104"/>
      <c r="AA106" s="144"/>
      <c r="AB106" s="149"/>
      <c r="AC106" s="145"/>
      <c r="AD106" s="145"/>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row>
    <row r="107" spans="1:52" x14ac:dyDescent="0.2">
      <c r="A107" s="104"/>
      <c r="B107" s="104"/>
      <c r="C107" s="104"/>
      <c r="D107" s="105"/>
      <c r="E107" s="105"/>
      <c r="F107" s="105"/>
      <c r="G107" s="105"/>
      <c r="H107" s="105"/>
      <c r="I107" s="105"/>
      <c r="J107" s="105"/>
      <c r="K107" s="105"/>
      <c r="L107" s="105"/>
      <c r="M107" s="105"/>
      <c r="N107" s="105"/>
      <c r="O107" s="105"/>
      <c r="P107" s="105"/>
      <c r="Q107" s="105"/>
      <c r="R107" s="105"/>
      <c r="S107" s="105"/>
      <c r="T107" s="105"/>
      <c r="U107" s="104"/>
      <c r="V107" s="104"/>
      <c r="W107" s="104"/>
      <c r="X107" s="104"/>
      <c r="Y107" s="104"/>
      <c r="Z107" s="104"/>
      <c r="AA107" s="144"/>
      <c r="AB107" s="149"/>
      <c r="AC107" s="145"/>
      <c r="AD107" s="145"/>
      <c r="AE107" s="104"/>
      <c r="AF107" s="104"/>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row>
    <row r="108" spans="1:52" x14ac:dyDescent="0.2">
      <c r="A108" s="104"/>
      <c r="B108" s="104"/>
      <c r="C108" s="104"/>
      <c r="D108" s="105"/>
      <c r="E108" s="105"/>
      <c r="F108" s="105"/>
      <c r="G108" s="105"/>
      <c r="H108" s="105"/>
      <c r="I108" s="105"/>
      <c r="J108" s="105"/>
      <c r="K108" s="105"/>
      <c r="L108" s="105"/>
      <c r="M108" s="105"/>
      <c r="N108" s="105"/>
      <c r="O108" s="105"/>
      <c r="P108" s="105"/>
      <c r="Q108" s="105"/>
      <c r="R108" s="105"/>
      <c r="S108" s="105"/>
      <c r="T108" s="105"/>
      <c r="U108" s="104"/>
      <c r="V108" s="104"/>
      <c r="W108" s="104"/>
      <c r="X108" s="104"/>
      <c r="Y108" s="104"/>
      <c r="Z108" s="104"/>
      <c r="AA108" s="144"/>
      <c r="AB108" s="149"/>
      <c r="AC108" s="145"/>
      <c r="AD108" s="145"/>
      <c r="AE108" s="104"/>
      <c r="AF108" s="104"/>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row>
    <row r="109" spans="1:52" x14ac:dyDescent="0.2">
      <c r="A109" s="104"/>
      <c r="B109" s="104"/>
      <c r="C109" s="104"/>
      <c r="D109" s="105"/>
      <c r="E109" s="105"/>
      <c r="F109" s="105"/>
      <c r="G109" s="105"/>
      <c r="H109" s="105"/>
      <c r="I109" s="105"/>
      <c r="J109" s="105"/>
      <c r="K109" s="105"/>
      <c r="L109" s="105"/>
      <c r="M109" s="105"/>
      <c r="N109" s="105"/>
      <c r="O109" s="105"/>
      <c r="P109" s="105"/>
      <c r="Q109" s="105"/>
      <c r="R109" s="105"/>
      <c r="S109" s="105"/>
      <c r="T109" s="105"/>
      <c r="U109" s="104"/>
      <c r="V109" s="104"/>
      <c r="W109" s="104"/>
      <c r="X109" s="104"/>
      <c r="Y109" s="104"/>
      <c r="Z109" s="104"/>
      <c r="AA109" s="144"/>
      <c r="AB109" s="149"/>
      <c r="AC109" s="145"/>
      <c r="AD109" s="145"/>
      <c r="AE109" s="104"/>
      <c r="AF109" s="104"/>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row>
    <row r="110" spans="1:52" x14ac:dyDescent="0.2">
      <c r="A110" s="104"/>
      <c r="B110" s="104"/>
      <c r="C110" s="104"/>
      <c r="D110" s="105"/>
      <c r="E110" s="105"/>
      <c r="F110" s="105"/>
      <c r="G110" s="105"/>
      <c r="H110" s="105"/>
      <c r="I110" s="105"/>
      <c r="J110" s="105"/>
      <c r="K110" s="105"/>
      <c r="L110" s="105"/>
      <c r="M110" s="105"/>
      <c r="N110" s="105"/>
      <c r="O110" s="105"/>
      <c r="P110" s="105"/>
      <c r="Q110" s="105"/>
      <c r="R110" s="105"/>
      <c r="S110" s="105"/>
      <c r="T110" s="105"/>
      <c r="U110" s="104"/>
      <c r="V110" s="104"/>
      <c r="W110" s="104"/>
      <c r="X110" s="104"/>
      <c r="Y110" s="104"/>
      <c r="Z110" s="104"/>
      <c r="AA110" s="144"/>
      <c r="AB110" s="149"/>
      <c r="AC110" s="145"/>
      <c r="AD110" s="145"/>
      <c r="AE110" s="104"/>
      <c r="AF110" s="104"/>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row>
    <row r="111" spans="1:52" x14ac:dyDescent="0.2">
      <c r="A111" s="104"/>
      <c r="B111" s="104"/>
      <c r="C111" s="104"/>
      <c r="D111" s="105"/>
      <c r="E111" s="105"/>
      <c r="F111" s="105"/>
      <c r="G111" s="105"/>
      <c r="H111" s="105"/>
      <c r="I111" s="105"/>
      <c r="J111" s="105"/>
      <c r="K111" s="105"/>
      <c r="L111" s="105"/>
      <c r="M111" s="105"/>
      <c r="N111" s="105"/>
      <c r="O111" s="105"/>
      <c r="P111" s="105"/>
      <c r="Q111" s="105"/>
      <c r="R111" s="105"/>
      <c r="S111" s="105"/>
      <c r="T111" s="105"/>
      <c r="U111" s="104"/>
      <c r="V111" s="104"/>
      <c r="W111" s="104"/>
      <c r="X111" s="104"/>
      <c r="Y111" s="104"/>
      <c r="Z111" s="104"/>
      <c r="AA111" s="144"/>
      <c r="AB111" s="149"/>
      <c r="AC111" s="145"/>
      <c r="AD111" s="145"/>
      <c r="AE111" s="104"/>
      <c r="AF111" s="104"/>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row>
    <row r="112" spans="1:52" x14ac:dyDescent="0.2">
      <c r="A112" s="104"/>
      <c r="B112" s="104"/>
      <c r="C112" s="104"/>
      <c r="D112" s="105"/>
      <c r="E112" s="105"/>
      <c r="F112" s="105"/>
      <c r="G112" s="105"/>
      <c r="H112" s="105"/>
      <c r="I112" s="105"/>
      <c r="J112" s="105"/>
      <c r="K112" s="105"/>
      <c r="L112" s="105"/>
      <c r="M112" s="105"/>
      <c r="N112" s="105"/>
      <c r="O112" s="105"/>
      <c r="P112" s="105"/>
      <c r="Q112" s="105"/>
      <c r="R112" s="105"/>
      <c r="S112" s="105"/>
      <c r="T112" s="105"/>
      <c r="U112" s="104"/>
      <c r="V112" s="104"/>
      <c r="W112" s="104"/>
      <c r="X112" s="104"/>
      <c r="Y112" s="104"/>
      <c r="Z112" s="104"/>
      <c r="AA112" s="144"/>
      <c r="AB112" s="149"/>
      <c r="AC112" s="145"/>
      <c r="AD112" s="145"/>
      <c r="AE112" s="104"/>
      <c r="AF112" s="104"/>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row>
    <row r="113" spans="1:52" x14ac:dyDescent="0.2">
      <c r="A113" s="104"/>
      <c r="B113" s="104"/>
      <c r="C113" s="104"/>
      <c r="D113" s="105"/>
      <c r="E113" s="105"/>
      <c r="F113" s="105"/>
      <c r="G113" s="105"/>
      <c r="H113" s="105"/>
      <c r="I113" s="105"/>
      <c r="J113" s="105"/>
      <c r="K113" s="105"/>
      <c r="L113" s="105"/>
      <c r="M113" s="105"/>
      <c r="N113" s="105"/>
      <c r="O113" s="105"/>
      <c r="P113" s="105"/>
      <c r="Q113" s="105"/>
      <c r="R113" s="105"/>
      <c r="S113" s="105"/>
      <c r="T113" s="105"/>
      <c r="U113" s="104"/>
      <c r="V113" s="104"/>
      <c r="W113" s="104"/>
      <c r="X113" s="104"/>
      <c r="Y113" s="104"/>
      <c r="Z113" s="104"/>
      <c r="AA113" s="144"/>
      <c r="AB113" s="149"/>
      <c r="AC113" s="145"/>
      <c r="AD113" s="145"/>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row>
    <row r="114" spans="1:52" x14ac:dyDescent="0.2">
      <c r="A114" s="104"/>
      <c r="B114" s="104"/>
      <c r="C114" s="104"/>
      <c r="D114" s="105"/>
      <c r="E114" s="105"/>
      <c r="F114" s="105"/>
      <c r="G114" s="105"/>
      <c r="H114" s="105"/>
      <c r="I114" s="105"/>
      <c r="J114" s="105"/>
      <c r="K114" s="105"/>
      <c r="L114" s="105"/>
      <c r="M114" s="105"/>
      <c r="N114" s="105"/>
      <c r="O114" s="105"/>
      <c r="P114" s="105"/>
      <c r="Q114" s="105"/>
      <c r="R114" s="105"/>
      <c r="S114" s="105"/>
      <c r="T114" s="105"/>
      <c r="U114" s="104"/>
      <c r="V114" s="104"/>
      <c r="W114" s="104"/>
      <c r="X114" s="104"/>
      <c r="Y114" s="104"/>
      <c r="Z114" s="104"/>
      <c r="AA114" s="144"/>
      <c r="AB114" s="149"/>
      <c r="AC114" s="145"/>
      <c r="AD114" s="145"/>
      <c r="AE114" s="104"/>
      <c r="AF114" s="104"/>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row>
    <row r="115" spans="1:52" x14ac:dyDescent="0.2">
      <c r="A115" s="104"/>
      <c r="B115" s="104"/>
      <c r="C115" s="104"/>
      <c r="D115" s="105"/>
      <c r="E115" s="105"/>
      <c r="F115" s="105"/>
      <c r="G115" s="105"/>
      <c r="H115" s="105"/>
      <c r="I115" s="105"/>
      <c r="J115" s="105"/>
      <c r="K115" s="105"/>
      <c r="L115" s="105"/>
      <c r="M115" s="105"/>
      <c r="N115" s="105"/>
      <c r="O115" s="105"/>
      <c r="P115" s="105"/>
      <c r="Q115" s="105"/>
      <c r="R115" s="105"/>
      <c r="S115" s="105"/>
      <c r="T115" s="105"/>
      <c r="U115" s="104"/>
      <c r="V115" s="104"/>
      <c r="W115" s="104"/>
      <c r="X115" s="104"/>
      <c r="Y115" s="104"/>
      <c r="Z115" s="104"/>
      <c r="AA115" s="144"/>
      <c r="AB115" s="149"/>
      <c r="AC115" s="145"/>
      <c r="AD115" s="145"/>
      <c r="AE115" s="104"/>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row>
    <row r="116" spans="1:52" x14ac:dyDescent="0.2">
      <c r="A116" s="104"/>
      <c r="B116" s="104"/>
      <c r="C116" s="104"/>
      <c r="D116" s="105"/>
      <c r="E116" s="105"/>
      <c r="F116" s="105"/>
      <c r="G116" s="105"/>
      <c r="H116" s="105"/>
      <c r="I116" s="105"/>
      <c r="J116" s="105"/>
      <c r="K116" s="105"/>
      <c r="L116" s="105"/>
      <c r="M116" s="105"/>
      <c r="N116" s="105"/>
      <c r="O116" s="105"/>
      <c r="P116" s="105"/>
      <c r="Q116" s="105"/>
      <c r="R116" s="105"/>
      <c r="S116" s="105"/>
      <c r="T116" s="105"/>
      <c r="U116" s="104"/>
      <c r="V116" s="104"/>
      <c r="W116" s="104"/>
      <c r="X116" s="104"/>
      <c r="Y116" s="104"/>
      <c r="Z116" s="104"/>
      <c r="AA116" s="144"/>
      <c r="AB116" s="149"/>
      <c r="AC116" s="145"/>
      <c r="AD116" s="145"/>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row>
    <row r="117" spans="1:52" x14ac:dyDescent="0.2">
      <c r="A117" s="104"/>
      <c r="B117" s="104"/>
      <c r="C117" s="104"/>
      <c r="D117" s="105"/>
      <c r="E117" s="105"/>
      <c r="F117" s="105"/>
      <c r="G117" s="105"/>
      <c r="H117" s="105"/>
      <c r="I117" s="105"/>
      <c r="J117" s="105"/>
      <c r="K117" s="105"/>
      <c r="L117" s="105"/>
      <c r="M117" s="105"/>
      <c r="N117" s="105"/>
      <c r="O117" s="105"/>
      <c r="P117" s="105"/>
      <c r="Q117" s="105"/>
      <c r="R117" s="105"/>
      <c r="S117" s="105"/>
      <c r="T117" s="105"/>
      <c r="U117" s="104"/>
      <c r="V117" s="104"/>
      <c r="W117" s="104"/>
      <c r="X117" s="104"/>
      <c r="Y117" s="104"/>
      <c r="Z117" s="104"/>
      <c r="AA117" s="144"/>
      <c r="AB117" s="149"/>
      <c r="AC117" s="145"/>
      <c r="AD117" s="145"/>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row>
    <row r="118" spans="1:52" x14ac:dyDescent="0.2">
      <c r="A118" s="104"/>
      <c r="B118" s="104"/>
      <c r="C118" s="104"/>
      <c r="D118" s="105"/>
      <c r="E118" s="105"/>
      <c r="F118" s="105"/>
      <c r="G118" s="105"/>
      <c r="H118" s="105"/>
      <c r="I118" s="105"/>
      <c r="J118" s="105"/>
      <c r="K118" s="105"/>
      <c r="L118" s="105"/>
      <c r="M118" s="105"/>
      <c r="N118" s="105"/>
      <c r="O118" s="105"/>
      <c r="P118" s="105"/>
      <c r="Q118" s="105"/>
      <c r="R118" s="105"/>
      <c r="S118" s="105"/>
      <c r="T118" s="105"/>
      <c r="U118" s="104"/>
      <c r="V118" s="104"/>
      <c r="W118" s="104"/>
      <c r="X118" s="104"/>
      <c r="Y118" s="104"/>
      <c r="Z118" s="104"/>
      <c r="AA118" s="144"/>
      <c r="AB118" s="149"/>
      <c r="AC118" s="145"/>
      <c r="AD118" s="145"/>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row>
    <row r="119" spans="1:52" x14ac:dyDescent="0.2">
      <c r="A119" s="104"/>
      <c r="B119" s="104"/>
      <c r="C119" s="104"/>
      <c r="D119" s="105"/>
      <c r="E119" s="105"/>
      <c r="F119" s="105"/>
      <c r="G119" s="105"/>
      <c r="H119" s="105"/>
      <c r="I119" s="105"/>
      <c r="J119" s="105"/>
      <c r="K119" s="105"/>
      <c r="L119" s="105"/>
      <c r="M119" s="105"/>
      <c r="N119" s="105"/>
      <c r="O119" s="105"/>
      <c r="P119" s="105"/>
      <c r="Q119" s="105"/>
      <c r="R119" s="105"/>
      <c r="S119" s="105"/>
      <c r="T119" s="105"/>
      <c r="U119" s="104"/>
      <c r="V119" s="104"/>
      <c r="W119" s="104"/>
      <c r="X119" s="104"/>
      <c r="Y119" s="104"/>
      <c r="Z119" s="104"/>
      <c r="AA119" s="144"/>
      <c r="AB119" s="149"/>
      <c r="AC119" s="145"/>
      <c r="AD119" s="145"/>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row>
    <row r="120" spans="1:52" x14ac:dyDescent="0.2">
      <c r="A120" s="104"/>
      <c r="B120" s="104"/>
      <c r="C120" s="104"/>
      <c r="D120" s="105"/>
      <c r="E120" s="105"/>
      <c r="F120" s="105"/>
      <c r="G120" s="105"/>
      <c r="H120" s="105"/>
      <c r="I120" s="105"/>
      <c r="J120" s="105"/>
      <c r="K120" s="105"/>
      <c r="L120" s="105"/>
      <c r="M120" s="105"/>
      <c r="N120" s="105"/>
      <c r="O120" s="105"/>
      <c r="P120" s="105"/>
      <c r="Q120" s="105"/>
      <c r="R120" s="105"/>
      <c r="S120" s="105"/>
      <c r="T120" s="105"/>
      <c r="U120" s="104"/>
      <c r="V120" s="104"/>
      <c r="W120" s="104"/>
      <c r="X120" s="104"/>
      <c r="Y120" s="104"/>
      <c r="Z120" s="104"/>
      <c r="AA120" s="144"/>
      <c r="AB120" s="149"/>
      <c r="AC120" s="145"/>
      <c r="AD120" s="145"/>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row>
    <row r="121" spans="1:52" x14ac:dyDescent="0.2">
      <c r="A121" s="104"/>
      <c r="B121" s="104"/>
      <c r="C121" s="104"/>
      <c r="D121" s="105"/>
      <c r="E121" s="105"/>
      <c r="F121" s="105"/>
      <c r="G121" s="105"/>
      <c r="H121" s="105"/>
      <c r="I121" s="105"/>
      <c r="J121" s="105"/>
      <c r="K121" s="105"/>
      <c r="L121" s="105"/>
      <c r="M121" s="105"/>
      <c r="N121" s="105"/>
      <c r="O121" s="105"/>
      <c r="P121" s="105"/>
      <c r="Q121" s="105"/>
      <c r="R121" s="105"/>
      <c r="S121" s="105"/>
      <c r="T121" s="105"/>
      <c r="U121" s="104"/>
      <c r="V121" s="104"/>
      <c r="W121" s="104"/>
      <c r="X121" s="104"/>
      <c r="Y121" s="104"/>
      <c r="Z121" s="104"/>
      <c r="AA121" s="144"/>
      <c r="AB121" s="149"/>
      <c r="AC121" s="145"/>
      <c r="AD121" s="145"/>
      <c r="AE121" s="104"/>
      <c r="AF121" s="104"/>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row>
    <row r="122" spans="1:52" x14ac:dyDescent="0.2">
      <c r="A122" s="104"/>
      <c r="B122" s="104"/>
      <c r="C122" s="104"/>
      <c r="D122" s="105"/>
      <c r="E122" s="105"/>
      <c r="F122" s="105"/>
      <c r="G122" s="105"/>
      <c r="H122" s="105"/>
      <c r="I122" s="105"/>
      <c r="J122" s="105"/>
      <c r="K122" s="105"/>
      <c r="L122" s="105"/>
      <c r="M122" s="105"/>
      <c r="N122" s="105"/>
      <c r="O122" s="105"/>
      <c r="P122" s="105"/>
      <c r="Q122" s="105"/>
      <c r="R122" s="105"/>
      <c r="S122" s="105"/>
      <c r="T122" s="105"/>
      <c r="U122" s="104"/>
      <c r="V122" s="104"/>
      <c r="W122" s="104"/>
      <c r="X122" s="104"/>
      <c r="Y122" s="104"/>
      <c r="Z122" s="104"/>
      <c r="AA122" s="144"/>
      <c r="AB122" s="149"/>
      <c r="AC122" s="145"/>
      <c r="AD122" s="145"/>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row>
    <row r="123" spans="1:52" x14ac:dyDescent="0.2">
      <c r="A123" s="104"/>
      <c r="B123" s="104"/>
      <c r="C123" s="104"/>
      <c r="D123" s="105"/>
      <c r="E123" s="105"/>
      <c r="F123" s="105"/>
      <c r="G123" s="105"/>
      <c r="H123" s="105"/>
      <c r="I123" s="105"/>
      <c r="J123" s="105"/>
      <c r="K123" s="105"/>
      <c r="L123" s="105"/>
      <c r="M123" s="105"/>
      <c r="N123" s="105"/>
      <c r="O123" s="105"/>
      <c r="P123" s="105"/>
      <c r="Q123" s="105"/>
      <c r="R123" s="105"/>
      <c r="S123" s="105"/>
      <c r="T123" s="105"/>
      <c r="U123" s="104"/>
      <c r="V123" s="104"/>
      <c r="W123" s="104"/>
      <c r="X123" s="104"/>
      <c r="Y123" s="104"/>
      <c r="Z123" s="104"/>
      <c r="AA123" s="144"/>
      <c r="AB123" s="149"/>
      <c r="AC123" s="145"/>
      <c r="AD123" s="145"/>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row>
    <row r="124" spans="1:52" x14ac:dyDescent="0.2">
      <c r="A124" s="104"/>
      <c r="B124" s="104"/>
      <c r="C124" s="104"/>
      <c r="D124" s="105"/>
      <c r="E124" s="105"/>
      <c r="F124" s="105"/>
      <c r="G124" s="105"/>
      <c r="H124" s="105"/>
      <c r="I124" s="105"/>
      <c r="J124" s="105"/>
      <c r="K124" s="105"/>
      <c r="L124" s="105"/>
      <c r="M124" s="105"/>
      <c r="N124" s="105"/>
      <c r="O124" s="105"/>
      <c r="P124" s="105"/>
      <c r="Q124" s="105"/>
      <c r="R124" s="105"/>
      <c r="S124" s="105"/>
      <c r="T124" s="105"/>
      <c r="U124" s="104"/>
      <c r="V124" s="104"/>
      <c r="W124" s="104"/>
      <c r="X124" s="104"/>
      <c r="Y124" s="104"/>
      <c r="Z124" s="104"/>
      <c r="AA124" s="144"/>
      <c r="AB124" s="149"/>
      <c r="AC124" s="145"/>
      <c r="AD124" s="145"/>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row>
    <row r="125" spans="1:52" x14ac:dyDescent="0.2">
      <c r="A125" s="104"/>
      <c r="B125" s="104"/>
      <c r="C125" s="104"/>
      <c r="D125" s="105"/>
      <c r="E125" s="105"/>
      <c r="F125" s="105"/>
      <c r="G125" s="105"/>
      <c r="H125" s="105"/>
      <c r="I125" s="105"/>
      <c r="J125" s="105"/>
      <c r="K125" s="105"/>
      <c r="L125" s="105"/>
      <c r="M125" s="105"/>
      <c r="N125" s="105"/>
      <c r="O125" s="105"/>
      <c r="P125" s="105"/>
      <c r="Q125" s="105"/>
      <c r="R125" s="105"/>
      <c r="S125" s="105"/>
      <c r="T125" s="105"/>
      <c r="U125" s="104"/>
      <c r="V125" s="104"/>
      <c r="W125" s="104"/>
      <c r="X125" s="104"/>
      <c r="Y125" s="104"/>
      <c r="Z125" s="104"/>
      <c r="AA125" s="144"/>
      <c r="AB125" s="149"/>
      <c r="AC125" s="145"/>
      <c r="AD125" s="145"/>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row>
    <row r="126" spans="1:52" x14ac:dyDescent="0.2">
      <c r="A126" s="104"/>
      <c r="B126" s="104"/>
      <c r="C126" s="104"/>
      <c r="D126" s="105"/>
      <c r="E126" s="105"/>
      <c r="F126" s="105"/>
      <c r="G126" s="105"/>
      <c r="H126" s="105"/>
      <c r="I126" s="105"/>
      <c r="J126" s="105"/>
      <c r="K126" s="105"/>
      <c r="L126" s="105"/>
      <c r="M126" s="105"/>
      <c r="N126" s="105"/>
      <c r="O126" s="105"/>
      <c r="P126" s="105"/>
      <c r="Q126" s="105"/>
      <c r="R126" s="105"/>
      <c r="S126" s="105"/>
      <c r="T126" s="105"/>
      <c r="U126" s="104"/>
      <c r="V126" s="104"/>
      <c r="W126" s="104"/>
      <c r="X126" s="104"/>
      <c r="Y126" s="104"/>
      <c r="Z126" s="104"/>
      <c r="AA126" s="144"/>
      <c r="AB126" s="149"/>
      <c r="AC126" s="145"/>
      <c r="AD126" s="145"/>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row>
    <row r="127" spans="1:52" x14ac:dyDescent="0.2">
      <c r="A127" s="104"/>
      <c r="B127" s="104"/>
      <c r="C127" s="104"/>
      <c r="D127" s="105"/>
      <c r="E127" s="105"/>
      <c r="F127" s="105"/>
      <c r="G127" s="105"/>
      <c r="H127" s="105"/>
      <c r="I127" s="105"/>
      <c r="J127" s="105"/>
      <c r="K127" s="105"/>
      <c r="L127" s="105"/>
      <c r="M127" s="105"/>
      <c r="N127" s="105"/>
      <c r="O127" s="105"/>
      <c r="P127" s="105"/>
      <c r="Q127" s="105"/>
      <c r="R127" s="105"/>
      <c r="S127" s="105"/>
      <c r="T127" s="105"/>
      <c r="U127" s="104"/>
      <c r="V127" s="104"/>
      <c r="W127" s="104"/>
      <c r="X127" s="104"/>
      <c r="Y127" s="104"/>
      <c r="Z127" s="104"/>
      <c r="AA127" s="144"/>
      <c r="AB127" s="149"/>
      <c r="AC127" s="145"/>
      <c r="AD127" s="145"/>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row>
    <row r="128" spans="1:52" x14ac:dyDescent="0.2">
      <c r="A128" s="104"/>
      <c r="B128" s="104"/>
      <c r="C128" s="104"/>
      <c r="D128" s="105"/>
      <c r="E128" s="105"/>
      <c r="F128" s="105"/>
      <c r="G128" s="105"/>
      <c r="H128" s="105"/>
      <c r="I128" s="105"/>
      <c r="J128" s="105"/>
      <c r="K128" s="105"/>
      <c r="L128" s="105"/>
      <c r="M128" s="105"/>
      <c r="N128" s="105"/>
      <c r="O128" s="105"/>
      <c r="P128" s="105"/>
      <c r="Q128" s="105"/>
      <c r="R128" s="105"/>
      <c r="S128" s="105"/>
      <c r="T128" s="105"/>
      <c r="U128" s="104"/>
      <c r="V128" s="104"/>
      <c r="W128" s="104"/>
      <c r="X128" s="104"/>
      <c r="Y128" s="104"/>
      <c r="Z128" s="104"/>
      <c r="AA128" s="144"/>
      <c r="AB128" s="149"/>
      <c r="AC128" s="145"/>
      <c r="AD128" s="145"/>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row>
    <row r="129" spans="1:52" x14ac:dyDescent="0.2">
      <c r="A129" s="104"/>
      <c r="B129" s="104"/>
      <c r="C129" s="104"/>
      <c r="D129" s="105"/>
      <c r="E129" s="105"/>
      <c r="F129" s="105"/>
      <c r="G129" s="105"/>
      <c r="H129" s="105"/>
      <c r="I129" s="105"/>
      <c r="J129" s="105"/>
      <c r="K129" s="105"/>
      <c r="L129" s="105"/>
      <c r="M129" s="105"/>
      <c r="N129" s="105"/>
      <c r="O129" s="105"/>
      <c r="P129" s="105"/>
      <c r="Q129" s="105"/>
      <c r="R129" s="105"/>
      <c r="S129" s="105"/>
      <c r="T129" s="105"/>
      <c r="U129" s="104"/>
      <c r="V129" s="104"/>
      <c r="W129" s="104"/>
      <c r="X129" s="104"/>
      <c r="Y129" s="104"/>
      <c r="Z129" s="104"/>
      <c r="AA129" s="144"/>
      <c r="AB129" s="149"/>
      <c r="AC129" s="145"/>
      <c r="AD129" s="145"/>
      <c r="AE129" s="104"/>
      <c r="AF129" s="104"/>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row>
    <row r="130" spans="1:52" x14ac:dyDescent="0.2">
      <c r="A130" s="104"/>
      <c r="B130" s="104"/>
      <c r="C130" s="104"/>
      <c r="D130" s="105"/>
      <c r="E130" s="105"/>
      <c r="F130" s="105"/>
      <c r="G130" s="105"/>
      <c r="H130" s="105"/>
      <c r="I130" s="105"/>
      <c r="J130" s="105"/>
      <c r="K130" s="105"/>
      <c r="L130" s="105"/>
      <c r="M130" s="105"/>
      <c r="N130" s="105"/>
      <c r="O130" s="105"/>
      <c r="P130" s="105"/>
      <c r="Q130" s="105"/>
      <c r="R130" s="105"/>
      <c r="S130" s="105"/>
      <c r="T130" s="105"/>
      <c r="U130" s="104"/>
      <c r="V130" s="104"/>
      <c r="W130" s="104"/>
      <c r="X130" s="104"/>
      <c r="Y130" s="104"/>
      <c r="Z130" s="104"/>
      <c r="AA130" s="144"/>
      <c r="AB130" s="149"/>
      <c r="AC130" s="145"/>
      <c r="AD130" s="145"/>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row>
    <row r="131" spans="1:52" x14ac:dyDescent="0.2">
      <c r="A131" s="104"/>
      <c r="B131" s="104"/>
      <c r="C131" s="104"/>
      <c r="D131" s="105"/>
      <c r="E131" s="105"/>
      <c r="F131" s="105"/>
      <c r="G131" s="105"/>
      <c r="H131" s="105"/>
      <c r="I131" s="105"/>
      <c r="J131" s="105"/>
      <c r="K131" s="105"/>
      <c r="L131" s="105"/>
      <c r="M131" s="105"/>
      <c r="N131" s="105"/>
      <c r="O131" s="105"/>
      <c r="P131" s="105"/>
      <c r="Q131" s="105"/>
      <c r="R131" s="105"/>
      <c r="S131" s="105"/>
      <c r="T131" s="105"/>
      <c r="U131" s="104"/>
      <c r="V131" s="104"/>
      <c r="W131" s="104"/>
      <c r="X131" s="104"/>
      <c r="Y131" s="104"/>
      <c r="Z131" s="104"/>
      <c r="AA131" s="144"/>
      <c r="AB131" s="149"/>
      <c r="AC131" s="145"/>
      <c r="AD131" s="145"/>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row>
    <row r="132" spans="1:52" x14ac:dyDescent="0.2">
      <c r="A132" s="104"/>
      <c r="B132" s="104"/>
      <c r="C132" s="104"/>
      <c r="D132" s="105"/>
      <c r="E132" s="105"/>
      <c r="F132" s="105"/>
      <c r="G132" s="105"/>
      <c r="H132" s="105"/>
      <c r="I132" s="105"/>
      <c r="J132" s="105"/>
      <c r="K132" s="105"/>
      <c r="L132" s="105"/>
      <c r="M132" s="105"/>
      <c r="N132" s="105"/>
      <c r="O132" s="105"/>
      <c r="P132" s="105"/>
      <c r="Q132" s="105"/>
      <c r="R132" s="105"/>
      <c r="S132" s="105"/>
      <c r="T132" s="105"/>
      <c r="U132" s="104"/>
      <c r="V132" s="104"/>
      <c r="W132" s="104"/>
      <c r="X132" s="104"/>
      <c r="Y132" s="104"/>
      <c r="Z132" s="104"/>
      <c r="AA132" s="150"/>
      <c r="AB132" s="105"/>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row>
  </sheetData>
  <mergeCells count="3">
    <mergeCell ref="E69:P69"/>
    <mergeCell ref="B77:C77"/>
    <mergeCell ref="E77:P7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162"/>
  <sheetViews>
    <sheetView topLeftCell="A11" zoomScale="79" zoomScaleNormal="70" workbookViewId="0">
      <selection activeCell="A20" sqref="A20"/>
    </sheetView>
  </sheetViews>
  <sheetFormatPr defaultColWidth="9.42578125" defaultRowHeight="15" x14ac:dyDescent="0.2"/>
  <cols>
    <col min="1" max="2" width="9.42578125" style="140"/>
    <col min="3" max="3" width="29" style="140" customWidth="1"/>
    <col min="4" max="5" width="8.5703125" style="141" customWidth="1"/>
    <col min="6" max="6" width="7.42578125" style="141" customWidth="1"/>
    <col min="7" max="7" width="6.42578125" style="141" customWidth="1"/>
    <col min="8" max="9" width="7.42578125" style="141" customWidth="1"/>
    <col min="10" max="10" width="8.42578125" style="141" customWidth="1"/>
    <col min="11" max="11" width="6.5703125" style="141" customWidth="1"/>
    <col min="12" max="12" width="8.42578125" style="141" customWidth="1"/>
    <col min="13" max="17" width="8.5703125" style="141" customWidth="1"/>
    <col min="18" max="18" width="10.42578125" style="141" customWidth="1"/>
    <col min="19" max="19" width="12.5703125" style="141" customWidth="1"/>
    <col min="20" max="20" width="16.5703125" style="141" customWidth="1"/>
    <col min="21" max="21" width="12.5703125" style="140" customWidth="1"/>
    <col min="22" max="22" width="15.5703125" style="140" customWidth="1"/>
    <col min="23" max="26" width="9.42578125" style="140"/>
    <col min="27" max="27" width="22.5703125" style="143" customWidth="1"/>
    <col min="28" max="28" width="12.5703125" style="141" bestFit="1" customWidth="1"/>
    <col min="29" max="29" width="61.5703125" style="140" bestFit="1" customWidth="1"/>
    <col min="30" max="30" width="11.42578125" style="140" customWidth="1"/>
    <col min="31" max="31" width="10.42578125" style="140" bestFit="1" customWidth="1"/>
    <col min="32" max="36" width="9.42578125" style="140"/>
    <col min="37" max="40" width="24.42578125" style="140" customWidth="1"/>
    <col min="41" max="16384" width="9.42578125" style="140"/>
  </cols>
  <sheetData>
    <row r="1" spans="1:37" x14ac:dyDescent="0.2">
      <c r="A1" s="104"/>
      <c r="B1" s="104"/>
      <c r="C1" s="104"/>
      <c r="D1" s="105"/>
      <c r="E1" s="155"/>
      <c r="F1" s="105"/>
      <c r="G1" s="105"/>
      <c r="H1" s="105"/>
      <c r="I1" s="105"/>
      <c r="J1" s="105"/>
      <c r="K1" s="105"/>
      <c r="L1" s="105"/>
      <c r="M1" s="105"/>
      <c r="N1" s="105"/>
      <c r="O1" s="105"/>
      <c r="P1" s="105"/>
      <c r="Q1" s="105"/>
      <c r="R1" s="105"/>
      <c r="S1" s="105"/>
      <c r="T1" s="105"/>
      <c r="U1" s="104"/>
      <c r="V1" s="104"/>
      <c r="W1" s="104"/>
      <c r="X1" s="104"/>
      <c r="Y1" s="104"/>
      <c r="Z1" s="104"/>
      <c r="AA1" s="150"/>
      <c r="AB1" s="105"/>
      <c r="AC1" s="104"/>
      <c r="AD1" s="104"/>
      <c r="AE1" s="104"/>
      <c r="AF1" s="104"/>
      <c r="AG1" s="104"/>
      <c r="AH1" s="104"/>
      <c r="AI1" s="104"/>
      <c r="AJ1" s="104"/>
      <c r="AK1" s="104"/>
    </row>
    <row r="2" spans="1:37" x14ac:dyDescent="0.2">
      <c r="A2" s="104"/>
      <c r="B2" s="104"/>
      <c r="C2" s="155">
        <v>43830</v>
      </c>
      <c r="D2" s="105"/>
      <c r="E2" s="105"/>
      <c r="F2" s="105"/>
      <c r="G2" s="105"/>
      <c r="H2" s="105"/>
      <c r="I2" s="105"/>
      <c r="J2" s="105"/>
      <c r="K2" s="105"/>
      <c r="L2" s="105"/>
      <c r="M2" s="105"/>
      <c r="N2" s="105"/>
      <c r="O2" s="105"/>
      <c r="P2" s="105"/>
      <c r="Q2" s="105"/>
      <c r="R2" s="105"/>
      <c r="S2" s="105"/>
      <c r="T2" s="105"/>
      <c r="U2" s="104"/>
      <c r="V2" s="104"/>
      <c r="W2" s="104"/>
      <c r="X2" s="104"/>
      <c r="Y2" s="104"/>
      <c r="Z2" s="104"/>
      <c r="AA2" s="150"/>
      <c r="AB2" s="105"/>
      <c r="AC2" s="104"/>
      <c r="AD2" s="104"/>
      <c r="AE2" s="104"/>
      <c r="AF2" s="104"/>
      <c r="AG2" s="104"/>
      <c r="AH2" s="104"/>
      <c r="AI2" s="104"/>
      <c r="AJ2" s="104"/>
      <c r="AK2" s="104"/>
    </row>
    <row r="3" spans="1:37" x14ac:dyDescent="0.2">
      <c r="A3" s="104"/>
      <c r="B3" s="104"/>
      <c r="C3" s="105"/>
      <c r="D3" s="105"/>
      <c r="E3" s="105"/>
      <c r="F3" s="105"/>
      <c r="G3" s="105"/>
      <c r="H3" s="105"/>
      <c r="I3" s="105"/>
      <c r="J3" s="105"/>
      <c r="K3" s="105"/>
      <c r="L3" s="105"/>
      <c r="M3" s="105"/>
      <c r="N3" s="105"/>
      <c r="O3" s="105"/>
      <c r="P3" s="105"/>
      <c r="Q3" s="105"/>
      <c r="R3" s="105"/>
      <c r="S3" s="105"/>
      <c r="T3" s="105"/>
      <c r="U3" s="104"/>
      <c r="V3" s="104"/>
      <c r="W3" s="104"/>
      <c r="X3" s="104"/>
      <c r="Y3" s="104"/>
      <c r="Z3" s="104"/>
      <c r="AA3" s="150"/>
      <c r="AB3" s="105"/>
      <c r="AC3" s="104" t="s">
        <v>287</v>
      </c>
      <c r="AD3" s="104"/>
      <c r="AE3" s="104"/>
      <c r="AF3" s="104"/>
      <c r="AG3" s="104"/>
      <c r="AH3" s="104"/>
      <c r="AI3" s="104"/>
      <c r="AJ3" s="104"/>
      <c r="AK3" s="104"/>
    </row>
    <row r="4" spans="1:37" x14ac:dyDescent="0.2">
      <c r="A4" s="104"/>
      <c r="B4" s="104"/>
      <c r="C4" s="187"/>
      <c r="D4" s="187"/>
      <c r="E4" s="187"/>
      <c r="F4" s="187"/>
      <c r="G4" s="187"/>
      <c r="H4" s="187"/>
      <c r="I4" s="187"/>
      <c r="J4" s="187"/>
      <c r="K4" s="187"/>
      <c r="L4" s="187"/>
      <c r="M4" s="187"/>
      <c r="N4" s="187"/>
      <c r="O4" s="187"/>
      <c r="P4" s="187"/>
      <c r="Q4" s="187"/>
      <c r="R4" s="105"/>
      <c r="S4" s="105"/>
      <c r="T4" s="105"/>
      <c r="U4" s="104"/>
      <c r="V4" s="104"/>
      <c r="W4" s="104"/>
      <c r="X4" s="104"/>
      <c r="Y4" s="104"/>
      <c r="Z4" s="104"/>
      <c r="AA4" s="171" t="s">
        <v>144</v>
      </c>
      <c r="AB4" s="172" t="s">
        <v>147</v>
      </c>
      <c r="AC4" s="173" t="s">
        <v>288</v>
      </c>
      <c r="AD4" s="186" t="s">
        <v>289</v>
      </c>
      <c r="AE4" s="173" t="s">
        <v>102</v>
      </c>
      <c r="AF4" s="104"/>
      <c r="AG4" s="104"/>
      <c r="AH4" s="104"/>
      <c r="AI4" s="104"/>
      <c r="AJ4" s="104"/>
      <c r="AK4" s="104"/>
    </row>
    <row r="5" spans="1:37" x14ac:dyDescent="0.2">
      <c r="A5" s="104"/>
      <c r="B5" s="104"/>
      <c r="C5" s="104"/>
      <c r="D5" s="105"/>
      <c r="E5" s="105"/>
      <c r="F5" s="105"/>
      <c r="G5" s="105"/>
      <c r="H5" s="105"/>
      <c r="I5" s="105"/>
      <c r="J5" s="105"/>
      <c r="K5" s="105"/>
      <c r="L5" s="105"/>
      <c r="M5" s="105"/>
      <c r="N5" s="105"/>
      <c r="O5" s="105"/>
      <c r="P5" s="105"/>
      <c r="Q5" s="105"/>
      <c r="R5" s="105"/>
      <c r="S5" s="105"/>
      <c r="T5" s="105"/>
      <c r="U5" s="104"/>
      <c r="V5" s="104"/>
      <c r="W5" s="104"/>
      <c r="X5" s="104"/>
      <c r="Y5" s="104"/>
      <c r="Z5" s="104"/>
      <c r="AA5" s="171">
        <v>43551</v>
      </c>
      <c r="AB5" s="172">
        <v>2018</v>
      </c>
      <c r="AC5" s="173" t="s">
        <v>170</v>
      </c>
      <c r="AD5" s="186">
        <v>389</v>
      </c>
      <c r="AE5" s="173" t="s">
        <v>102</v>
      </c>
      <c r="AF5" s="104"/>
      <c r="AG5" s="104"/>
      <c r="AH5" s="104"/>
      <c r="AI5" s="104"/>
      <c r="AJ5" s="104"/>
      <c r="AK5" s="104"/>
    </row>
    <row r="6" spans="1:37" ht="15.75" thickBot="1" x14ac:dyDescent="0.25">
      <c r="A6" s="104"/>
      <c r="B6" s="104"/>
      <c r="C6" s="104"/>
      <c r="D6" s="105"/>
      <c r="E6" s="105"/>
      <c r="F6" s="105"/>
      <c r="G6" s="105"/>
      <c r="H6" s="105"/>
      <c r="I6" s="105"/>
      <c r="J6" s="105"/>
      <c r="K6" s="105"/>
      <c r="L6" s="105" t="s">
        <v>290</v>
      </c>
      <c r="M6" s="105"/>
      <c r="N6" s="105"/>
      <c r="O6" s="105"/>
      <c r="P6" s="105"/>
      <c r="Q6" s="105"/>
      <c r="R6" s="105"/>
      <c r="S6" s="105"/>
      <c r="T6" s="105"/>
      <c r="U6" s="104"/>
      <c r="V6" s="104"/>
      <c r="W6" s="104"/>
      <c r="X6" s="104"/>
      <c r="Y6" s="104"/>
      <c r="Z6" s="104"/>
      <c r="AA6" s="171">
        <v>43551</v>
      </c>
      <c r="AB6" s="172">
        <v>2018</v>
      </c>
      <c r="AC6" s="173" t="s">
        <v>291</v>
      </c>
      <c r="AD6" s="186">
        <v>75</v>
      </c>
      <c r="AE6" s="173" t="s">
        <v>102</v>
      </c>
      <c r="AF6" s="104"/>
      <c r="AG6" s="104"/>
      <c r="AH6" s="104"/>
      <c r="AI6" s="104"/>
      <c r="AJ6" s="104"/>
      <c r="AK6" s="104"/>
    </row>
    <row r="7" spans="1:37" ht="16.5" thickBot="1" x14ac:dyDescent="0.3">
      <c r="A7" s="106"/>
      <c r="B7" s="107" t="s">
        <v>0</v>
      </c>
      <c r="C7" s="108"/>
      <c r="D7" s="170"/>
      <c r="E7" s="170"/>
      <c r="F7" s="170"/>
      <c r="G7" s="170"/>
      <c r="H7" s="170"/>
      <c r="I7" s="170"/>
      <c r="J7" s="170"/>
      <c r="K7" s="170"/>
      <c r="L7" s="170"/>
      <c r="M7" s="170"/>
      <c r="N7" s="170"/>
      <c r="O7" s="170"/>
      <c r="P7" s="170"/>
      <c r="Q7" s="170"/>
      <c r="R7" s="170"/>
      <c r="S7" s="170"/>
      <c r="T7" s="151"/>
      <c r="U7" s="107" t="s">
        <v>0</v>
      </c>
      <c r="V7" s="108"/>
      <c r="W7" s="104"/>
      <c r="X7" s="104"/>
      <c r="Y7" s="104"/>
      <c r="Z7" s="104"/>
      <c r="AA7" s="171">
        <v>43551</v>
      </c>
      <c r="AB7" s="172">
        <v>2018</v>
      </c>
      <c r="AC7" s="173" t="s">
        <v>292</v>
      </c>
      <c r="AD7" s="186">
        <v>75</v>
      </c>
      <c r="AE7" s="173" t="s">
        <v>102</v>
      </c>
      <c r="AF7" s="104"/>
      <c r="AG7" s="104"/>
      <c r="AH7" s="104"/>
      <c r="AI7" s="104"/>
      <c r="AJ7" s="104"/>
      <c r="AK7" s="104"/>
    </row>
    <row r="8" spans="1:37" ht="63.75" thickBot="1" x14ac:dyDescent="0.3">
      <c r="A8" s="248" t="s">
        <v>60</v>
      </c>
      <c r="B8" s="83" t="s">
        <v>3</v>
      </c>
      <c r="C8" s="55" t="s">
        <v>2</v>
      </c>
      <c r="D8" s="57" t="s">
        <v>293</v>
      </c>
      <c r="E8" s="103" t="s">
        <v>4</v>
      </c>
      <c r="F8" s="58" t="s">
        <v>5</v>
      </c>
      <c r="G8" s="58" t="s">
        <v>6</v>
      </c>
      <c r="H8" s="58" t="s">
        <v>7</v>
      </c>
      <c r="I8" s="58" t="s">
        <v>8</v>
      </c>
      <c r="J8" s="58" t="s">
        <v>9</v>
      </c>
      <c r="K8" s="58" t="s">
        <v>10</v>
      </c>
      <c r="L8" s="58" t="s">
        <v>11</v>
      </c>
      <c r="M8" s="58" t="s">
        <v>12</v>
      </c>
      <c r="N8" s="58" t="s">
        <v>13</v>
      </c>
      <c r="O8" s="58" t="s">
        <v>14</v>
      </c>
      <c r="P8" s="58" t="s">
        <v>15</v>
      </c>
      <c r="Q8" s="59" t="s">
        <v>16</v>
      </c>
      <c r="R8" s="60" t="s">
        <v>294</v>
      </c>
      <c r="S8" s="57" t="s">
        <v>19</v>
      </c>
      <c r="T8" s="61" t="s">
        <v>41</v>
      </c>
      <c r="U8" s="83" t="s">
        <v>3</v>
      </c>
      <c r="V8" s="55" t="s">
        <v>2</v>
      </c>
      <c r="W8" s="104"/>
      <c r="X8" s="104"/>
      <c r="Y8" s="104"/>
      <c r="Z8" s="104"/>
      <c r="AA8" s="171">
        <v>43551</v>
      </c>
      <c r="AB8" s="172">
        <v>2018</v>
      </c>
      <c r="AC8" s="173" t="s">
        <v>295</v>
      </c>
      <c r="AD8" s="186">
        <v>75</v>
      </c>
      <c r="AE8" s="173" t="s">
        <v>102</v>
      </c>
      <c r="AF8" s="104"/>
      <c r="AG8" s="104"/>
      <c r="AH8" s="104"/>
      <c r="AI8" s="104"/>
      <c r="AJ8" s="104"/>
      <c r="AK8" s="104"/>
    </row>
    <row r="9" spans="1:37" x14ac:dyDescent="0.2">
      <c r="A9" s="249"/>
      <c r="B9" s="110"/>
      <c r="C9" s="435"/>
      <c r="D9" s="436"/>
      <c r="E9" s="436">
        <v>1</v>
      </c>
      <c r="F9" s="436"/>
      <c r="G9" s="436"/>
      <c r="H9" s="436"/>
      <c r="I9" s="436"/>
      <c r="J9" s="436"/>
      <c r="K9" s="436"/>
      <c r="L9" s="436"/>
      <c r="M9" s="436"/>
      <c r="N9" s="436"/>
      <c r="O9" s="436"/>
      <c r="P9" s="436"/>
      <c r="Q9" s="436"/>
      <c r="R9" s="250"/>
      <c r="S9" s="465"/>
      <c r="T9" s="153"/>
      <c r="U9" s="110"/>
      <c r="V9" s="435"/>
      <c r="W9" s="104"/>
      <c r="X9" s="104"/>
      <c r="Y9" s="104"/>
      <c r="Z9" s="104"/>
      <c r="AA9" s="171">
        <v>43551</v>
      </c>
      <c r="AB9" s="172">
        <v>2018</v>
      </c>
      <c r="AC9" s="173" t="s">
        <v>296</v>
      </c>
      <c r="AD9" s="186">
        <v>282</v>
      </c>
      <c r="AE9" s="173" t="s">
        <v>102</v>
      </c>
      <c r="AF9" s="104"/>
      <c r="AG9" s="104"/>
      <c r="AH9" s="104"/>
      <c r="AI9" s="104"/>
      <c r="AJ9" s="104"/>
      <c r="AK9" s="104"/>
    </row>
    <row r="10" spans="1:37" x14ac:dyDescent="0.2">
      <c r="A10" s="252">
        <v>22384</v>
      </c>
      <c r="B10" s="492">
        <v>2014</v>
      </c>
      <c r="C10" s="252" t="s">
        <v>26</v>
      </c>
      <c r="D10" s="255">
        <v>8</v>
      </c>
      <c r="E10" s="255">
        <v>8</v>
      </c>
      <c r="F10" s="260"/>
      <c r="G10" s="260"/>
      <c r="H10" s="260"/>
      <c r="I10" s="260"/>
      <c r="J10" s="260"/>
      <c r="K10" s="260"/>
      <c r="L10" s="260"/>
      <c r="M10" s="260"/>
      <c r="N10" s="260"/>
      <c r="O10" s="260"/>
      <c r="P10" s="260"/>
      <c r="Q10" s="466">
        <f>SUM(E10:P10)</f>
        <v>8</v>
      </c>
      <c r="R10" s="359">
        <f>IFERROR((AVERAGE(E10:P10)),0)</f>
        <v>8</v>
      </c>
      <c r="S10" s="360">
        <f>IFERROR((T10/R10),0)</f>
        <v>0</v>
      </c>
      <c r="T10" s="154">
        <f>SUM(D10-Q10)</f>
        <v>0</v>
      </c>
      <c r="U10" s="492">
        <v>2014</v>
      </c>
      <c r="V10" s="252" t="s">
        <v>26</v>
      </c>
      <c r="W10" s="104"/>
      <c r="X10" s="104"/>
      <c r="Y10" s="104"/>
      <c r="Z10" s="104"/>
      <c r="AA10" s="171">
        <v>43551</v>
      </c>
      <c r="AB10" s="172">
        <v>2018</v>
      </c>
      <c r="AC10" s="173" t="s">
        <v>297</v>
      </c>
      <c r="AD10" s="186">
        <v>446</v>
      </c>
      <c r="AE10" s="173" t="s">
        <v>102</v>
      </c>
      <c r="AF10" s="104"/>
      <c r="AG10" s="104"/>
      <c r="AH10" s="104"/>
      <c r="AI10" s="104"/>
      <c r="AJ10" s="104"/>
      <c r="AK10" s="104"/>
    </row>
    <row r="11" spans="1:37" x14ac:dyDescent="0.2">
      <c r="A11" s="252">
        <v>115264</v>
      </c>
      <c r="B11" s="253">
        <v>2014</v>
      </c>
      <c r="C11" s="252" t="s">
        <v>225</v>
      </c>
      <c r="D11" s="255">
        <v>123</v>
      </c>
      <c r="E11" s="255">
        <v>10</v>
      </c>
      <c r="F11" s="255">
        <v>11</v>
      </c>
      <c r="G11" s="255">
        <v>10</v>
      </c>
      <c r="H11" s="255">
        <v>9</v>
      </c>
      <c r="I11" s="255">
        <f>83-69</f>
        <v>14</v>
      </c>
      <c r="J11" s="255">
        <v>5</v>
      </c>
      <c r="K11" s="255">
        <v>9</v>
      </c>
      <c r="L11" s="255">
        <v>4</v>
      </c>
      <c r="M11" s="255">
        <f>51-43</f>
        <v>8</v>
      </c>
      <c r="N11" s="255">
        <v>12</v>
      </c>
      <c r="O11" s="255">
        <v>13</v>
      </c>
      <c r="P11" s="255">
        <f>6-3</f>
        <v>3</v>
      </c>
      <c r="Q11" s="466">
        <f>SUM(E11:P11)</f>
        <v>108</v>
      </c>
      <c r="R11" s="359">
        <f t="shared" ref="R11" si="0">IFERROR((AVERAGE(E11:P11)),0)</f>
        <v>9</v>
      </c>
      <c r="S11" s="360">
        <f>IFERROR((T11/R11),0)</f>
        <v>1.6666666666666667</v>
      </c>
      <c r="T11" s="461">
        <f>SUM(D11-Q11)</f>
        <v>15</v>
      </c>
      <c r="U11" s="253">
        <f>+B11</f>
        <v>2014</v>
      </c>
      <c r="V11" s="252" t="s">
        <v>225</v>
      </c>
      <c r="W11" s="104"/>
      <c r="X11" s="104"/>
      <c r="Y11" s="104"/>
      <c r="Z11" s="104"/>
      <c r="AA11" s="171">
        <v>43142</v>
      </c>
      <c r="AB11" s="172">
        <v>2018</v>
      </c>
      <c r="AC11" s="173" t="s">
        <v>298</v>
      </c>
      <c r="AD11" s="186">
        <v>50</v>
      </c>
      <c r="AE11" s="173" t="s">
        <v>102</v>
      </c>
      <c r="AF11" s="104"/>
      <c r="AG11" s="104"/>
      <c r="AH11" s="104"/>
      <c r="AI11" s="104"/>
      <c r="AJ11" s="104"/>
      <c r="AK11" s="104"/>
    </row>
    <row r="12" spans="1:37" x14ac:dyDescent="0.2">
      <c r="A12" s="249"/>
      <c r="B12" s="249"/>
      <c r="C12" s="249"/>
      <c r="D12" s="251"/>
      <c r="E12" s="251"/>
      <c r="F12" s="251"/>
      <c r="G12" s="251"/>
      <c r="H12" s="251"/>
      <c r="I12" s="251"/>
      <c r="J12" s="251"/>
      <c r="K12" s="251"/>
      <c r="L12" s="251"/>
      <c r="M12" s="251"/>
      <c r="N12" s="251"/>
      <c r="O12" s="251"/>
      <c r="P12" s="251"/>
      <c r="Q12" s="356"/>
      <c r="R12" s="357"/>
      <c r="S12" s="358"/>
      <c r="T12" s="462"/>
      <c r="U12" s="249"/>
      <c r="V12" s="249"/>
      <c r="W12" s="104"/>
      <c r="X12" s="104"/>
      <c r="Y12" s="104"/>
      <c r="Z12" s="104"/>
      <c r="AA12" s="171">
        <v>43142</v>
      </c>
      <c r="AB12" s="172">
        <v>2018</v>
      </c>
      <c r="AC12" s="173" t="s">
        <v>299</v>
      </c>
      <c r="AD12" s="186">
        <v>273</v>
      </c>
      <c r="AE12" s="173" t="s">
        <v>102</v>
      </c>
      <c r="AF12" s="104"/>
      <c r="AG12" s="104"/>
      <c r="AH12" s="104"/>
      <c r="AI12" s="104"/>
      <c r="AJ12" s="104"/>
      <c r="AK12" s="104"/>
    </row>
    <row r="13" spans="1:37" x14ac:dyDescent="0.2">
      <c r="A13" s="252">
        <v>30306</v>
      </c>
      <c r="B13" s="253">
        <v>2015</v>
      </c>
      <c r="C13" s="252" t="s">
        <v>244</v>
      </c>
      <c r="D13" s="255">
        <v>244</v>
      </c>
      <c r="E13" s="255">
        <v>0</v>
      </c>
      <c r="F13" s="255">
        <v>2</v>
      </c>
      <c r="G13" s="255">
        <v>1</v>
      </c>
      <c r="H13" s="255">
        <v>2</v>
      </c>
      <c r="I13" s="255">
        <v>0</v>
      </c>
      <c r="J13" s="255">
        <v>1</v>
      </c>
      <c r="K13" s="255">
        <v>1</v>
      </c>
      <c r="L13" s="255">
        <v>6</v>
      </c>
      <c r="M13" s="255">
        <v>2</v>
      </c>
      <c r="N13" s="255">
        <v>0</v>
      </c>
      <c r="O13" s="255">
        <v>2</v>
      </c>
      <c r="P13" s="255">
        <f>227-216</f>
        <v>11</v>
      </c>
      <c r="Q13" s="256">
        <f>SUM(E13:P13)</f>
        <v>28</v>
      </c>
      <c r="R13" s="359">
        <f>IFERROR((AVERAGE(E13:P13)),0)</f>
        <v>2.3333333333333335</v>
      </c>
      <c r="S13" s="360">
        <f t="shared" ref="S13:S14" si="1">IFERROR((T13/R13),0)</f>
        <v>92.571428571428569</v>
      </c>
      <c r="T13" s="461">
        <f>SUM(D13-Q13)</f>
        <v>216</v>
      </c>
      <c r="U13" s="253">
        <v>2015</v>
      </c>
      <c r="V13" s="252" t="s">
        <v>73</v>
      </c>
      <c r="W13" s="104"/>
      <c r="X13" s="104"/>
      <c r="Y13" s="104"/>
      <c r="Z13" s="104"/>
      <c r="AA13" s="171">
        <v>43142</v>
      </c>
      <c r="AB13" s="172">
        <v>2018</v>
      </c>
      <c r="AC13" s="173" t="s">
        <v>254</v>
      </c>
      <c r="AD13" s="186">
        <v>520</v>
      </c>
      <c r="AE13" s="173" t="s">
        <v>102</v>
      </c>
      <c r="AF13" s="104"/>
      <c r="AG13" s="104"/>
      <c r="AH13" s="104"/>
      <c r="AI13" s="104"/>
      <c r="AJ13" s="104"/>
      <c r="AK13" s="104"/>
    </row>
    <row r="14" spans="1:37" x14ac:dyDescent="0.2">
      <c r="A14" s="252">
        <v>84802</v>
      </c>
      <c r="B14" s="253">
        <v>2015</v>
      </c>
      <c r="C14" s="252" t="s">
        <v>93</v>
      </c>
      <c r="D14" s="255">
        <v>146</v>
      </c>
      <c r="E14" s="255">
        <v>12</v>
      </c>
      <c r="F14" s="255">
        <v>10</v>
      </c>
      <c r="G14" s="255">
        <v>7</v>
      </c>
      <c r="H14" s="255">
        <v>5</v>
      </c>
      <c r="I14" s="255">
        <f>112-104</f>
        <v>8</v>
      </c>
      <c r="J14" s="255">
        <v>5</v>
      </c>
      <c r="K14" s="255">
        <v>10</v>
      </c>
      <c r="L14" s="255">
        <v>12</v>
      </c>
      <c r="M14" s="255">
        <v>11</v>
      </c>
      <c r="N14" s="255">
        <v>16</v>
      </c>
      <c r="O14" s="255">
        <v>13</v>
      </c>
      <c r="P14" s="255">
        <f>7-4</f>
        <v>3</v>
      </c>
      <c r="Q14" s="256">
        <f t="shared" ref="Q14" si="2">SUM(E14:P14)</f>
        <v>112</v>
      </c>
      <c r="R14" s="359">
        <f t="shared" ref="R14" si="3">IFERROR((AVERAGE(E14:P14)),0)</f>
        <v>9.3333333333333339</v>
      </c>
      <c r="S14" s="360">
        <f t="shared" si="1"/>
        <v>3.6428571428571428</v>
      </c>
      <c r="T14" s="461">
        <f t="shared" ref="T14" si="4">SUM(D14-Q14)</f>
        <v>34</v>
      </c>
      <c r="U14" s="253">
        <v>2015</v>
      </c>
      <c r="V14" s="252" t="s">
        <v>93</v>
      </c>
      <c r="W14" s="104"/>
      <c r="X14" s="104"/>
      <c r="Y14" s="104"/>
      <c r="Z14" s="104"/>
      <c r="AA14" s="171">
        <v>43142</v>
      </c>
      <c r="AB14" s="172">
        <v>2018</v>
      </c>
      <c r="AC14" s="173" t="s">
        <v>300</v>
      </c>
      <c r="AD14" s="186">
        <v>74</v>
      </c>
      <c r="AE14" s="173" t="s">
        <v>102</v>
      </c>
      <c r="AF14" s="104"/>
      <c r="AG14" s="104"/>
      <c r="AH14" s="104"/>
      <c r="AI14" s="104"/>
      <c r="AJ14" s="104"/>
      <c r="AK14" s="104"/>
    </row>
    <row r="15" spans="1:37" x14ac:dyDescent="0.2">
      <c r="A15" s="249"/>
      <c r="B15" s="249"/>
      <c r="C15" s="249"/>
      <c r="D15" s="251"/>
      <c r="E15" s="251"/>
      <c r="F15" s="251"/>
      <c r="G15" s="251"/>
      <c r="H15" s="251"/>
      <c r="I15" s="251"/>
      <c r="J15" s="251"/>
      <c r="K15" s="251"/>
      <c r="L15" s="251"/>
      <c r="M15" s="251"/>
      <c r="N15" s="251"/>
      <c r="O15" s="251"/>
      <c r="P15" s="251"/>
      <c r="Q15" s="251"/>
      <c r="R15" s="251"/>
      <c r="S15" s="251"/>
      <c r="T15" s="251"/>
      <c r="U15" s="249"/>
      <c r="V15" s="249"/>
      <c r="W15" s="104"/>
      <c r="X15" s="104"/>
      <c r="Y15" s="104"/>
      <c r="Z15" s="104"/>
      <c r="AA15" s="171">
        <v>43142</v>
      </c>
      <c r="AB15" s="172">
        <v>2018</v>
      </c>
      <c r="AC15" s="173" t="s">
        <v>301</v>
      </c>
      <c r="AD15" s="186">
        <v>618</v>
      </c>
      <c r="AE15" s="173" t="s">
        <v>102</v>
      </c>
      <c r="AF15" s="104"/>
      <c r="AG15" s="104"/>
      <c r="AH15" s="104"/>
      <c r="AI15" s="104"/>
      <c r="AJ15" s="104"/>
      <c r="AK15" s="104"/>
    </row>
    <row r="16" spans="1:37" x14ac:dyDescent="0.2">
      <c r="A16" s="252">
        <v>57632</v>
      </c>
      <c r="B16" s="253">
        <v>2016</v>
      </c>
      <c r="C16" s="252" t="s">
        <v>31</v>
      </c>
      <c r="D16" s="255">
        <v>61</v>
      </c>
      <c r="E16" s="255">
        <v>21</v>
      </c>
      <c r="F16" s="255">
        <v>34</v>
      </c>
      <c r="G16" s="255">
        <v>6</v>
      </c>
      <c r="H16" s="260"/>
      <c r="I16" s="260"/>
      <c r="J16" s="260"/>
      <c r="K16" s="260"/>
      <c r="L16" s="260"/>
      <c r="M16" s="260"/>
      <c r="N16" s="260"/>
      <c r="O16" s="260"/>
      <c r="P16" s="260"/>
      <c r="Q16" s="256">
        <f>SUM(E16:P16)</f>
        <v>61</v>
      </c>
      <c r="R16" s="359">
        <f t="shared" ref="R16:R24" si="5">IFERROR((AVERAGE(E16:P16)),0)</f>
        <v>20.333333333333332</v>
      </c>
      <c r="S16" s="360">
        <f t="shared" ref="S16:S24" si="6">IFERROR((T16/R16),0)</f>
        <v>0</v>
      </c>
      <c r="T16" s="461">
        <f>SUM(D16-Q16)</f>
        <v>0</v>
      </c>
      <c r="U16" s="112">
        <v>2016</v>
      </c>
      <c r="V16" s="252" t="s">
        <v>31</v>
      </c>
      <c r="W16" s="104"/>
      <c r="X16" s="104"/>
      <c r="Y16" s="104"/>
      <c r="Z16" s="104"/>
      <c r="AA16" s="171"/>
      <c r="AB16" s="172"/>
      <c r="AC16" s="173"/>
      <c r="AD16" s="186"/>
      <c r="AE16" s="173" t="s">
        <v>102</v>
      </c>
      <c r="AF16" s="104"/>
      <c r="AG16" s="104"/>
      <c r="AH16" s="104"/>
      <c r="AI16" s="104"/>
      <c r="AJ16" s="104"/>
      <c r="AK16" s="104"/>
    </row>
    <row r="17" spans="1:37" ht="16.350000000000001" customHeight="1" x14ac:dyDescent="0.2">
      <c r="A17" s="252">
        <v>57630</v>
      </c>
      <c r="B17" s="253">
        <v>2016</v>
      </c>
      <c r="C17" s="252" t="s">
        <v>25</v>
      </c>
      <c r="D17" s="255">
        <v>366</v>
      </c>
      <c r="E17" s="255">
        <v>17</v>
      </c>
      <c r="F17" s="255">
        <v>25</v>
      </c>
      <c r="G17" s="255">
        <v>24</v>
      </c>
      <c r="H17" s="255">
        <v>20</v>
      </c>
      <c r="I17" s="255">
        <v>50</v>
      </c>
      <c r="J17" s="255">
        <v>25</v>
      </c>
      <c r="K17" s="255">
        <v>34</v>
      </c>
      <c r="L17" s="255">
        <v>34</v>
      </c>
      <c r="M17" s="255">
        <f>137-102</f>
        <v>35</v>
      </c>
      <c r="N17" s="255">
        <v>36</v>
      </c>
      <c r="O17" s="255">
        <v>41</v>
      </c>
      <c r="P17" s="255">
        <v>10</v>
      </c>
      <c r="Q17" s="256">
        <f>SUM(E17:P17)</f>
        <v>351</v>
      </c>
      <c r="R17" s="359">
        <f t="shared" si="5"/>
        <v>29.25</v>
      </c>
      <c r="S17" s="360">
        <f t="shared" si="6"/>
        <v>0.51282051282051277</v>
      </c>
      <c r="T17" s="461">
        <f>SUM(D17-Q17)</f>
        <v>15</v>
      </c>
      <c r="U17" s="112">
        <v>2016</v>
      </c>
      <c r="V17" s="252" t="s">
        <v>25</v>
      </c>
      <c r="W17" s="104"/>
      <c r="X17" s="104"/>
      <c r="Y17" s="104"/>
      <c r="Z17" s="104"/>
      <c r="AA17" s="171">
        <v>43626</v>
      </c>
      <c r="AB17" s="172">
        <v>2018</v>
      </c>
      <c r="AC17" s="173" t="s">
        <v>194</v>
      </c>
      <c r="AD17" s="186">
        <v>540</v>
      </c>
      <c r="AE17" s="173" t="s">
        <v>102</v>
      </c>
      <c r="AF17" s="104"/>
      <c r="AG17" s="104"/>
      <c r="AH17" s="104"/>
      <c r="AI17" s="104"/>
      <c r="AJ17" s="104"/>
      <c r="AK17" s="104"/>
    </row>
    <row r="18" spans="1:37" x14ac:dyDescent="0.2">
      <c r="A18" s="252">
        <v>133688</v>
      </c>
      <c r="B18" s="253">
        <v>2016</v>
      </c>
      <c r="C18" s="252" t="s">
        <v>23</v>
      </c>
      <c r="D18" s="255">
        <v>252</v>
      </c>
      <c r="E18" s="255">
        <v>31</v>
      </c>
      <c r="F18" s="255">
        <v>40</v>
      </c>
      <c r="G18" s="255">
        <v>18</v>
      </c>
      <c r="H18" s="255">
        <v>25</v>
      </c>
      <c r="I18" s="255">
        <f>138-98</f>
        <v>40</v>
      </c>
      <c r="J18" s="255">
        <v>32</v>
      </c>
      <c r="K18" s="255">
        <v>37</v>
      </c>
      <c r="L18" s="255">
        <v>0</v>
      </c>
      <c r="M18" s="255">
        <v>29</v>
      </c>
      <c r="N18" s="459"/>
      <c r="O18" s="459"/>
      <c r="P18" s="459"/>
      <c r="Q18" s="256">
        <f>SUM(E18:P18)</f>
        <v>252</v>
      </c>
      <c r="R18" s="359">
        <f t="shared" si="5"/>
        <v>28</v>
      </c>
      <c r="S18" s="360">
        <f t="shared" si="6"/>
        <v>0</v>
      </c>
      <c r="T18" s="461">
        <f>SUM(D18-Q18)</f>
        <v>0</v>
      </c>
      <c r="U18" s="112">
        <v>2016</v>
      </c>
      <c r="V18" s="252" t="s">
        <v>23</v>
      </c>
      <c r="W18" s="104"/>
      <c r="X18" s="104"/>
      <c r="Y18" s="104"/>
      <c r="Z18" s="104"/>
      <c r="AA18" s="171">
        <v>43626</v>
      </c>
      <c r="AB18" s="172">
        <v>2018</v>
      </c>
      <c r="AC18" s="173" t="s">
        <v>302</v>
      </c>
      <c r="AD18" s="186">
        <v>50</v>
      </c>
      <c r="AE18" s="173" t="s">
        <v>102</v>
      </c>
      <c r="AF18" s="104"/>
      <c r="AG18" s="104"/>
      <c r="AH18" s="104"/>
      <c r="AI18" s="104"/>
      <c r="AJ18" s="104"/>
      <c r="AK18" s="104"/>
    </row>
    <row r="19" spans="1:37" x14ac:dyDescent="0.2">
      <c r="A19" s="252">
        <v>133687</v>
      </c>
      <c r="B19" s="253">
        <v>2016</v>
      </c>
      <c r="C19" s="252" t="s">
        <v>93</v>
      </c>
      <c r="D19" s="255">
        <v>112</v>
      </c>
      <c r="E19" s="443">
        <v>0</v>
      </c>
      <c r="F19" s="443">
        <v>0</v>
      </c>
      <c r="G19" s="443">
        <v>0</v>
      </c>
      <c r="H19" s="443">
        <v>0</v>
      </c>
      <c r="I19" s="443">
        <v>0</v>
      </c>
      <c r="J19" s="443">
        <v>0</v>
      </c>
      <c r="K19" s="443">
        <v>0</v>
      </c>
      <c r="L19" s="443">
        <v>0</v>
      </c>
      <c r="M19" s="443">
        <v>0</v>
      </c>
      <c r="N19" s="443">
        <v>0</v>
      </c>
      <c r="O19" s="443">
        <v>0</v>
      </c>
      <c r="P19" s="443">
        <v>0</v>
      </c>
      <c r="Q19" s="256">
        <f t="shared" ref="Q19:Q24" si="7">SUM(E19:P19)</f>
        <v>0</v>
      </c>
      <c r="R19" s="359">
        <f t="shared" si="5"/>
        <v>0</v>
      </c>
      <c r="S19" s="360">
        <f t="shared" si="6"/>
        <v>0</v>
      </c>
      <c r="T19" s="461">
        <f t="shared" ref="T19:T24" si="8">SUM(D19-Q19)</f>
        <v>112</v>
      </c>
      <c r="U19" s="112">
        <v>2016</v>
      </c>
      <c r="V19" s="252" t="s">
        <v>93</v>
      </c>
      <c r="W19" s="104"/>
      <c r="X19" s="104"/>
      <c r="Y19" s="104"/>
      <c r="Z19" s="104"/>
      <c r="AA19" s="171">
        <v>43626</v>
      </c>
      <c r="AB19" s="172">
        <v>2018</v>
      </c>
      <c r="AC19" s="173" t="s">
        <v>303</v>
      </c>
      <c r="AD19" s="186">
        <v>352</v>
      </c>
      <c r="AE19" s="173" t="s">
        <v>102</v>
      </c>
      <c r="AF19" s="104"/>
      <c r="AG19" s="104"/>
      <c r="AH19" s="104"/>
      <c r="AI19" s="104"/>
      <c r="AJ19" s="104"/>
      <c r="AK19" s="104"/>
    </row>
    <row r="20" spans="1:37" x14ac:dyDescent="0.2">
      <c r="A20" s="252">
        <v>27736</v>
      </c>
      <c r="B20" s="253">
        <v>2016</v>
      </c>
      <c r="C20" s="252" t="s">
        <v>70</v>
      </c>
      <c r="D20" s="255">
        <v>343</v>
      </c>
      <c r="E20" s="255">
        <v>17</v>
      </c>
      <c r="F20" s="255">
        <v>30</v>
      </c>
      <c r="G20" s="255">
        <v>29</v>
      </c>
      <c r="H20" s="255">
        <v>22</v>
      </c>
      <c r="I20" s="255">
        <f>245-213</f>
        <v>32</v>
      </c>
      <c r="J20" s="255">
        <v>29</v>
      </c>
      <c r="K20" s="255">
        <v>32</v>
      </c>
      <c r="L20" s="255">
        <v>23</v>
      </c>
      <c r="M20" s="255">
        <f>129-94</f>
        <v>35</v>
      </c>
      <c r="N20" s="255">
        <v>41</v>
      </c>
      <c r="O20" s="255">
        <f>53-13</f>
        <v>40</v>
      </c>
      <c r="P20" s="255">
        <v>13</v>
      </c>
      <c r="Q20" s="256">
        <f>SUM(E20:P20)</f>
        <v>343</v>
      </c>
      <c r="R20" s="359">
        <f t="shared" si="5"/>
        <v>28.583333333333332</v>
      </c>
      <c r="S20" s="360">
        <f t="shared" si="6"/>
        <v>0</v>
      </c>
      <c r="T20" s="461">
        <f>SUM(D20-Q20)</f>
        <v>0</v>
      </c>
      <c r="U20" s="112">
        <v>2016</v>
      </c>
      <c r="V20" s="252" t="s">
        <v>70</v>
      </c>
      <c r="W20" s="104"/>
      <c r="X20" s="104"/>
      <c r="Y20" s="104"/>
      <c r="Z20" s="104"/>
      <c r="AA20" s="171">
        <v>43626</v>
      </c>
      <c r="AB20" s="172">
        <v>2018</v>
      </c>
      <c r="AC20" s="173" t="s">
        <v>304</v>
      </c>
      <c r="AD20" s="186">
        <v>112</v>
      </c>
      <c r="AE20" s="173" t="s">
        <v>102</v>
      </c>
      <c r="AF20" s="104"/>
      <c r="AG20" s="104"/>
      <c r="AH20" s="104"/>
      <c r="AI20" s="104"/>
      <c r="AJ20" s="104"/>
      <c r="AK20" s="104"/>
    </row>
    <row r="21" spans="1:37" x14ac:dyDescent="0.2">
      <c r="A21" s="252">
        <v>28361</v>
      </c>
      <c r="B21" s="253">
        <v>2016</v>
      </c>
      <c r="C21" s="252" t="s">
        <v>24</v>
      </c>
      <c r="D21" s="255">
        <v>109</v>
      </c>
      <c r="E21" s="255">
        <v>3</v>
      </c>
      <c r="F21" s="255">
        <v>12</v>
      </c>
      <c r="G21" s="255">
        <v>11</v>
      </c>
      <c r="H21" s="255">
        <v>3</v>
      </c>
      <c r="I21" s="255">
        <v>6</v>
      </c>
      <c r="J21" s="255">
        <v>9</v>
      </c>
      <c r="K21" s="255">
        <v>4</v>
      </c>
      <c r="L21" s="255">
        <v>15</v>
      </c>
      <c r="M21" s="255">
        <f>46-37</f>
        <v>9</v>
      </c>
      <c r="N21" s="255">
        <v>19</v>
      </c>
      <c r="O21" s="255">
        <v>11</v>
      </c>
      <c r="P21" s="255">
        <v>1</v>
      </c>
      <c r="Q21" s="256">
        <f>SUM(E21:P21)</f>
        <v>103</v>
      </c>
      <c r="R21" s="359">
        <f t="shared" si="5"/>
        <v>8.5833333333333339</v>
      </c>
      <c r="S21" s="360">
        <f t="shared" si="6"/>
        <v>0.69902912621359214</v>
      </c>
      <c r="T21" s="461">
        <f>SUM(D21-Q21)</f>
        <v>6</v>
      </c>
      <c r="U21" s="112">
        <v>2016</v>
      </c>
      <c r="V21" s="252" t="s">
        <v>24</v>
      </c>
      <c r="W21" s="104"/>
      <c r="X21" s="104"/>
      <c r="Y21" s="104"/>
      <c r="Z21" s="104"/>
      <c r="AA21" s="171">
        <v>43657</v>
      </c>
      <c r="AB21" s="172">
        <v>2018</v>
      </c>
      <c r="AC21" s="173" t="s">
        <v>25</v>
      </c>
      <c r="AD21" s="186">
        <v>383</v>
      </c>
      <c r="AE21" s="173" t="s">
        <v>102</v>
      </c>
      <c r="AF21" s="104"/>
      <c r="AG21" s="104"/>
      <c r="AH21" s="104"/>
      <c r="AI21" s="104"/>
      <c r="AJ21" s="104"/>
      <c r="AK21" s="104"/>
    </row>
    <row r="22" spans="1:37" x14ac:dyDescent="0.2">
      <c r="A22" s="252">
        <v>22921</v>
      </c>
      <c r="B22" s="253">
        <v>2016</v>
      </c>
      <c r="C22" s="252" t="s">
        <v>221</v>
      </c>
      <c r="D22" s="255">
        <v>647</v>
      </c>
      <c r="E22" s="255">
        <v>38</v>
      </c>
      <c r="F22" s="255">
        <v>42</v>
      </c>
      <c r="G22" s="255">
        <v>32</v>
      </c>
      <c r="H22" s="255">
        <v>33</v>
      </c>
      <c r="I22" s="255">
        <f>502-392</f>
        <v>110</v>
      </c>
      <c r="J22" s="255">
        <v>0</v>
      </c>
      <c r="K22" s="255">
        <v>25</v>
      </c>
      <c r="L22" s="255">
        <v>38</v>
      </c>
      <c r="M22" s="255">
        <f>329-272</f>
        <v>57</v>
      </c>
      <c r="N22" s="255">
        <v>50</v>
      </c>
      <c r="O22" s="255">
        <f>222-169</f>
        <v>53</v>
      </c>
      <c r="P22" s="255">
        <f>29-4</f>
        <v>25</v>
      </c>
      <c r="Q22" s="256">
        <f>SUM(E22:P22)</f>
        <v>503</v>
      </c>
      <c r="R22" s="359">
        <f t="shared" si="5"/>
        <v>41.916666666666664</v>
      </c>
      <c r="S22" s="360">
        <f t="shared" si="6"/>
        <v>3.4353876739562628</v>
      </c>
      <c r="T22" s="461">
        <f>SUM(D22-Q22)</f>
        <v>144</v>
      </c>
      <c r="U22" s="112">
        <v>2016</v>
      </c>
      <c r="V22" s="252" t="s">
        <v>22</v>
      </c>
      <c r="W22" s="104"/>
      <c r="X22" s="104"/>
      <c r="Y22" s="104"/>
      <c r="Z22" s="104"/>
      <c r="AA22" s="171">
        <v>43684</v>
      </c>
      <c r="AB22" s="172">
        <v>2018</v>
      </c>
      <c r="AC22" s="173" t="s">
        <v>305</v>
      </c>
      <c r="AD22" s="186">
        <v>666</v>
      </c>
      <c r="AE22" s="173" t="s">
        <v>102</v>
      </c>
      <c r="AF22" s="104"/>
      <c r="AG22" s="104"/>
      <c r="AH22" s="104"/>
      <c r="AI22" s="104"/>
      <c r="AJ22" s="104"/>
      <c r="AK22" s="104"/>
    </row>
    <row r="23" spans="1:37" x14ac:dyDescent="0.2">
      <c r="A23" s="361">
        <v>133685</v>
      </c>
      <c r="B23" s="253">
        <v>2016</v>
      </c>
      <c r="C23" s="361" t="s">
        <v>66</v>
      </c>
      <c r="D23" s="255">
        <v>510</v>
      </c>
      <c r="E23" s="255">
        <v>20</v>
      </c>
      <c r="F23" s="255">
        <v>28</v>
      </c>
      <c r="G23" s="255">
        <v>23</v>
      </c>
      <c r="H23" s="255">
        <v>30</v>
      </c>
      <c r="I23" s="255">
        <f>409-389</f>
        <v>20</v>
      </c>
      <c r="J23" s="255">
        <v>18</v>
      </c>
      <c r="K23" s="255">
        <v>20</v>
      </c>
      <c r="L23" s="255">
        <v>15</v>
      </c>
      <c r="M23" s="255">
        <f>336-303</f>
        <v>33</v>
      </c>
      <c r="N23" s="255">
        <v>30</v>
      </c>
      <c r="O23" s="255">
        <f>273-244</f>
        <v>29</v>
      </c>
      <c r="P23" s="255">
        <f>244-227-5</f>
        <v>12</v>
      </c>
      <c r="Q23" s="256">
        <f t="shared" si="7"/>
        <v>278</v>
      </c>
      <c r="R23" s="359">
        <f t="shared" si="5"/>
        <v>23.166666666666668</v>
      </c>
      <c r="S23" s="360">
        <f t="shared" si="6"/>
        <v>10.014388489208633</v>
      </c>
      <c r="T23" s="461">
        <f t="shared" si="8"/>
        <v>232</v>
      </c>
      <c r="U23" s="112">
        <v>2016</v>
      </c>
      <c r="V23" s="361" t="s">
        <v>66</v>
      </c>
      <c r="W23" s="104"/>
      <c r="X23" s="104"/>
      <c r="Y23" s="104"/>
      <c r="Z23" s="104"/>
      <c r="AA23" s="171">
        <v>43684</v>
      </c>
      <c r="AB23" s="172">
        <v>2018</v>
      </c>
      <c r="AC23" s="173" t="s">
        <v>26</v>
      </c>
      <c r="AD23" s="186">
        <v>415</v>
      </c>
      <c r="AE23" s="173" t="s">
        <v>102</v>
      </c>
      <c r="AF23" s="104"/>
      <c r="AG23" s="104"/>
      <c r="AH23" s="104"/>
      <c r="AI23" s="104"/>
      <c r="AJ23" s="104"/>
      <c r="AK23" s="104"/>
    </row>
    <row r="24" spans="1:37" x14ac:dyDescent="0.2">
      <c r="A24" s="252">
        <v>135370</v>
      </c>
      <c r="B24" s="253">
        <v>2016</v>
      </c>
      <c r="C24" s="252" t="s">
        <v>217</v>
      </c>
      <c r="D24" s="255">
        <v>359</v>
      </c>
      <c r="E24" s="258">
        <v>16</v>
      </c>
      <c r="F24" s="258">
        <v>57</v>
      </c>
      <c r="G24" s="258">
        <v>13</v>
      </c>
      <c r="H24" s="258">
        <v>6</v>
      </c>
      <c r="I24" s="258">
        <f>267-259</f>
        <v>8</v>
      </c>
      <c r="J24" s="258">
        <v>6</v>
      </c>
      <c r="K24" s="258">
        <v>4</v>
      </c>
      <c r="L24" s="258">
        <v>14</v>
      </c>
      <c r="M24" s="258">
        <f>235-228</f>
        <v>7</v>
      </c>
      <c r="N24" s="258">
        <v>8</v>
      </c>
      <c r="O24" s="258">
        <v>15</v>
      </c>
      <c r="P24" s="255">
        <f>205-198-4</f>
        <v>3</v>
      </c>
      <c r="Q24" s="256">
        <f t="shared" si="7"/>
        <v>157</v>
      </c>
      <c r="R24" s="359">
        <f t="shared" si="5"/>
        <v>13.083333333333334</v>
      </c>
      <c r="S24" s="360">
        <f t="shared" si="6"/>
        <v>15.439490445859873</v>
      </c>
      <c r="T24" s="461">
        <f t="shared" si="8"/>
        <v>202</v>
      </c>
      <c r="U24" s="112">
        <v>2016</v>
      </c>
      <c r="V24" s="252" t="s">
        <v>264</v>
      </c>
      <c r="W24" s="104"/>
      <c r="X24" s="104"/>
      <c r="Y24" s="104"/>
      <c r="Z24" s="104"/>
      <c r="AA24" s="171">
        <v>43803</v>
      </c>
      <c r="AB24" s="172" t="s">
        <v>306</v>
      </c>
      <c r="AC24" s="173" t="s">
        <v>94</v>
      </c>
      <c r="AD24" s="186">
        <v>1173</v>
      </c>
      <c r="AE24" s="173" t="s">
        <v>102</v>
      </c>
      <c r="AF24" s="104"/>
      <c r="AG24" s="104"/>
      <c r="AH24" s="104"/>
      <c r="AI24" s="104"/>
      <c r="AJ24" s="104"/>
      <c r="AK24" s="104"/>
    </row>
    <row r="25" spans="1:37" x14ac:dyDescent="0.2">
      <c r="A25" s="252">
        <v>86051</v>
      </c>
      <c r="B25" s="253" t="s">
        <v>265</v>
      </c>
      <c r="C25" s="252" t="s">
        <v>94</v>
      </c>
      <c r="D25" s="255">
        <v>53</v>
      </c>
      <c r="E25" s="255">
        <v>41</v>
      </c>
      <c r="F25" s="255">
        <v>12</v>
      </c>
      <c r="G25" s="260"/>
      <c r="H25" s="260"/>
      <c r="I25" s="260"/>
      <c r="J25" s="260"/>
      <c r="K25" s="260"/>
      <c r="L25" s="260"/>
      <c r="M25" s="260"/>
      <c r="N25" s="260"/>
      <c r="O25" s="260"/>
      <c r="P25" s="260"/>
      <c r="Q25" s="256">
        <f>SUM(E25:P25)</f>
        <v>53</v>
      </c>
      <c r="R25" s="359">
        <f>IFERROR((AVERAGE(E25:P25)),0)</f>
        <v>26.5</v>
      </c>
      <c r="S25" s="360">
        <f>IFERROR((T25/R25),0)</f>
        <v>0</v>
      </c>
      <c r="T25" s="461">
        <f>SUM(D25-Q25)</f>
        <v>0</v>
      </c>
      <c r="U25" s="112" t="s">
        <v>265</v>
      </c>
      <c r="V25" s="252" t="s">
        <v>94</v>
      </c>
      <c r="W25" s="104"/>
      <c r="X25" s="104"/>
      <c r="Y25" s="104"/>
      <c r="Z25" s="104"/>
      <c r="AA25" s="171">
        <v>43803</v>
      </c>
      <c r="AB25" s="172">
        <v>2018</v>
      </c>
      <c r="AC25" s="173" t="s">
        <v>70</v>
      </c>
      <c r="AD25" s="186">
        <v>513</v>
      </c>
      <c r="AE25" s="173" t="s">
        <v>102</v>
      </c>
      <c r="AF25" s="104"/>
      <c r="AG25" s="104"/>
      <c r="AH25" s="104"/>
      <c r="AI25" s="104"/>
      <c r="AJ25" s="104"/>
      <c r="AK25" s="104"/>
    </row>
    <row r="26" spans="1:37" x14ac:dyDescent="0.2">
      <c r="A26" s="249"/>
      <c r="B26" s="249"/>
      <c r="C26" s="249"/>
      <c r="D26" s="251"/>
      <c r="E26" s="251"/>
      <c r="F26" s="251"/>
      <c r="G26" s="251"/>
      <c r="H26" s="251"/>
      <c r="I26" s="251"/>
      <c r="J26" s="251"/>
      <c r="K26" s="251"/>
      <c r="L26" s="251"/>
      <c r="M26" s="251"/>
      <c r="N26" s="251"/>
      <c r="O26" s="251"/>
      <c r="P26" s="251"/>
      <c r="Q26" s="251"/>
      <c r="R26" s="251"/>
      <c r="S26" s="251"/>
      <c r="T26" s="251"/>
      <c r="U26" s="249"/>
      <c r="V26" s="249"/>
      <c r="W26" s="104"/>
      <c r="X26" s="104"/>
      <c r="Y26" s="104"/>
      <c r="Z26" s="104"/>
      <c r="AA26" s="171">
        <v>43803</v>
      </c>
      <c r="AB26" s="172">
        <v>2018</v>
      </c>
      <c r="AC26" s="173" t="s">
        <v>22</v>
      </c>
      <c r="AD26" s="186">
        <v>1001</v>
      </c>
      <c r="AE26" s="173" t="s">
        <v>102</v>
      </c>
      <c r="AF26" s="104"/>
      <c r="AG26" s="104"/>
      <c r="AH26" s="104"/>
      <c r="AI26" s="104"/>
      <c r="AJ26" s="104"/>
      <c r="AK26" s="104"/>
    </row>
    <row r="27" spans="1:37" ht="15" customHeight="1" x14ac:dyDescent="0.2">
      <c r="A27" s="252">
        <v>111574</v>
      </c>
      <c r="B27" s="112">
        <v>2017</v>
      </c>
      <c r="C27" s="252" t="s">
        <v>205</v>
      </c>
      <c r="D27" s="445">
        <v>296</v>
      </c>
      <c r="E27" s="445">
        <v>9</v>
      </c>
      <c r="F27" s="445">
        <v>12</v>
      </c>
      <c r="G27" s="445">
        <v>10</v>
      </c>
      <c r="H27" s="445">
        <v>30</v>
      </c>
      <c r="I27" s="445">
        <f>235-188</f>
        <v>47</v>
      </c>
      <c r="J27" s="445">
        <v>31</v>
      </c>
      <c r="K27" s="445">
        <v>51</v>
      </c>
      <c r="L27" s="445">
        <v>78</v>
      </c>
      <c r="M27" s="445">
        <f>28-6</f>
        <v>22</v>
      </c>
      <c r="N27" s="445">
        <v>6</v>
      </c>
      <c r="O27" s="460"/>
      <c r="P27" s="460"/>
      <c r="Q27" s="256">
        <f t="shared" ref="Q27:Q33" si="9">SUM(E27:P27)</f>
        <v>296</v>
      </c>
      <c r="R27" s="359">
        <f t="shared" ref="R27:R31" si="10">IFERROR((AVERAGE(E27:P27)),0)</f>
        <v>29.6</v>
      </c>
      <c r="S27" s="360">
        <f>IFERROR((T27/R27),0)</f>
        <v>0</v>
      </c>
      <c r="T27" s="461">
        <f t="shared" ref="T27:T55" si="11">SUM(D27-Q27)</f>
        <v>0</v>
      </c>
      <c r="U27" s="112">
        <v>2017</v>
      </c>
      <c r="V27" s="252" t="s">
        <v>205</v>
      </c>
      <c r="W27" s="104"/>
      <c r="X27" s="104"/>
      <c r="Y27" s="104"/>
      <c r="Z27" s="104"/>
      <c r="AA27" s="171">
        <v>43803</v>
      </c>
      <c r="AB27" s="172">
        <v>2018</v>
      </c>
      <c r="AC27" s="173" t="s">
        <v>307</v>
      </c>
      <c r="AD27" s="186">
        <v>384</v>
      </c>
      <c r="AE27" s="173" t="s">
        <v>102</v>
      </c>
      <c r="AF27" s="104"/>
      <c r="AG27" s="104"/>
      <c r="AH27" s="104"/>
      <c r="AI27" s="104"/>
      <c r="AJ27" s="104"/>
      <c r="AK27" s="104"/>
    </row>
    <row r="28" spans="1:37" ht="15" customHeight="1" x14ac:dyDescent="0.2">
      <c r="A28" s="252">
        <v>133686</v>
      </c>
      <c r="B28" s="112">
        <v>2017</v>
      </c>
      <c r="C28" s="252" t="s">
        <v>33</v>
      </c>
      <c r="D28" s="445">
        <v>116</v>
      </c>
      <c r="E28" s="445">
        <v>17</v>
      </c>
      <c r="F28" s="445">
        <v>9</v>
      </c>
      <c r="G28" s="445">
        <v>19</v>
      </c>
      <c r="H28" s="445">
        <v>16</v>
      </c>
      <c r="I28" s="445">
        <f>55-30</f>
        <v>25</v>
      </c>
      <c r="J28" s="445">
        <v>20</v>
      </c>
      <c r="K28" s="445">
        <v>10</v>
      </c>
      <c r="L28" s="460"/>
      <c r="M28" s="460"/>
      <c r="N28" s="460"/>
      <c r="O28" s="460"/>
      <c r="P28" s="460"/>
      <c r="Q28" s="256">
        <f t="shared" si="9"/>
        <v>116</v>
      </c>
      <c r="R28" s="359">
        <f t="shared" si="10"/>
        <v>16.571428571428573</v>
      </c>
      <c r="S28" s="360">
        <f t="shared" ref="S28" si="12">IFERROR((T28/R28),0)</f>
        <v>0</v>
      </c>
      <c r="T28" s="461">
        <f t="shared" si="11"/>
        <v>0</v>
      </c>
      <c r="U28" s="112">
        <v>2017</v>
      </c>
      <c r="V28" s="252" t="s">
        <v>33</v>
      </c>
      <c r="W28" s="104"/>
      <c r="X28" s="104"/>
      <c r="Y28" s="104"/>
      <c r="Z28" s="104"/>
      <c r="AA28" s="150"/>
      <c r="AB28" s="105"/>
      <c r="AC28" s="104"/>
      <c r="AD28" s="104"/>
      <c r="AE28" s="104"/>
      <c r="AF28" s="104"/>
      <c r="AG28" s="104"/>
      <c r="AH28" s="104"/>
      <c r="AI28" s="104"/>
      <c r="AJ28" s="104"/>
      <c r="AK28" s="104"/>
    </row>
    <row r="29" spans="1:37" ht="15" customHeight="1" x14ac:dyDescent="0.25">
      <c r="A29" s="252">
        <v>111575</v>
      </c>
      <c r="B29" s="112">
        <v>2017</v>
      </c>
      <c r="C29" s="252" t="s">
        <v>159</v>
      </c>
      <c r="D29" s="445">
        <v>20</v>
      </c>
      <c r="E29" s="445">
        <v>4</v>
      </c>
      <c r="F29" s="445">
        <v>12</v>
      </c>
      <c r="G29" s="445">
        <v>4</v>
      </c>
      <c r="H29" s="460"/>
      <c r="I29" s="460"/>
      <c r="J29" s="460"/>
      <c r="K29" s="460"/>
      <c r="L29" s="460"/>
      <c r="M29" s="460"/>
      <c r="N29" s="460"/>
      <c r="O29" s="460"/>
      <c r="P29" s="460"/>
      <c r="Q29" s="256">
        <f t="shared" si="9"/>
        <v>20</v>
      </c>
      <c r="R29" s="359">
        <f t="shared" si="10"/>
        <v>6.666666666666667</v>
      </c>
      <c r="S29" s="360">
        <f>IFERROR((T29/R29),0)</f>
        <v>0</v>
      </c>
      <c r="T29" s="461">
        <f t="shared" si="11"/>
        <v>0</v>
      </c>
      <c r="U29" s="112">
        <v>2017</v>
      </c>
      <c r="V29" s="252" t="s">
        <v>159</v>
      </c>
      <c r="W29" s="104"/>
      <c r="X29" s="104"/>
      <c r="Y29" s="104"/>
      <c r="Z29" s="104"/>
      <c r="AA29" s="578" t="s">
        <v>308</v>
      </c>
      <c r="AB29" s="578"/>
      <c r="AC29" s="578"/>
      <c r="AD29" s="578"/>
      <c r="AE29" s="578"/>
      <c r="AF29" s="104"/>
      <c r="AG29" s="104"/>
      <c r="AH29" s="104"/>
      <c r="AI29" s="104"/>
      <c r="AJ29" s="104"/>
      <c r="AK29" s="104"/>
    </row>
    <row r="30" spans="1:37" ht="15" customHeight="1" x14ac:dyDescent="0.25">
      <c r="A30" s="252">
        <v>11198</v>
      </c>
      <c r="B30" s="112">
        <v>2017</v>
      </c>
      <c r="C30" s="252" t="s">
        <v>46</v>
      </c>
      <c r="D30" s="445">
        <v>279</v>
      </c>
      <c r="E30" s="445">
        <v>16</v>
      </c>
      <c r="F30" s="445">
        <v>17</v>
      </c>
      <c r="G30" s="445">
        <v>22</v>
      </c>
      <c r="H30" s="445">
        <v>10</v>
      </c>
      <c r="I30" s="445">
        <f>214-181</f>
        <v>33</v>
      </c>
      <c r="J30" s="445">
        <v>27</v>
      </c>
      <c r="K30" s="445">
        <v>20</v>
      </c>
      <c r="L30" s="445">
        <v>16</v>
      </c>
      <c r="M30" s="445">
        <v>19</v>
      </c>
      <c r="N30" s="445">
        <v>19</v>
      </c>
      <c r="O30" s="445">
        <v>22</v>
      </c>
      <c r="P30" s="445">
        <f>10-5</f>
        <v>5</v>
      </c>
      <c r="Q30" s="256">
        <f t="shared" si="9"/>
        <v>226</v>
      </c>
      <c r="R30" s="359">
        <f t="shared" si="10"/>
        <v>18.833333333333332</v>
      </c>
      <c r="S30" s="360">
        <f>IFERROR((T30/R30),0)</f>
        <v>2.8141592920353986</v>
      </c>
      <c r="T30" s="461">
        <f t="shared" si="11"/>
        <v>53</v>
      </c>
      <c r="U30" s="112">
        <v>2017</v>
      </c>
      <c r="V30" s="252" t="s">
        <v>46</v>
      </c>
      <c r="W30" s="104"/>
      <c r="X30" s="104"/>
      <c r="Y30" s="104"/>
      <c r="Z30" s="104"/>
      <c r="AA30" s="174"/>
      <c r="AB30" s="175"/>
      <c r="AC30" s="176"/>
      <c r="AD30" s="176"/>
      <c r="AE30" s="181"/>
      <c r="AF30" s="104"/>
      <c r="AG30" s="104"/>
      <c r="AH30" s="104"/>
      <c r="AI30" s="104"/>
      <c r="AJ30" s="104"/>
      <c r="AK30" s="104"/>
    </row>
    <row r="31" spans="1:37" ht="15" customHeight="1" x14ac:dyDescent="0.25">
      <c r="A31" s="252">
        <v>28384</v>
      </c>
      <c r="B31" s="112">
        <v>2017</v>
      </c>
      <c r="C31" s="252" t="s">
        <v>271</v>
      </c>
      <c r="D31" s="445">
        <v>113</v>
      </c>
      <c r="E31" s="445">
        <v>0</v>
      </c>
      <c r="F31" s="445">
        <v>55</v>
      </c>
      <c r="G31" s="445">
        <v>0</v>
      </c>
      <c r="H31" s="445">
        <v>0</v>
      </c>
      <c r="I31" s="445">
        <v>0</v>
      </c>
      <c r="J31" s="445">
        <v>0</v>
      </c>
      <c r="K31" s="445">
        <v>0</v>
      </c>
      <c r="L31" s="445">
        <v>0</v>
      </c>
      <c r="M31" s="445">
        <v>1</v>
      </c>
      <c r="N31" s="445">
        <v>3</v>
      </c>
      <c r="O31" s="445">
        <v>7</v>
      </c>
      <c r="P31" s="445">
        <f>2-1</f>
        <v>1</v>
      </c>
      <c r="Q31" s="256">
        <f t="shared" si="9"/>
        <v>67</v>
      </c>
      <c r="R31" s="359">
        <f t="shared" si="10"/>
        <v>5.583333333333333</v>
      </c>
      <c r="S31" s="360">
        <f>IFERROR((T31/R31),0)</f>
        <v>8.2388059701492544</v>
      </c>
      <c r="T31" s="461">
        <f t="shared" si="11"/>
        <v>46</v>
      </c>
      <c r="U31" s="112">
        <v>2017</v>
      </c>
      <c r="V31" s="252" t="s">
        <v>272</v>
      </c>
      <c r="W31" s="104"/>
      <c r="X31" s="104"/>
      <c r="Y31" s="104"/>
      <c r="Z31" s="104"/>
      <c r="AA31" s="174"/>
      <c r="AB31" s="175"/>
      <c r="AC31" s="176"/>
      <c r="AD31" s="176"/>
      <c r="AE31" s="181"/>
      <c r="AF31" s="104"/>
      <c r="AG31" s="104"/>
      <c r="AH31" s="104"/>
      <c r="AI31" s="104"/>
      <c r="AJ31" s="104"/>
      <c r="AK31" s="104"/>
    </row>
    <row r="32" spans="1:37" ht="15" customHeight="1" x14ac:dyDescent="0.25">
      <c r="A32" s="252">
        <v>57632</v>
      </c>
      <c r="B32" s="112">
        <v>2017</v>
      </c>
      <c r="C32" s="252" t="s">
        <v>31</v>
      </c>
      <c r="D32" s="445">
        <v>448</v>
      </c>
      <c r="E32" s="470">
        <v>0</v>
      </c>
      <c r="F32" s="470">
        <v>42</v>
      </c>
      <c r="G32" s="470">
        <v>24</v>
      </c>
      <c r="H32" s="470">
        <v>28</v>
      </c>
      <c r="I32" s="470">
        <f>354-312</f>
        <v>42</v>
      </c>
      <c r="J32" s="470">
        <v>20</v>
      </c>
      <c r="K32" s="470">
        <v>30</v>
      </c>
      <c r="L32" s="470">
        <v>52</v>
      </c>
      <c r="M32" s="470">
        <f>210-178</f>
        <v>32</v>
      </c>
      <c r="N32" s="470">
        <v>23</v>
      </c>
      <c r="O32" s="470">
        <f>155-121</f>
        <v>34</v>
      </c>
      <c r="P32" s="470">
        <f>121-108-5</f>
        <v>8</v>
      </c>
      <c r="Q32" s="256">
        <f>SUM(E32:P32)</f>
        <v>335</v>
      </c>
      <c r="R32" s="359">
        <f>IFERROR((AVERAGE(E32:P32)),0)</f>
        <v>27.916666666666668</v>
      </c>
      <c r="S32" s="360">
        <f>IFERROR((T32/R32),0)</f>
        <v>4.0477611940298504</v>
      </c>
      <c r="T32" s="461">
        <f>SUM(D32-Q32)</f>
        <v>113</v>
      </c>
      <c r="U32" s="112">
        <v>2017</v>
      </c>
      <c r="V32" s="252" t="s">
        <v>31</v>
      </c>
      <c r="W32" s="104"/>
      <c r="X32" s="104"/>
      <c r="Y32" s="104"/>
      <c r="Z32" s="104"/>
      <c r="AA32" s="174">
        <v>43551</v>
      </c>
      <c r="AB32" s="175">
        <v>2018</v>
      </c>
      <c r="AC32" s="185" t="s">
        <v>291</v>
      </c>
      <c r="AD32" s="183">
        <v>75</v>
      </c>
      <c r="AE32" s="181" t="s">
        <v>102</v>
      </c>
      <c r="AF32" s="104"/>
      <c r="AG32" s="104"/>
      <c r="AH32" s="104"/>
      <c r="AI32" s="104"/>
      <c r="AJ32" s="104"/>
      <c r="AK32" s="104"/>
    </row>
    <row r="33" spans="1:40" ht="15" customHeight="1" x14ac:dyDescent="0.25">
      <c r="A33" s="252">
        <v>57630</v>
      </c>
      <c r="B33" s="112">
        <v>2017</v>
      </c>
      <c r="C33" s="252" t="s">
        <v>25</v>
      </c>
      <c r="D33" s="445">
        <v>865</v>
      </c>
      <c r="E33" s="470">
        <v>0</v>
      </c>
      <c r="F33" s="470">
        <v>0</v>
      </c>
      <c r="G33" s="470">
        <v>0</v>
      </c>
      <c r="H33" s="470">
        <v>0</v>
      </c>
      <c r="I33" s="470">
        <v>0</v>
      </c>
      <c r="J33" s="470">
        <v>0</v>
      </c>
      <c r="K33" s="470">
        <v>0</v>
      </c>
      <c r="L33" s="470">
        <v>0</v>
      </c>
      <c r="M33" s="470">
        <v>0</v>
      </c>
      <c r="N33" s="470">
        <v>0</v>
      </c>
      <c r="O33" s="470">
        <v>0</v>
      </c>
      <c r="P33" s="470">
        <f>865-848-6</f>
        <v>11</v>
      </c>
      <c r="Q33" s="256">
        <f t="shared" si="9"/>
        <v>11</v>
      </c>
      <c r="R33" s="359">
        <f t="shared" ref="R33:R56" si="13">IFERROR((AVERAGE(E33:P33)),0)</f>
        <v>0.91666666666666663</v>
      </c>
      <c r="S33" s="360">
        <f t="shared" ref="S33:S55" si="14">IFERROR((T33/R33),0)</f>
        <v>931.63636363636363</v>
      </c>
      <c r="T33" s="461">
        <f t="shared" si="11"/>
        <v>854</v>
      </c>
      <c r="U33" s="112">
        <v>2017</v>
      </c>
      <c r="V33" s="252" t="s">
        <v>25</v>
      </c>
      <c r="W33" s="104"/>
      <c r="X33" s="104"/>
      <c r="Y33" s="104"/>
      <c r="Z33" s="104"/>
      <c r="AA33" s="174">
        <v>43551</v>
      </c>
      <c r="AB33" s="175">
        <v>2018</v>
      </c>
      <c r="AC33" s="185" t="s">
        <v>292</v>
      </c>
      <c r="AD33" s="183">
        <v>75</v>
      </c>
      <c r="AE33" s="181" t="s">
        <v>102</v>
      </c>
      <c r="AF33" s="104"/>
      <c r="AG33" s="104"/>
      <c r="AH33" s="104"/>
      <c r="AI33" s="104"/>
      <c r="AJ33" s="104"/>
      <c r="AK33" s="104"/>
      <c r="AL33" s="104"/>
      <c r="AM33" s="104"/>
      <c r="AN33" s="104"/>
    </row>
    <row r="34" spans="1:40" ht="15" customHeight="1" x14ac:dyDescent="0.25">
      <c r="A34" s="252">
        <v>133688</v>
      </c>
      <c r="B34" s="112">
        <v>2017</v>
      </c>
      <c r="C34" s="252" t="s">
        <v>23</v>
      </c>
      <c r="D34" s="445">
        <v>620</v>
      </c>
      <c r="E34" s="470">
        <v>0</v>
      </c>
      <c r="F34" s="470">
        <v>0</v>
      </c>
      <c r="G34" s="470">
        <v>0</v>
      </c>
      <c r="H34" s="470">
        <v>3</v>
      </c>
      <c r="I34" s="470">
        <f>617-572</f>
        <v>45</v>
      </c>
      <c r="J34" s="470">
        <v>13</v>
      </c>
      <c r="K34" s="470">
        <v>4</v>
      </c>
      <c r="L34" s="470">
        <v>49</v>
      </c>
      <c r="M34" s="470">
        <f>506-458</f>
        <v>48</v>
      </c>
      <c r="N34" s="470">
        <v>44</v>
      </c>
      <c r="O34" s="470">
        <f>414-369</f>
        <v>45</v>
      </c>
      <c r="P34" s="470">
        <f>369-344-4</f>
        <v>21</v>
      </c>
      <c r="Q34" s="256">
        <f t="shared" ref="Q34:Q41" si="15">SUM(E34:P34)</f>
        <v>272</v>
      </c>
      <c r="R34" s="359">
        <f t="shared" si="13"/>
        <v>22.666666666666668</v>
      </c>
      <c r="S34" s="360">
        <f t="shared" si="14"/>
        <v>15.352941176470587</v>
      </c>
      <c r="T34" s="461">
        <f t="shared" si="11"/>
        <v>348</v>
      </c>
      <c r="U34" s="112">
        <v>2017</v>
      </c>
      <c r="V34" s="252" t="s">
        <v>23</v>
      </c>
      <c r="W34" s="104"/>
      <c r="X34" s="104"/>
      <c r="Y34" s="104"/>
      <c r="Z34" s="104"/>
      <c r="AA34" s="174">
        <v>43551</v>
      </c>
      <c r="AB34" s="175">
        <v>2018</v>
      </c>
      <c r="AC34" s="185" t="s">
        <v>295</v>
      </c>
      <c r="AD34" s="183">
        <v>75</v>
      </c>
      <c r="AE34" s="181" t="s">
        <v>102</v>
      </c>
      <c r="AF34" s="104"/>
      <c r="AG34" s="104"/>
      <c r="AH34" s="104"/>
      <c r="AI34" s="104"/>
      <c r="AJ34" s="104"/>
      <c r="AK34" s="104"/>
      <c r="AL34" s="104"/>
      <c r="AM34" s="104"/>
      <c r="AN34" s="104"/>
    </row>
    <row r="35" spans="1:40" ht="15" customHeight="1" x14ac:dyDescent="0.25">
      <c r="A35" s="252">
        <v>133687</v>
      </c>
      <c r="B35" s="112">
        <v>2017</v>
      </c>
      <c r="C35" s="252" t="s">
        <v>93</v>
      </c>
      <c r="D35" s="445">
        <v>149</v>
      </c>
      <c r="E35" s="446">
        <v>8</v>
      </c>
      <c r="F35" s="446">
        <v>0</v>
      </c>
      <c r="G35" s="446">
        <v>5</v>
      </c>
      <c r="H35" s="446">
        <v>0</v>
      </c>
      <c r="I35" s="446">
        <v>0</v>
      </c>
      <c r="J35" s="446">
        <v>1</v>
      </c>
      <c r="K35" s="446">
        <v>1</v>
      </c>
      <c r="L35" s="446">
        <v>0</v>
      </c>
      <c r="M35" s="446">
        <v>0</v>
      </c>
      <c r="N35" s="446">
        <v>0</v>
      </c>
      <c r="O35" s="446">
        <v>0</v>
      </c>
      <c r="P35" s="446">
        <v>0</v>
      </c>
      <c r="Q35" s="256">
        <f t="shared" si="15"/>
        <v>15</v>
      </c>
      <c r="R35" s="359">
        <f t="shared" si="13"/>
        <v>1.25</v>
      </c>
      <c r="S35" s="360">
        <f t="shared" si="14"/>
        <v>107.2</v>
      </c>
      <c r="T35" s="461">
        <f t="shared" si="11"/>
        <v>134</v>
      </c>
      <c r="U35" s="112">
        <v>2017</v>
      </c>
      <c r="V35" s="252" t="s">
        <v>93</v>
      </c>
      <c r="W35" s="104"/>
      <c r="X35" s="104"/>
      <c r="Y35" s="104"/>
      <c r="Z35" s="104"/>
      <c r="AA35" s="174">
        <v>43551</v>
      </c>
      <c r="AB35" s="175">
        <v>2018</v>
      </c>
      <c r="AC35" s="185" t="s">
        <v>296</v>
      </c>
      <c r="AD35" s="183">
        <v>282</v>
      </c>
      <c r="AE35" s="181" t="s">
        <v>102</v>
      </c>
      <c r="AF35" s="104"/>
      <c r="AG35" s="104"/>
      <c r="AH35" s="104"/>
      <c r="AI35" s="104"/>
      <c r="AJ35" s="104"/>
      <c r="AK35" s="104"/>
      <c r="AL35" s="104"/>
      <c r="AM35" s="104"/>
      <c r="AN35" s="104"/>
    </row>
    <row r="36" spans="1:40" ht="15" customHeight="1" x14ac:dyDescent="0.25">
      <c r="A36" s="252">
        <v>27736</v>
      </c>
      <c r="B36" s="112">
        <v>2017</v>
      </c>
      <c r="C36" s="252" t="s">
        <v>70</v>
      </c>
      <c r="D36" s="445">
        <v>406</v>
      </c>
      <c r="E36" s="446">
        <v>6</v>
      </c>
      <c r="F36" s="446">
        <v>0</v>
      </c>
      <c r="G36" s="446">
        <v>0</v>
      </c>
      <c r="H36" s="446">
        <v>5</v>
      </c>
      <c r="I36" s="446">
        <v>0</v>
      </c>
      <c r="J36" s="446">
        <v>1</v>
      </c>
      <c r="K36" s="446">
        <v>1</v>
      </c>
      <c r="L36" s="446">
        <v>0</v>
      </c>
      <c r="M36" s="446">
        <v>3</v>
      </c>
      <c r="N36" s="446">
        <v>0</v>
      </c>
      <c r="O36" s="446">
        <v>0</v>
      </c>
      <c r="P36" s="446">
        <f>10-4</f>
        <v>6</v>
      </c>
      <c r="Q36" s="256">
        <f t="shared" si="15"/>
        <v>22</v>
      </c>
      <c r="R36" s="359">
        <f t="shared" si="13"/>
        <v>1.8333333333333333</v>
      </c>
      <c r="S36" s="360">
        <f t="shared" si="14"/>
        <v>209.45454545454547</v>
      </c>
      <c r="T36" s="461">
        <f t="shared" si="11"/>
        <v>384</v>
      </c>
      <c r="U36" s="112">
        <v>2017</v>
      </c>
      <c r="V36" s="252" t="s">
        <v>70</v>
      </c>
      <c r="W36" s="104"/>
      <c r="X36" s="104"/>
      <c r="Y36" s="104"/>
      <c r="Z36" s="104"/>
      <c r="AA36" s="174">
        <v>43551</v>
      </c>
      <c r="AB36" s="175">
        <v>2018</v>
      </c>
      <c r="AC36" s="185" t="s">
        <v>297</v>
      </c>
      <c r="AD36" s="183">
        <v>446</v>
      </c>
      <c r="AE36" s="181" t="s">
        <v>102</v>
      </c>
      <c r="AF36" s="104"/>
      <c r="AG36" s="104"/>
      <c r="AH36" s="104"/>
      <c r="AI36" s="104"/>
      <c r="AJ36" s="104"/>
      <c r="AK36" s="104"/>
      <c r="AL36" s="104"/>
      <c r="AM36" s="104"/>
      <c r="AN36" s="104"/>
    </row>
    <row r="37" spans="1:40" ht="15" customHeight="1" x14ac:dyDescent="0.25">
      <c r="A37" s="252">
        <v>135371</v>
      </c>
      <c r="B37" s="112">
        <v>2017</v>
      </c>
      <c r="C37" s="252" t="s">
        <v>307</v>
      </c>
      <c r="D37" s="445">
        <v>280</v>
      </c>
      <c r="E37" s="446">
        <v>14</v>
      </c>
      <c r="F37" s="446">
        <v>20</v>
      </c>
      <c r="G37" s="446">
        <v>0</v>
      </c>
      <c r="H37" s="446">
        <v>0</v>
      </c>
      <c r="I37" s="446">
        <v>0</v>
      </c>
      <c r="J37" s="446">
        <v>0</v>
      </c>
      <c r="K37" s="446">
        <v>0</v>
      </c>
      <c r="L37" s="446">
        <v>0</v>
      </c>
      <c r="M37" s="446">
        <v>0</v>
      </c>
      <c r="N37" s="446">
        <v>0</v>
      </c>
      <c r="O37" s="446">
        <v>4</v>
      </c>
      <c r="P37" s="446">
        <f>242-235-1</f>
        <v>6</v>
      </c>
      <c r="Q37" s="256">
        <f t="shared" si="15"/>
        <v>44</v>
      </c>
      <c r="R37" s="359">
        <f t="shared" si="13"/>
        <v>3.6666666666666665</v>
      </c>
      <c r="S37" s="360">
        <f t="shared" si="14"/>
        <v>64.36363636363636</v>
      </c>
      <c r="T37" s="461">
        <f t="shared" si="11"/>
        <v>236</v>
      </c>
      <c r="U37" s="112">
        <v>2017</v>
      </c>
      <c r="V37" s="252" t="s">
        <v>307</v>
      </c>
      <c r="W37" s="104"/>
      <c r="X37" s="104"/>
      <c r="Y37" s="104"/>
      <c r="Z37" s="104"/>
      <c r="AA37" s="174">
        <v>43142</v>
      </c>
      <c r="AB37" s="175">
        <v>2018</v>
      </c>
      <c r="AC37" s="185" t="s">
        <v>298</v>
      </c>
      <c r="AD37" s="183">
        <v>50</v>
      </c>
      <c r="AE37" s="181" t="s">
        <v>102</v>
      </c>
      <c r="AF37" s="104"/>
      <c r="AG37" s="104"/>
      <c r="AH37" s="104"/>
      <c r="AI37" s="104"/>
      <c r="AJ37" s="104"/>
      <c r="AK37" s="104"/>
      <c r="AL37" s="104"/>
      <c r="AM37" s="104"/>
      <c r="AN37" s="104"/>
    </row>
    <row r="38" spans="1:40" ht="15" customHeight="1" x14ac:dyDescent="0.25">
      <c r="A38" s="252">
        <v>22921</v>
      </c>
      <c r="B38" s="112">
        <v>2017</v>
      </c>
      <c r="C38" s="252" t="s">
        <v>278</v>
      </c>
      <c r="D38" s="445">
        <v>784</v>
      </c>
      <c r="E38" s="446">
        <v>0</v>
      </c>
      <c r="F38" s="446">
        <v>26</v>
      </c>
      <c r="G38" s="446">
        <v>7</v>
      </c>
      <c r="H38" s="446">
        <v>3</v>
      </c>
      <c r="I38" s="446">
        <v>2</v>
      </c>
      <c r="J38" s="446">
        <v>1</v>
      </c>
      <c r="K38" s="446">
        <v>1</v>
      </c>
      <c r="L38" s="446">
        <v>6</v>
      </c>
      <c r="M38" s="446">
        <v>0</v>
      </c>
      <c r="N38" s="446">
        <v>0</v>
      </c>
      <c r="O38" s="446">
        <v>0</v>
      </c>
      <c r="P38" s="446">
        <v>0</v>
      </c>
      <c r="Q38" s="256">
        <f t="shared" si="15"/>
        <v>46</v>
      </c>
      <c r="R38" s="359">
        <f t="shared" si="13"/>
        <v>3.8333333333333335</v>
      </c>
      <c r="S38" s="360">
        <f t="shared" si="14"/>
        <v>192.52173913043478</v>
      </c>
      <c r="T38" s="461">
        <f t="shared" si="11"/>
        <v>738</v>
      </c>
      <c r="U38" s="112">
        <v>2017</v>
      </c>
      <c r="V38" s="252" t="s">
        <v>278</v>
      </c>
      <c r="W38" s="104"/>
      <c r="X38" s="104"/>
      <c r="Y38" s="104"/>
      <c r="Z38" s="104"/>
      <c r="AA38" s="174">
        <v>43142</v>
      </c>
      <c r="AB38" s="175">
        <v>2018</v>
      </c>
      <c r="AC38" s="185" t="s">
        <v>300</v>
      </c>
      <c r="AD38" s="183">
        <v>74</v>
      </c>
      <c r="AE38" s="181" t="s">
        <v>102</v>
      </c>
      <c r="AF38" s="104"/>
      <c r="AG38" s="104"/>
      <c r="AH38" s="104"/>
      <c r="AI38" s="104"/>
      <c r="AJ38" s="104"/>
      <c r="AK38" s="104"/>
      <c r="AL38" s="104"/>
      <c r="AM38" s="104"/>
      <c r="AN38" s="104"/>
    </row>
    <row r="39" spans="1:40" ht="15" customHeight="1" x14ac:dyDescent="0.25">
      <c r="A39" s="252">
        <v>135370</v>
      </c>
      <c r="B39" s="112">
        <v>2017</v>
      </c>
      <c r="C39" s="252" t="s">
        <v>217</v>
      </c>
      <c r="D39" s="445">
        <v>168</v>
      </c>
      <c r="E39" s="446">
        <v>0</v>
      </c>
      <c r="F39" s="446">
        <v>8</v>
      </c>
      <c r="G39" s="446">
        <v>0</v>
      </c>
      <c r="H39" s="446">
        <v>0</v>
      </c>
      <c r="I39" s="446">
        <v>0</v>
      </c>
      <c r="J39" s="446">
        <v>0</v>
      </c>
      <c r="K39" s="446">
        <v>0</v>
      </c>
      <c r="L39" s="446">
        <v>0</v>
      </c>
      <c r="M39" s="446">
        <v>0</v>
      </c>
      <c r="N39" s="446">
        <v>0</v>
      </c>
      <c r="O39" s="446">
        <v>0</v>
      </c>
      <c r="P39" s="446">
        <v>0</v>
      </c>
      <c r="Q39" s="256">
        <f t="shared" si="15"/>
        <v>8</v>
      </c>
      <c r="R39" s="359">
        <f t="shared" si="13"/>
        <v>0.66666666666666663</v>
      </c>
      <c r="S39" s="360">
        <f t="shared" si="14"/>
        <v>240</v>
      </c>
      <c r="T39" s="461">
        <f t="shared" si="11"/>
        <v>160</v>
      </c>
      <c r="U39" s="112">
        <v>2017</v>
      </c>
      <c r="V39" s="252" t="s">
        <v>217</v>
      </c>
      <c r="W39" s="104"/>
      <c r="X39" s="104"/>
      <c r="Y39" s="104"/>
      <c r="Z39" s="104"/>
      <c r="AA39" s="174">
        <v>43142</v>
      </c>
      <c r="AB39" s="175">
        <v>2018</v>
      </c>
      <c r="AC39" s="185" t="s">
        <v>301</v>
      </c>
      <c r="AD39" s="183">
        <v>618</v>
      </c>
      <c r="AE39" s="181" t="s">
        <v>102</v>
      </c>
      <c r="AF39" s="104"/>
      <c r="AG39" s="104"/>
      <c r="AH39" s="104"/>
      <c r="AI39" s="104"/>
      <c r="AJ39" s="104"/>
      <c r="AK39" s="104"/>
      <c r="AL39" s="104"/>
      <c r="AM39" s="104"/>
      <c r="AN39" s="104"/>
    </row>
    <row r="40" spans="1:40" ht="15" customHeight="1" x14ac:dyDescent="0.25">
      <c r="A40" s="252">
        <v>137519</v>
      </c>
      <c r="B40" s="112" t="s">
        <v>281</v>
      </c>
      <c r="C40" s="252" t="s">
        <v>94</v>
      </c>
      <c r="D40" s="445">
        <v>672</v>
      </c>
      <c r="E40" s="446">
        <v>0</v>
      </c>
      <c r="F40" s="446">
        <v>20</v>
      </c>
      <c r="G40" s="445">
        <v>14</v>
      </c>
      <c r="H40" s="445">
        <v>19</v>
      </c>
      <c r="I40" s="445">
        <f>619-508</f>
        <v>111</v>
      </c>
      <c r="J40" s="445">
        <v>0</v>
      </c>
      <c r="K40" s="445">
        <v>63</v>
      </c>
      <c r="L40" s="445">
        <v>25</v>
      </c>
      <c r="M40" s="445">
        <f>420-358</f>
        <v>62</v>
      </c>
      <c r="N40" s="445">
        <v>45</v>
      </c>
      <c r="O40" s="445">
        <f>313-202</f>
        <v>111</v>
      </c>
      <c r="P40" s="445">
        <f>202-171-4</f>
        <v>27</v>
      </c>
      <c r="Q40" s="256">
        <f t="shared" si="15"/>
        <v>497</v>
      </c>
      <c r="R40" s="359">
        <f t="shared" si="13"/>
        <v>41.416666666666664</v>
      </c>
      <c r="S40" s="360">
        <f t="shared" si="14"/>
        <v>4.2253521126760569</v>
      </c>
      <c r="T40" s="461">
        <f t="shared" si="11"/>
        <v>175</v>
      </c>
      <c r="U40" s="112">
        <v>2017</v>
      </c>
      <c r="V40" s="252" t="s">
        <v>94</v>
      </c>
      <c r="W40" s="104"/>
      <c r="X40" s="104"/>
      <c r="Y40" s="104"/>
      <c r="Z40" s="104"/>
      <c r="AA40" s="174">
        <v>43552</v>
      </c>
      <c r="AB40" s="175"/>
      <c r="AC40" s="185" t="s">
        <v>309</v>
      </c>
      <c r="AD40" s="183">
        <v>17</v>
      </c>
      <c r="AE40" s="181" t="s">
        <v>104</v>
      </c>
      <c r="AF40" s="104"/>
      <c r="AG40" s="104"/>
      <c r="AH40" s="104"/>
      <c r="AI40" s="104"/>
      <c r="AJ40" s="104"/>
      <c r="AK40" s="104"/>
      <c r="AL40" s="104"/>
      <c r="AM40" s="104"/>
      <c r="AN40" s="104"/>
    </row>
    <row r="41" spans="1:40" ht="15" customHeight="1" x14ac:dyDescent="0.25">
      <c r="A41" s="252">
        <v>28381</v>
      </c>
      <c r="B41" s="112">
        <v>2017</v>
      </c>
      <c r="C41" s="252" t="s">
        <v>269</v>
      </c>
      <c r="D41" s="445">
        <v>31</v>
      </c>
      <c r="E41" s="445">
        <v>3</v>
      </c>
      <c r="F41" s="445">
        <v>4</v>
      </c>
      <c r="G41" s="445">
        <v>1</v>
      </c>
      <c r="H41" s="445">
        <v>1</v>
      </c>
      <c r="I41" s="445">
        <v>12</v>
      </c>
      <c r="J41" s="445">
        <v>1</v>
      </c>
      <c r="K41" s="445">
        <v>5</v>
      </c>
      <c r="L41" s="445">
        <v>3</v>
      </c>
      <c r="M41" s="445">
        <v>1</v>
      </c>
      <c r="N41" s="460"/>
      <c r="O41" s="460"/>
      <c r="P41" s="460"/>
      <c r="Q41" s="256">
        <f t="shared" si="15"/>
        <v>31</v>
      </c>
      <c r="R41" s="359">
        <f t="shared" si="13"/>
        <v>3.4444444444444446</v>
      </c>
      <c r="S41" s="360">
        <f t="shared" si="14"/>
        <v>0</v>
      </c>
      <c r="T41" s="461">
        <f t="shared" si="11"/>
        <v>0</v>
      </c>
      <c r="U41" s="112">
        <v>2017</v>
      </c>
      <c r="V41" s="252" t="s">
        <v>269</v>
      </c>
      <c r="W41" s="104"/>
      <c r="X41" s="104"/>
      <c r="Y41" s="104"/>
      <c r="Z41" s="104"/>
      <c r="AA41" s="174">
        <v>43620</v>
      </c>
      <c r="AB41" s="175">
        <v>2018</v>
      </c>
      <c r="AC41" s="185" t="s">
        <v>310</v>
      </c>
      <c r="AD41" s="183">
        <v>7</v>
      </c>
      <c r="AE41" s="181" t="s">
        <v>104</v>
      </c>
      <c r="AF41" s="104"/>
      <c r="AG41" s="104"/>
      <c r="AH41" s="104"/>
      <c r="AI41" s="104"/>
      <c r="AJ41" s="104"/>
      <c r="AK41" s="104"/>
      <c r="AL41" s="104"/>
      <c r="AM41" s="104"/>
      <c r="AN41" s="104"/>
    </row>
    <row r="42" spans="1:40" ht="15" customHeight="1" x14ac:dyDescent="0.25">
      <c r="A42" s="252">
        <v>137517</v>
      </c>
      <c r="B42" s="112">
        <v>2017</v>
      </c>
      <c r="C42" s="252" t="s">
        <v>311</v>
      </c>
      <c r="D42" s="445">
        <v>167</v>
      </c>
      <c r="E42" s="445">
        <v>0</v>
      </c>
      <c r="F42" s="445">
        <v>29</v>
      </c>
      <c r="G42" s="445">
        <v>0</v>
      </c>
      <c r="H42" s="445">
        <v>17</v>
      </c>
      <c r="I42" s="445">
        <v>0</v>
      </c>
      <c r="J42" s="445">
        <v>0</v>
      </c>
      <c r="K42" s="445">
        <v>0</v>
      </c>
      <c r="L42" s="445">
        <v>0</v>
      </c>
      <c r="M42" s="445">
        <f>121-116</f>
        <v>5</v>
      </c>
      <c r="N42" s="445">
        <v>0</v>
      </c>
      <c r="O42" s="445">
        <v>0</v>
      </c>
      <c r="P42" s="445">
        <v>0</v>
      </c>
      <c r="Q42" s="256">
        <f t="shared" ref="Q42" si="16">SUM(E42:P42)</f>
        <v>51</v>
      </c>
      <c r="R42" s="359">
        <f t="shared" ref="R42" si="17">IFERROR((AVERAGE(E42:P42)),0)</f>
        <v>4.25</v>
      </c>
      <c r="S42" s="360">
        <f t="shared" ref="S42" si="18">IFERROR((T42/R42),0)</f>
        <v>27.294117647058822</v>
      </c>
      <c r="T42" s="461">
        <f t="shared" si="11"/>
        <v>116</v>
      </c>
      <c r="U42" s="112">
        <v>2017</v>
      </c>
      <c r="V42" s="252" t="s">
        <v>311</v>
      </c>
      <c r="W42" s="104"/>
      <c r="X42" s="104"/>
      <c r="Y42" s="104"/>
      <c r="Z42" s="104"/>
      <c r="AA42" s="174">
        <v>43626</v>
      </c>
      <c r="AB42" s="175">
        <v>2018</v>
      </c>
      <c r="AC42" s="185" t="s">
        <v>302</v>
      </c>
      <c r="AD42" s="183">
        <v>50</v>
      </c>
      <c r="AE42" s="181" t="s">
        <v>102</v>
      </c>
      <c r="AF42" s="104"/>
      <c r="AG42" s="104"/>
      <c r="AH42" s="104"/>
      <c r="AI42" s="104"/>
      <c r="AJ42" s="104"/>
      <c r="AK42" s="104"/>
      <c r="AL42" s="104"/>
      <c r="AM42" s="104"/>
      <c r="AN42" s="104"/>
    </row>
    <row r="43" spans="1:40" ht="15" customHeight="1" x14ac:dyDescent="0.25">
      <c r="A43" s="252">
        <v>116508</v>
      </c>
      <c r="B43" s="112" t="s">
        <v>273</v>
      </c>
      <c r="C43" s="252" t="s">
        <v>274</v>
      </c>
      <c r="D43" s="445">
        <v>437</v>
      </c>
      <c r="E43" s="445">
        <v>30</v>
      </c>
      <c r="F43" s="445">
        <v>16</v>
      </c>
      <c r="G43" s="445">
        <v>0</v>
      </c>
      <c r="H43" s="445">
        <v>0</v>
      </c>
      <c r="I43" s="445">
        <f>391-365</f>
        <v>26</v>
      </c>
      <c r="J43" s="445">
        <v>3</v>
      </c>
      <c r="K43" s="445">
        <v>13</v>
      </c>
      <c r="L43" s="445">
        <v>52</v>
      </c>
      <c r="M43" s="445">
        <f>297-191</f>
        <v>106</v>
      </c>
      <c r="N43" s="445">
        <v>0</v>
      </c>
      <c r="O43" s="445">
        <v>0</v>
      </c>
      <c r="P43" s="445">
        <v>0</v>
      </c>
      <c r="Q43" s="256">
        <f t="shared" ref="Q43:Q55" si="19">SUM(E43:P43)</f>
        <v>246</v>
      </c>
      <c r="R43" s="359">
        <f t="shared" si="13"/>
        <v>20.5</v>
      </c>
      <c r="S43" s="360">
        <f t="shared" si="14"/>
        <v>9.3170731707317067</v>
      </c>
      <c r="T43" s="461">
        <f t="shared" si="11"/>
        <v>191</v>
      </c>
      <c r="U43" s="112" t="s">
        <v>273</v>
      </c>
      <c r="V43" s="252" t="s">
        <v>274</v>
      </c>
      <c r="W43" s="104"/>
      <c r="X43" s="104"/>
      <c r="Y43" s="104"/>
      <c r="Z43" s="104"/>
      <c r="AA43" s="174">
        <v>43626</v>
      </c>
      <c r="AB43" s="175">
        <v>2018</v>
      </c>
      <c r="AC43" s="185" t="s">
        <v>303</v>
      </c>
      <c r="AD43" s="183">
        <v>352</v>
      </c>
      <c r="AE43" s="181" t="s">
        <v>102</v>
      </c>
      <c r="AF43" s="104"/>
      <c r="AG43" s="104"/>
      <c r="AH43" s="104"/>
      <c r="AI43" s="104"/>
      <c r="AJ43" s="104"/>
      <c r="AK43" s="104"/>
      <c r="AL43" s="104"/>
      <c r="AM43" s="104"/>
      <c r="AN43" s="104"/>
    </row>
    <row r="44" spans="1:40" ht="18" x14ac:dyDescent="0.25">
      <c r="A44" s="249"/>
      <c r="B44" s="165"/>
      <c r="C44" s="249"/>
      <c r="D44" s="356"/>
      <c r="E44" s="356"/>
      <c r="F44" s="356"/>
      <c r="G44" s="356"/>
      <c r="H44" s="356"/>
      <c r="I44" s="356"/>
      <c r="J44" s="356"/>
      <c r="K44" s="356"/>
      <c r="L44" s="356"/>
      <c r="M44" s="356"/>
      <c r="N44" s="356"/>
      <c r="O44" s="356"/>
      <c r="P44" s="356"/>
      <c r="Q44" s="251" t="s">
        <v>35</v>
      </c>
      <c r="R44" s="357">
        <f t="shared" si="13"/>
        <v>0</v>
      </c>
      <c r="S44" s="358">
        <f t="shared" si="14"/>
        <v>0</v>
      </c>
      <c r="T44" s="462" t="e">
        <f t="shared" si="11"/>
        <v>#VALUE!</v>
      </c>
      <c r="U44" s="165"/>
      <c r="V44" s="249"/>
      <c r="W44" s="104"/>
      <c r="X44" s="104"/>
      <c r="Y44" s="104"/>
      <c r="Z44" s="104"/>
      <c r="AA44" s="174">
        <v>43739</v>
      </c>
      <c r="AB44" s="175">
        <v>2017</v>
      </c>
      <c r="AC44" s="185" t="s">
        <v>312</v>
      </c>
      <c r="AD44" s="183">
        <v>275</v>
      </c>
      <c r="AE44" s="181" t="s">
        <v>104</v>
      </c>
      <c r="AF44" s="104"/>
      <c r="AG44" s="104"/>
      <c r="AH44" s="104"/>
      <c r="AI44" s="104"/>
      <c r="AJ44" s="104"/>
      <c r="AK44" s="104"/>
      <c r="AL44" s="104"/>
      <c r="AM44" s="104"/>
      <c r="AN44" s="104"/>
    </row>
    <row r="45" spans="1:40" ht="15" customHeight="1" x14ac:dyDescent="0.25">
      <c r="A45" s="252">
        <v>111575</v>
      </c>
      <c r="B45" s="112">
        <v>2018</v>
      </c>
      <c r="C45" s="252" t="s">
        <v>159</v>
      </c>
      <c r="D45" s="445">
        <v>580</v>
      </c>
      <c r="E45" s="470"/>
      <c r="F45" s="470"/>
      <c r="G45" s="470">
        <v>0</v>
      </c>
      <c r="H45" s="470">
        <v>8</v>
      </c>
      <c r="I45" s="470">
        <f>572-504</f>
        <v>68</v>
      </c>
      <c r="J45" s="470">
        <v>39</v>
      </c>
      <c r="K45" s="470">
        <v>33</v>
      </c>
      <c r="L45" s="470">
        <v>25</v>
      </c>
      <c r="M45" s="470">
        <f>407-369</f>
        <v>38</v>
      </c>
      <c r="N45" s="470">
        <v>28</v>
      </c>
      <c r="O45" s="470">
        <f>341-234</f>
        <v>107</v>
      </c>
      <c r="P45" s="470">
        <f>234-225-4</f>
        <v>5</v>
      </c>
      <c r="Q45" s="256">
        <f t="shared" si="19"/>
        <v>351</v>
      </c>
      <c r="R45" s="359">
        <f t="shared" si="13"/>
        <v>35.1</v>
      </c>
      <c r="S45" s="360">
        <f t="shared" si="14"/>
        <v>6.5242165242165235</v>
      </c>
      <c r="T45" s="461">
        <f t="shared" si="11"/>
        <v>229</v>
      </c>
      <c r="U45" s="112">
        <v>2018</v>
      </c>
      <c r="V45" s="252" t="s">
        <v>159</v>
      </c>
      <c r="W45" s="104"/>
      <c r="X45" s="104"/>
      <c r="Y45" s="104"/>
      <c r="Z45" s="104"/>
      <c r="AA45" s="182">
        <v>43739</v>
      </c>
      <c r="AB45" s="180">
        <v>2018</v>
      </c>
      <c r="AC45" s="185" t="s">
        <v>313</v>
      </c>
      <c r="AD45" s="183">
        <v>22</v>
      </c>
      <c r="AE45" s="181" t="s">
        <v>102</v>
      </c>
      <c r="AF45" s="104"/>
      <c r="AG45" s="104"/>
      <c r="AH45" s="104"/>
      <c r="AI45" s="104"/>
      <c r="AJ45" s="104"/>
      <c r="AK45" s="104"/>
      <c r="AL45" s="104"/>
      <c r="AM45" s="104"/>
      <c r="AN45" s="104"/>
    </row>
    <row r="46" spans="1:40" ht="15" customHeight="1" x14ac:dyDescent="0.25">
      <c r="A46" s="252">
        <v>11198</v>
      </c>
      <c r="B46" s="112">
        <v>2018</v>
      </c>
      <c r="C46" s="252" t="s">
        <v>46</v>
      </c>
      <c r="D46" s="445">
        <v>389</v>
      </c>
      <c r="E46" s="445"/>
      <c r="F46" s="445"/>
      <c r="G46" s="445">
        <v>6</v>
      </c>
      <c r="H46" s="445">
        <v>4</v>
      </c>
      <c r="I46" s="445">
        <v>1</v>
      </c>
      <c r="J46" s="445">
        <v>2</v>
      </c>
      <c r="K46" s="445">
        <v>15</v>
      </c>
      <c r="L46" s="445">
        <v>35</v>
      </c>
      <c r="M46" s="445">
        <f>326-312</f>
        <v>14</v>
      </c>
      <c r="N46" s="445">
        <v>6</v>
      </c>
      <c r="O46" s="445">
        <v>1</v>
      </c>
      <c r="P46" s="445">
        <v>3</v>
      </c>
      <c r="Q46" s="256">
        <f t="shared" si="19"/>
        <v>87</v>
      </c>
      <c r="R46" s="359">
        <f t="shared" si="13"/>
        <v>8.6999999999999993</v>
      </c>
      <c r="S46" s="360">
        <f t="shared" si="14"/>
        <v>34.712643678160923</v>
      </c>
      <c r="T46" s="461">
        <f t="shared" si="11"/>
        <v>302</v>
      </c>
      <c r="U46" s="112">
        <v>2018</v>
      </c>
      <c r="V46" s="252" t="s">
        <v>46</v>
      </c>
      <c r="W46" s="104"/>
      <c r="X46" s="104"/>
      <c r="Y46" s="104"/>
      <c r="Z46" s="104"/>
      <c r="AA46" s="182">
        <v>43746</v>
      </c>
      <c r="AB46" s="180">
        <v>2019</v>
      </c>
      <c r="AC46" s="185" t="s">
        <v>314</v>
      </c>
      <c r="AD46" s="183">
        <v>210</v>
      </c>
      <c r="AE46" s="181" t="s">
        <v>104</v>
      </c>
      <c r="AF46" s="104"/>
      <c r="AG46" s="104"/>
      <c r="AH46" s="104"/>
      <c r="AI46" s="104"/>
      <c r="AJ46" s="104"/>
      <c r="AK46" s="104"/>
      <c r="AL46" s="104"/>
      <c r="AM46" s="104"/>
      <c r="AN46" s="104"/>
    </row>
    <row r="47" spans="1:40" ht="15" customHeight="1" x14ac:dyDescent="0.25">
      <c r="A47" s="252">
        <v>28384</v>
      </c>
      <c r="B47" s="112">
        <v>2018</v>
      </c>
      <c r="C47" s="252" t="s">
        <v>271</v>
      </c>
      <c r="D47" s="445"/>
      <c r="E47" s="445"/>
      <c r="F47" s="445"/>
      <c r="G47" s="445"/>
      <c r="H47" s="445"/>
      <c r="I47" s="445"/>
      <c r="J47" s="445"/>
      <c r="K47" s="445"/>
      <c r="L47" s="445"/>
      <c r="M47" s="445"/>
      <c r="N47" s="445"/>
      <c r="O47" s="445"/>
      <c r="P47" s="445"/>
      <c r="Q47" s="256">
        <f t="shared" si="19"/>
        <v>0</v>
      </c>
      <c r="R47" s="359">
        <f t="shared" si="13"/>
        <v>0</v>
      </c>
      <c r="S47" s="360">
        <f t="shared" si="14"/>
        <v>0</v>
      </c>
      <c r="T47" s="461">
        <f t="shared" si="11"/>
        <v>0</v>
      </c>
      <c r="U47" s="112">
        <v>2018</v>
      </c>
      <c r="V47" s="252" t="s">
        <v>271</v>
      </c>
      <c r="W47" s="104"/>
      <c r="X47" s="104"/>
      <c r="Y47" s="104"/>
      <c r="Z47" s="104"/>
      <c r="AA47" s="182">
        <v>43746</v>
      </c>
      <c r="AB47" s="180">
        <v>2019</v>
      </c>
      <c r="AC47" s="185" t="s">
        <v>315</v>
      </c>
      <c r="AD47" s="183">
        <v>990</v>
      </c>
      <c r="AE47" s="181" t="s">
        <v>104</v>
      </c>
      <c r="AF47" s="104"/>
      <c r="AG47" s="104"/>
      <c r="AH47" s="104"/>
      <c r="AI47" s="104"/>
      <c r="AJ47" s="104"/>
      <c r="AK47" s="104"/>
      <c r="AL47" s="104"/>
      <c r="AM47" s="104"/>
      <c r="AN47" s="104"/>
    </row>
    <row r="48" spans="1:40" ht="15" customHeight="1" x14ac:dyDescent="0.25">
      <c r="A48" s="252">
        <v>57632</v>
      </c>
      <c r="B48" s="112">
        <v>2018</v>
      </c>
      <c r="C48" s="252" t="s">
        <v>31</v>
      </c>
      <c r="D48" s="445">
        <v>540</v>
      </c>
      <c r="E48" s="445"/>
      <c r="F48" s="445"/>
      <c r="G48" s="445"/>
      <c r="H48" s="445"/>
      <c r="I48" s="445"/>
      <c r="J48" s="445">
        <v>6</v>
      </c>
      <c r="K48" s="445">
        <v>4</v>
      </c>
      <c r="L48" s="445">
        <v>2</v>
      </c>
      <c r="M48" s="445">
        <v>6</v>
      </c>
      <c r="N48" s="445">
        <v>0</v>
      </c>
      <c r="O48" s="445">
        <v>0</v>
      </c>
      <c r="P48" s="445">
        <v>0</v>
      </c>
      <c r="Q48" s="256">
        <f t="shared" si="19"/>
        <v>18</v>
      </c>
      <c r="R48" s="359">
        <f t="shared" si="13"/>
        <v>2.5714285714285716</v>
      </c>
      <c r="S48" s="360">
        <f t="shared" si="14"/>
        <v>202.99999999999997</v>
      </c>
      <c r="T48" s="461">
        <f t="shared" si="11"/>
        <v>522</v>
      </c>
      <c r="U48" s="112">
        <v>2018</v>
      </c>
      <c r="V48" s="252" t="s">
        <v>31</v>
      </c>
      <c r="W48" s="104"/>
      <c r="X48" s="104"/>
      <c r="Y48" s="104"/>
      <c r="Z48" s="104"/>
      <c r="AA48" s="182">
        <v>43746</v>
      </c>
      <c r="AB48" s="180">
        <v>2019</v>
      </c>
      <c r="AC48" s="185" t="s">
        <v>316</v>
      </c>
      <c r="AD48" s="183">
        <v>570</v>
      </c>
      <c r="AE48" s="181" t="s">
        <v>104</v>
      </c>
      <c r="AF48" s="104"/>
      <c r="AG48" s="104"/>
      <c r="AH48" s="104"/>
      <c r="AI48" s="104"/>
      <c r="AJ48" s="104"/>
      <c r="AK48" s="104"/>
      <c r="AL48" s="104"/>
      <c r="AM48" s="104"/>
      <c r="AN48" s="104"/>
    </row>
    <row r="49" spans="1:40" ht="15" customHeight="1" x14ac:dyDescent="0.25">
      <c r="A49" s="252">
        <v>57630</v>
      </c>
      <c r="B49" s="112">
        <v>2018</v>
      </c>
      <c r="C49" s="252" t="s">
        <v>25</v>
      </c>
      <c r="D49" s="445">
        <v>383</v>
      </c>
      <c r="E49" s="445"/>
      <c r="F49" s="445"/>
      <c r="G49" s="445"/>
      <c r="H49" s="445"/>
      <c r="I49" s="445"/>
      <c r="J49" s="445"/>
      <c r="K49" s="445">
        <v>4</v>
      </c>
      <c r="L49" s="445">
        <v>5</v>
      </c>
      <c r="M49" s="445">
        <v>3</v>
      </c>
      <c r="N49" s="445">
        <v>0</v>
      </c>
      <c r="O49" s="445">
        <v>0</v>
      </c>
      <c r="P49" s="445">
        <f>371-367</f>
        <v>4</v>
      </c>
      <c r="Q49" s="256">
        <f t="shared" si="19"/>
        <v>16</v>
      </c>
      <c r="R49" s="359">
        <f t="shared" si="13"/>
        <v>2.6666666666666665</v>
      </c>
      <c r="S49" s="360">
        <f t="shared" si="14"/>
        <v>137.625</v>
      </c>
      <c r="T49" s="461">
        <f t="shared" si="11"/>
        <v>367</v>
      </c>
      <c r="U49" s="112">
        <v>2018</v>
      </c>
      <c r="V49" s="252" t="s">
        <v>25</v>
      </c>
      <c r="W49" s="104"/>
      <c r="X49" s="104"/>
      <c r="Y49" s="104"/>
      <c r="Z49" s="104"/>
      <c r="AA49" s="182">
        <v>43746</v>
      </c>
      <c r="AB49" s="180">
        <v>2019</v>
      </c>
      <c r="AC49" s="185" t="s">
        <v>317</v>
      </c>
      <c r="AD49" s="183">
        <v>660</v>
      </c>
      <c r="AE49" s="181" t="s">
        <v>104</v>
      </c>
      <c r="AF49" s="104"/>
      <c r="AG49" s="104"/>
      <c r="AH49" s="104"/>
      <c r="AI49" s="104"/>
      <c r="AJ49" s="104"/>
      <c r="AK49" s="104"/>
      <c r="AL49" s="104"/>
      <c r="AM49" s="104"/>
      <c r="AN49" s="104"/>
    </row>
    <row r="50" spans="1:40" ht="15" customHeight="1" x14ac:dyDescent="0.25">
      <c r="A50" s="252">
        <v>137518</v>
      </c>
      <c r="B50" s="112">
        <v>2018</v>
      </c>
      <c r="C50" s="252" t="s">
        <v>108</v>
      </c>
      <c r="D50" s="445">
        <v>273</v>
      </c>
      <c r="E50" s="445"/>
      <c r="F50" s="445"/>
      <c r="G50" s="445">
        <v>24</v>
      </c>
      <c r="H50" s="445">
        <v>3</v>
      </c>
      <c r="I50" s="445">
        <f>246-198</f>
        <v>48</v>
      </c>
      <c r="J50" s="445">
        <v>17</v>
      </c>
      <c r="K50" s="445">
        <v>22</v>
      </c>
      <c r="L50" s="445">
        <v>16</v>
      </c>
      <c r="M50" s="445">
        <f>143-118</f>
        <v>25</v>
      </c>
      <c r="N50" s="445">
        <v>20</v>
      </c>
      <c r="O50" s="445">
        <v>28</v>
      </c>
      <c r="P50" s="445">
        <f>70-59-5</f>
        <v>6</v>
      </c>
      <c r="Q50" s="256">
        <f t="shared" si="19"/>
        <v>209</v>
      </c>
      <c r="R50" s="359">
        <f t="shared" si="13"/>
        <v>20.9</v>
      </c>
      <c r="S50" s="360">
        <f t="shared" si="14"/>
        <v>3.062200956937799</v>
      </c>
      <c r="T50" s="461">
        <f t="shared" si="11"/>
        <v>64</v>
      </c>
      <c r="U50" s="112">
        <v>2018</v>
      </c>
      <c r="V50" s="252" t="s">
        <v>108</v>
      </c>
      <c r="W50" s="104"/>
      <c r="X50" s="104"/>
      <c r="Y50" s="104"/>
      <c r="Z50" s="104"/>
      <c r="AA50" s="182">
        <v>43746</v>
      </c>
      <c r="AB50" s="180">
        <v>2019</v>
      </c>
      <c r="AC50" s="185" t="s">
        <v>318</v>
      </c>
      <c r="AD50" s="183">
        <v>330</v>
      </c>
      <c r="AE50" s="181" t="s">
        <v>104</v>
      </c>
      <c r="AF50" s="104"/>
      <c r="AG50" s="104"/>
      <c r="AH50" s="104"/>
      <c r="AI50" s="104"/>
      <c r="AJ50" s="104"/>
      <c r="AK50" s="104"/>
      <c r="AL50" s="104"/>
      <c r="AM50" s="104"/>
      <c r="AN50" s="104"/>
    </row>
    <row r="51" spans="1:40" ht="15" customHeight="1" x14ac:dyDescent="0.25">
      <c r="A51" s="252">
        <v>133688</v>
      </c>
      <c r="B51" s="112">
        <v>2018</v>
      </c>
      <c r="C51" s="252" t="s">
        <v>23</v>
      </c>
      <c r="D51" s="445">
        <v>666</v>
      </c>
      <c r="E51" s="445"/>
      <c r="F51" s="445"/>
      <c r="G51" s="445"/>
      <c r="H51" s="445"/>
      <c r="I51" s="445"/>
      <c r="J51" s="445"/>
      <c r="K51" s="445">
        <v>0</v>
      </c>
      <c r="L51" s="445">
        <v>9</v>
      </c>
      <c r="M51" s="445">
        <v>5</v>
      </c>
      <c r="N51" s="445">
        <v>1</v>
      </c>
      <c r="O51" s="445">
        <f>651-649</f>
        <v>2</v>
      </c>
      <c r="P51" s="445">
        <f>6-1</f>
        <v>5</v>
      </c>
      <c r="Q51" s="256">
        <f t="shared" si="19"/>
        <v>22</v>
      </c>
      <c r="R51" s="359">
        <f t="shared" si="13"/>
        <v>3.6666666666666665</v>
      </c>
      <c r="S51" s="360">
        <f t="shared" si="14"/>
        <v>175.63636363636365</v>
      </c>
      <c r="T51" s="461">
        <f t="shared" si="11"/>
        <v>644</v>
      </c>
      <c r="U51" s="112">
        <v>2018</v>
      </c>
      <c r="V51" s="252" t="s">
        <v>23</v>
      </c>
      <c r="W51" s="104"/>
      <c r="X51" s="104"/>
      <c r="Y51" s="104"/>
      <c r="Z51" s="104"/>
      <c r="AA51" s="182">
        <v>43746</v>
      </c>
      <c r="AB51" s="180">
        <v>2019</v>
      </c>
      <c r="AC51" s="185" t="s">
        <v>319</v>
      </c>
      <c r="AD51" s="183">
        <v>660</v>
      </c>
      <c r="AE51" s="181" t="s">
        <v>104</v>
      </c>
      <c r="AF51" s="104"/>
      <c r="AG51" s="104"/>
      <c r="AH51" s="104"/>
      <c r="AI51" s="104"/>
      <c r="AJ51" s="104"/>
      <c r="AK51" s="104"/>
      <c r="AL51" s="104"/>
      <c r="AM51" s="104"/>
      <c r="AN51" s="104"/>
    </row>
    <row r="52" spans="1:40" ht="15" customHeight="1" x14ac:dyDescent="0.25">
      <c r="A52" s="252">
        <v>27736</v>
      </c>
      <c r="B52" s="112">
        <v>2018</v>
      </c>
      <c r="C52" s="252" t="s">
        <v>70</v>
      </c>
      <c r="D52" s="445">
        <v>513</v>
      </c>
      <c r="E52" s="445"/>
      <c r="F52" s="445"/>
      <c r="G52" s="445"/>
      <c r="H52" s="445"/>
      <c r="I52" s="445"/>
      <c r="J52" s="445"/>
      <c r="K52" s="445"/>
      <c r="L52" s="445"/>
      <c r="M52" s="445"/>
      <c r="N52" s="445"/>
      <c r="O52" s="445"/>
      <c r="P52" s="445">
        <f>513-468-2</f>
        <v>43</v>
      </c>
      <c r="Q52" s="256">
        <f t="shared" si="19"/>
        <v>43</v>
      </c>
      <c r="R52" s="359">
        <f t="shared" si="13"/>
        <v>43</v>
      </c>
      <c r="S52" s="360">
        <f t="shared" si="14"/>
        <v>10.930232558139535</v>
      </c>
      <c r="T52" s="461">
        <f t="shared" si="11"/>
        <v>470</v>
      </c>
      <c r="U52" s="112">
        <v>2018</v>
      </c>
      <c r="V52" s="252" t="s">
        <v>70</v>
      </c>
      <c r="W52" s="104"/>
      <c r="X52" s="104"/>
      <c r="Y52" s="104"/>
      <c r="Z52" s="104"/>
      <c r="AA52" s="182">
        <v>43746</v>
      </c>
      <c r="AB52" s="180">
        <v>2019</v>
      </c>
      <c r="AC52" s="185" t="s">
        <v>320</v>
      </c>
      <c r="AD52" s="183">
        <v>660</v>
      </c>
      <c r="AE52" s="181" t="s">
        <v>104</v>
      </c>
      <c r="AF52" s="104"/>
      <c r="AG52" s="104"/>
      <c r="AH52" s="104"/>
      <c r="AI52" s="104"/>
      <c r="AJ52" s="104"/>
      <c r="AK52" s="104"/>
      <c r="AL52" s="104"/>
      <c r="AM52" s="104"/>
      <c r="AN52" s="104"/>
    </row>
    <row r="53" spans="1:40" ht="15" customHeight="1" x14ac:dyDescent="0.25">
      <c r="A53" s="252">
        <v>135371</v>
      </c>
      <c r="B53" s="112">
        <v>2018</v>
      </c>
      <c r="C53" s="252" t="s">
        <v>307</v>
      </c>
      <c r="D53" s="445">
        <v>384</v>
      </c>
      <c r="E53" s="445"/>
      <c r="F53" s="445"/>
      <c r="G53" s="445"/>
      <c r="H53" s="445"/>
      <c r="I53" s="445"/>
      <c r="J53" s="445"/>
      <c r="K53" s="445"/>
      <c r="L53" s="445"/>
      <c r="M53" s="445"/>
      <c r="N53" s="445"/>
      <c r="O53" s="445"/>
      <c r="P53" s="445">
        <f>384-342-2</f>
        <v>40</v>
      </c>
      <c r="Q53" s="256">
        <f t="shared" si="19"/>
        <v>40</v>
      </c>
      <c r="R53" s="359">
        <f t="shared" si="13"/>
        <v>40</v>
      </c>
      <c r="S53" s="360">
        <f t="shared" si="14"/>
        <v>8.6</v>
      </c>
      <c r="T53" s="461">
        <f t="shared" si="11"/>
        <v>344</v>
      </c>
      <c r="U53" s="112">
        <v>2018</v>
      </c>
      <c r="V53" s="252" t="s">
        <v>307</v>
      </c>
      <c r="W53" s="104"/>
      <c r="X53" s="104"/>
      <c r="Y53" s="104"/>
      <c r="Z53" s="104"/>
      <c r="AA53" s="182">
        <v>43746</v>
      </c>
      <c r="AB53" s="180">
        <v>2019</v>
      </c>
      <c r="AC53" s="185" t="s">
        <v>321</v>
      </c>
      <c r="AD53" s="183">
        <v>275</v>
      </c>
      <c r="AE53" s="181" t="s">
        <v>104</v>
      </c>
      <c r="AF53" s="104"/>
      <c r="AG53" s="104"/>
      <c r="AH53" s="104"/>
      <c r="AI53" s="104"/>
      <c r="AJ53" s="104"/>
      <c r="AK53" s="104"/>
      <c r="AL53" s="104"/>
      <c r="AM53" s="104"/>
      <c r="AN53" s="104"/>
    </row>
    <row r="54" spans="1:40" ht="15" customHeight="1" x14ac:dyDescent="0.25">
      <c r="A54" s="252">
        <v>22921</v>
      </c>
      <c r="B54" s="112">
        <v>2018</v>
      </c>
      <c r="C54" s="252" t="s">
        <v>278</v>
      </c>
      <c r="D54" s="445">
        <v>1001</v>
      </c>
      <c r="E54" s="445"/>
      <c r="F54" s="445"/>
      <c r="G54" s="445"/>
      <c r="H54" s="445"/>
      <c r="I54" s="445"/>
      <c r="J54" s="445"/>
      <c r="K54" s="445"/>
      <c r="L54" s="445"/>
      <c r="M54" s="445"/>
      <c r="N54" s="445"/>
      <c r="O54" s="445"/>
      <c r="P54" s="445">
        <f>1001-994</f>
        <v>7</v>
      </c>
      <c r="Q54" s="256">
        <f t="shared" si="19"/>
        <v>7</v>
      </c>
      <c r="R54" s="359">
        <f t="shared" si="13"/>
        <v>7</v>
      </c>
      <c r="S54" s="360">
        <f t="shared" si="14"/>
        <v>142</v>
      </c>
      <c r="T54" s="461">
        <f t="shared" si="11"/>
        <v>994</v>
      </c>
      <c r="U54" s="112">
        <v>2018</v>
      </c>
      <c r="V54" s="252" t="s">
        <v>278</v>
      </c>
      <c r="W54" s="104"/>
      <c r="X54" s="104"/>
      <c r="Y54" s="104"/>
      <c r="Z54" s="104"/>
      <c r="AA54" s="182">
        <v>43746</v>
      </c>
      <c r="AB54" s="175">
        <v>2019</v>
      </c>
      <c r="AC54" s="185" t="s">
        <v>322</v>
      </c>
      <c r="AD54" s="176">
        <v>150</v>
      </c>
      <c r="AE54" s="181" t="s">
        <v>104</v>
      </c>
      <c r="AF54" s="104"/>
      <c r="AG54" s="104"/>
      <c r="AH54" s="104"/>
      <c r="AI54" s="104"/>
      <c r="AJ54" s="104"/>
      <c r="AK54" s="104"/>
      <c r="AL54" s="104"/>
      <c r="AM54" s="104"/>
      <c r="AN54" s="104"/>
    </row>
    <row r="55" spans="1:40" ht="15" customHeight="1" x14ac:dyDescent="0.25">
      <c r="A55" s="252"/>
      <c r="B55" s="112" t="s">
        <v>306</v>
      </c>
      <c r="C55" s="252" t="s">
        <v>94</v>
      </c>
      <c r="D55" s="445">
        <v>1173</v>
      </c>
      <c r="E55" s="445"/>
      <c r="F55" s="445"/>
      <c r="G55" s="445"/>
      <c r="H55" s="445"/>
      <c r="I55" s="445"/>
      <c r="J55" s="445"/>
      <c r="K55" s="445"/>
      <c r="L55" s="445"/>
      <c r="M55" s="445"/>
      <c r="N55" s="445"/>
      <c r="O55" s="445"/>
      <c r="P55" s="445">
        <f>1173-1148-2</f>
        <v>23</v>
      </c>
      <c r="Q55" s="256">
        <f t="shared" si="19"/>
        <v>23</v>
      </c>
      <c r="R55" s="359">
        <f t="shared" si="13"/>
        <v>23</v>
      </c>
      <c r="S55" s="360">
        <f t="shared" si="14"/>
        <v>50</v>
      </c>
      <c r="T55" s="461">
        <f t="shared" si="11"/>
        <v>1150</v>
      </c>
      <c r="U55" s="112" t="s">
        <v>306</v>
      </c>
      <c r="V55" s="252" t="s">
        <v>94</v>
      </c>
      <c r="W55" s="104"/>
      <c r="X55" s="104"/>
      <c r="Y55" s="104"/>
      <c r="Z55" s="104"/>
      <c r="AA55" s="182">
        <v>43746</v>
      </c>
      <c r="AB55" s="175">
        <v>2019</v>
      </c>
      <c r="AC55" s="185" t="s">
        <v>323</v>
      </c>
      <c r="AD55" s="176">
        <v>330</v>
      </c>
      <c r="AE55" s="181" t="s">
        <v>104</v>
      </c>
      <c r="AF55" s="104"/>
      <c r="AG55" s="104"/>
      <c r="AH55" s="104"/>
      <c r="AI55" s="104"/>
      <c r="AJ55" s="104"/>
      <c r="AK55" s="104"/>
      <c r="AL55" s="104"/>
      <c r="AM55" s="104"/>
      <c r="AN55" s="104"/>
    </row>
    <row r="56" spans="1:40" ht="15" customHeight="1" x14ac:dyDescent="0.25">
      <c r="A56" s="252">
        <v>22384</v>
      </c>
      <c r="B56" s="112">
        <v>2018</v>
      </c>
      <c r="C56" s="252" t="s">
        <v>26</v>
      </c>
      <c r="D56" s="445">
        <v>415</v>
      </c>
      <c r="E56" s="445"/>
      <c r="F56" s="445"/>
      <c r="G56" s="445"/>
      <c r="H56" s="445"/>
      <c r="I56" s="445"/>
      <c r="J56" s="445"/>
      <c r="K56" s="445">
        <v>0</v>
      </c>
      <c r="L56" s="445">
        <v>0</v>
      </c>
      <c r="M56" s="445">
        <v>0</v>
      </c>
      <c r="N56" s="445">
        <v>16</v>
      </c>
      <c r="O56" s="445">
        <v>40</v>
      </c>
      <c r="P56" s="445">
        <f>359-342-3</f>
        <v>14</v>
      </c>
      <c r="Q56" s="256">
        <f t="shared" ref="Q56" si="20">SUM(E56:P56)</f>
        <v>70</v>
      </c>
      <c r="R56" s="359">
        <f t="shared" si="13"/>
        <v>11.666666666666666</v>
      </c>
      <c r="S56" s="360">
        <f t="shared" ref="S56" si="21">IFERROR((T56/R56),0)</f>
        <v>29.571428571428573</v>
      </c>
      <c r="T56" s="461">
        <f t="shared" ref="T56" si="22">SUM(D56-Q56)</f>
        <v>345</v>
      </c>
      <c r="U56" s="112">
        <v>2018</v>
      </c>
      <c r="V56" s="252" t="str">
        <f>+C56</f>
        <v>Merlot</v>
      </c>
      <c r="W56" s="104"/>
      <c r="X56" s="104"/>
      <c r="Y56" s="104"/>
      <c r="Z56" s="104"/>
      <c r="AA56" s="182">
        <v>43746</v>
      </c>
      <c r="AB56" s="175">
        <v>2019</v>
      </c>
      <c r="AC56" s="185" t="s">
        <v>324</v>
      </c>
      <c r="AD56" s="176">
        <v>330</v>
      </c>
      <c r="AE56" s="181" t="s">
        <v>104</v>
      </c>
      <c r="AF56" s="104"/>
      <c r="AG56" s="104"/>
      <c r="AH56" s="104"/>
      <c r="AI56" s="104"/>
      <c r="AJ56" s="104"/>
      <c r="AK56" s="104"/>
      <c r="AL56" s="104"/>
      <c r="AM56" s="104"/>
      <c r="AN56" s="104"/>
    </row>
    <row r="57" spans="1:40" ht="15" customHeight="1" x14ac:dyDescent="0.25">
      <c r="A57" s="252"/>
      <c r="B57" s="116" t="s">
        <v>133</v>
      </c>
      <c r="C57" s="252" t="s">
        <v>325</v>
      </c>
      <c r="D57" s="445">
        <v>132</v>
      </c>
      <c r="E57" s="445"/>
      <c r="F57" s="445"/>
      <c r="G57" s="445"/>
      <c r="H57" s="445"/>
      <c r="I57" s="445"/>
      <c r="J57" s="445"/>
      <c r="K57" s="445"/>
      <c r="L57" s="445"/>
      <c r="M57" s="445"/>
      <c r="N57" s="445"/>
      <c r="O57" s="445"/>
      <c r="P57" s="445"/>
      <c r="Q57" s="255"/>
      <c r="R57" s="367"/>
      <c r="S57" s="360"/>
      <c r="T57" s="461"/>
      <c r="U57" s="116" t="s">
        <v>133</v>
      </c>
      <c r="V57" s="252" t="s">
        <v>325</v>
      </c>
      <c r="W57" s="104"/>
      <c r="X57" s="104"/>
      <c r="Y57" s="104"/>
      <c r="Z57" s="104"/>
      <c r="AA57" s="182">
        <v>43746</v>
      </c>
      <c r="AB57" s="175">
        <v>2019</v>
      </c>
      <c r="AC57" s="185" t="s">
        <v>326</v>
      </c>
      <c r="AD57" s="176">
        <v>405</v>
      </c>
      <c r="AE57" s="181" t="s">
        <v>104</v>
      </c>
      <c r="AF57" s="104"/>
      <c r="AG57" s="104"/>
      <c r="AH57" s="104"/>
      <c r="AI57" s="104"/>
      <c r="AJ57" s="104"/>
      <c r="AK57" s="104"/>
      <c r="AL57" s="104"/>
      <c r="AM57" s="104"/>
      <c r="AN57" s="104"/>
    </row>
    <row r="58" spans="1:40" ht="15" customHeight="1" x14ac:dyDescent="0.25">
      <c r="A58" s="252"/>
      <c r="B58" s="112"/>
      <c r="C58" s="252"/>
      <c r="D58" s="445"/>
      <c r="E58" s="445"/>
      <c r="F58" s="445"/>
      <c r="G58" s="445"/>
      <c r="H58" s="445"/>
      <c r="I58" s="445"/>
      <c r="J58" s="445"/>
      <c r="K58" s="445"/>
      <c r="L58" s="445"/>
      <c r="M58" s="445"/>
      <c r="N58" s="445"/>
      <c r="O58" s="445"/>
      <c r="P58" s="445"/>
      <c r="Q58" s="255"/>
      <c r="R58" s="367"/>
      <c r="S58" s="360"/>
      <c r="T58" s="461"/>
      <c r="U58" s="112"/>
      <c r="V58" s="252"/>
      <c r="W58" s="104"/>
      <c r="X58" s="104"/>
      <c r="Y58" s="104"/>
      <c r="Z58" s="104"/>
      <c r="AA58" s="182">
        <v>43753</v>
      </c>
      <c r="AB58" s="180">
        <v>2016</v>
      </c>
      <c r="AC58" s="185" t="s">
        <v>312</v>
      </c>
      <c r="AD58" s="183">
        <v>120</v>
      </c>
      <c r="AE58" s="181" t="s">
        <v>104</v>
      </c>
      <c r="AF58" s="104"/>
      <c r="AG58" s="104"/>
      <c r="AH58" s="104"/>
      <c r="AI58" s="104"/>
      <c r="AJ58" s="104"/>
      <c r="AK58" s="104"/>
      <c r="AL58" s="104"/>
      <c r="AM58" s="104"/>
      <c r="AN58" s="104"/>
    </row>
    <row r="59" spans="1:40" ht="18" x14ac:dyDescent="0.25">
      <c r="A59" s="249"/>
      <c r="B59" s="165"/>
      <c r="C59" s="249"/>
      <c r="D59" s="356"/>
      <c r="E59" s="356"/>
      <c r="F59" s="356"/>
      <c r="G59" s="356"/>
      <c r="H59" s="356"/>
      <c r="I59" s="356"/>
      <c r="J59" s="356"/>
      <c r="K59" s="356"/>
      <c r="L59" s="356"/>
      <c r="M59" s="356"/>
      <c r="N59" s="356"/>
      <c r="O59" s="356"/>
      <c r="P59" s="356"/>
      <c r="Q59" s="251"/>
      <c r="R59" s="357"/>
      <c r="S59" s="358"/>
      <c r="T59" s="462"/>
      <c r="U59" s="165"/>
      <c r="V59" s="249"/>
      <c r="W59" s="104"/>
      <c r="X59" s="104"/>
      <c r="Y59" s="104"/>
      <c r="Z59" s="104"/>
      <c r="AA59" s="182">
        <v>43753</v>
      </c>
      <c r="AB59" s="180">
        <v>2016</v>
      </c>
      <c r="AC59" s="185" t="s">
        <v>327</v>
      </c>
      <c r="AD59" s="183">
        <v>390</v>
      </c>
      <c r="AE59" s="181" t="s">
        <v>104</v>
      </c>
      <c r="AF59" s="104"/>
      <c r="AG59" s="104"/>
      <c r="AH59" s="104"/>
      <c r="AI59" s="104"/>
      <c r="AJ59" s="104"/>
      <c r="AK59" s="104"/>
      <c r="AL59" s="104"/>
      <c r="AM59" s="104"/>
      <c r="AN59" s="104"/>
    </row>
    <row r="60" spans="1:40" ht="15.75" customHeight="1" x14ac:dyDescent="0.25">
      <c r="A60" s="252" t="s">
        <v>35</v>
      </c>
      <c r="B60" s="116" t="s">
        <v>133</v>
      </c>
      <c r="C60" s="252" t="s">
        <v>328</v>
      </c>
      <c r="D60" s="445">
        <v>0</v>
      </c>
      <c r="E60" s="446"/>
      <c r="F60" s="446"/>
      <c r="G60" s="446" t="s">
        <v>35</v>
      </c>
      <c r="H60" s="446" t="s">
        <v>35</v>
      </c>
      <c r="I60" s="446" t="s">
        <v>35</v>
      </c>
      <c r="J60" s="446" t="s">
        <v>35</v>
      </c>
      <c r="K60" s="446" t="s">
        <v>35</v>
      </c>
      <c r="L60" s="446" t="s">
        <v>35</v>
      </c>
      <c r="M60" s="446" t="s">
        <v>35</v>
      </c>
      <c r="N60" s="446" t="s">
        <v>35</v>
      </c>
      <c r="O60" s="446" t="s">
        <v>35</v>
      </c>
      <c r="P60" s="446"/>
      <c r="Q60" s="256">
        <f t="shared" ref="Q60:Q70" si="23">SUM(E60:P60)</f>
        <v>0</v>
      </c>
      <c r="R60" s="359">
        <f t="shared" ref="R60:R69" si="24">IFERROR((AVERAGE(E60:P60)),0)</f>
        <v>0</v>
      </c>
      <c r="S60" s="360">
        <f t="shared" ref="S60:S70" si="25">IFERROR((T60/R60),0)</f>
        <v>0</v>
      </c>
      <c r="T60" s="461">
        <f t="shared" ref="T60:T70" si="26">SUM(D60-Q60)</f>
        <v>0</v>
      </c>
      <c r="U60" s="112">
        <v>2019</v>
      </c>
      <c r="V60" s="252" t="s">
        <v>328</v>
      </c>
      <c r="W60" s="104"/>
      <c r="X60" s="104"/>
      <c r="Y60" s="104"/>
      <c r="Z60" s="104"/>
      <c r="AA60" s="182">
        <v>43753</v>
      </c>
      <c r="AB60" s="180">
        <v>2018</v>
      </c>
      <c r="AC60" s="185" t="s">
        <v>329</v>
      </c>
      <c r="AD60" s="183">
        <v>180</v>
      </c>
      <c r="AE60" s="181" t="s">
        <v>104</v>
      </c>
      <c r="AF60" s="104"/>
      <c r="AG60" s="104"/>
      <c r="AH60" s="104"/>
      <c r="AI60" s="104"/>
      <c r="AJ60" s="104"/>
      <c r="AK60" s="104"/>
      <c r="AL60" s="104"/>
      <c r="AM60" s="104"/>
      <c r="AN60" s="104"/>
    </row>
    <row r="61" spans="1:40" ht="15.75" customHeight="1" x14ac:dyDescent="0.25">
      <c r="A61" s="252">
        <v>11198</v>
      </c>
      <c r="B61" s="112">
        <v>2019</v>
      </c>
      <c r="C61" s="252" t="s">
        <v>46</v>
      </c>
      <c r="D61" s="445">
        <v>0</v>
      </c>
      <c r="E61" s="446"/>
      <c r="F61" s="446"/>
      <c r="G61" s="446" t="s">
        <v>35</v>
      </c>
      <c r="H61" s="446" t="s">
        <v>35</v>
      </c>
      <c r="I61" s="446" t="s">
        <v>35</v>
      </c>
      <c r="J61" s="446" t="s">
        <v>35</v>
      </c>
      <c r="K61" s="446" t="s">
        <v>35</v>
      </c>
      <c r="L61" s="446" t="s">
        <v>35</v>
      </c>
      <c r="M61" s="446" t="s">
        <v>35</v>
      </c>
      <c r="N61" s="446" t="s">
        <v>35</v>
      </c>
      <c r="O61" s="446" t="s">
        <v>35</v>
      </c>
      <c r="P61" s="446"/>
      <c r="Q61" s="256">
        <f t="shared" si="23"/>
        <v>0</v>
      </c>
      <c r="R61" s="359">
        <f t="shared" si="24"/>
        <v>0</v>
      </c>
      <c r="S61" s="360">
        <f t="shared" si="25"/>
        <v>0</v>
      </c>
      <c r="T61" s="461">
        <f t="shared" si="26"/>
        <v>0</v>
      </c>
      <c r="U61" s="112">
        <v>2019</v>
      </c>
      <c r="V61" s="252" t="s">
        <v>46</v>
      </c>
      <c r="W61" s="104"/>
      <c r="X61" s="104"/>
      <c r="Y61" s="104"/>
      <c r="Z61" s="104"/>
      <c r="AA61" s="182">
        <v>43753</v>
      </c>
      <c r="AB61" s="180">
        <v>2018</v>
      </c>
      <c r="AC61" s="185" t="s">
        <v>327</v>
      </c>
      <c r="AD61" s="183">
        <v>120</v>
      </c>
      <c r="AE61" s="181" t="s">
        <v>104</v>
      </c>
      <c r="AF61" s="104"/>
      <c r="AG61" s="104"/>
      <c r="AH61" s="104"/>
      <c r="AI61" s="104"/>
      <c r="AJ61" s="104"/>
      <c r="AK61" s="104"/>
      <c r="AL61" s="104"/>
      <c r="AM61" s="104"/>
      <c r="AN61" s="104"/>
    </row>
    <row r="62" spans="1:40" ht="15.75" customHeight="1" x14ac:dyDescent="0.25">
      <c r="A62" s="252" t="s">
        <v>35</v>
      </c>
      <c r="B62" s="112">
        <v>2019</v>
      </c>
      <c r="C62" s="252" t="s">
        <v>330</v>
      </c>
      <c r="D62" s="445">
        <v>0</v>
      </c>
      <c r="E62" s="446"/>
      <c r="F62" s="446"/>
      <c r="G62" s="446"/>
      <c r="H62" s="446"/>
      <c r="I62" s="446"/>
      <c r="J62" s="446"/>
      <c r="K62" s="446"/>
      <c r="L62" s="446"/>
      <c r="M62" s="446"/>
      <c r="N62" s="446"/>
      <c r="O62" s="446"/>
      <c r="P62" s="446"/>
      <c r="Q62" s="256">
        <f t="shared" si="23"/>
        <v>0</v>
      </c>
      <c r="R62" s="359">
        <f t="shared" si="24"/>
        <v>0</v>
      </c>
      <c r="S62" s="360">
        <f t="shared" si="25"/>
        <v>0</v>
      </c>
      <c r="T62" s="461">
        <f t="shared" si="26"/>
        <v>0</v>
      </c>
      <c r="U62" s="112">
        <v>2019</v>
      </c>
      <c r="V62" s="252" t="s">
        <v>330</v>
      </c>
      <c r="W62" s="104"/>
      <c r="X62" s="104"/>
      <c r="Y62" s="104"/>
      <c r="Z62" s="104"/>
      <c r="AA62" s="182">
        <v>43753</v>
      </c>
      <c r="AB62" s="180">
        <v>2018</v>
      </c>
      <c r="AC62" s="185" t="s">
        <v>331</v>
      </c>
      <c r="AD62" s="183">
        <v>360</v>
      </c>
      <c r="AE62" s="181" t="s">
        <v>104</v>
      </c>
      <c r="AF62" s="104"/>
      <c r="AG62" s="104"/>
      <c r="AH62" s="104"/>
      <c r="AI62" s="104"/>
      <c r="AJ62" s="104"/>
      <c r="AK62" s="104"/>
      <c r="AL62" s="104"/>
      <c r="AM62" s="104"/>
      <c r="AN62" s="104"/>
    </row>
    <row r="63" spans="1:40" ht="15.75" customHeight="1" x14ac:dyDescent="0.25">
      <c r="A63" s="252">
        <v>57632</v>
      </c>
      <c r="B63" s="112">
        <v>2019</v>
      </c>
      <c r="C63" s="252" t="s">
        <v>31</v>
      </c>
      <c r="D63" s="445">
        <v>0</v>
      </c>
      <c r="E63" s="446"/>
      <c r="F63" s="446"/>
      <c r="G63" s="446"/>
      <c r="H63" s="446"/>
      <c r="I63" s="446"/>
      <c r="J63" s="446" t="s">
        <v>35</v>
      </c>
      <c r="K63" s="446" t="s">
        <v>35</v>
      </c>
      <c r="L63" s="446" t="s">
        <v>35</v>
      </c>
      <c r="M63" s="446" t="s">
        <v>35</v>
      </c>
      <c r="N63" s="446" t="s">
        <v>35</v>
      </c>
      <c r="O63" s="446" t="s">
        <v>35</v>
      </c>
      <c r="P63" s="446"/>
      <c r="Q63" s="256">
        <f t="shared" si="23"/>
        <v>0</v>
      </c>
      <c r="R63" s="359">
        <f t="shared" si="24"/>
        <v>0</v>
      </c>
      <c r="S63" s="360">
        <f t="shared" si="25"/>
        <v>0</v>
      </c>
      <c r="T63" s="461">
        <f t="shared" si="26"/>
        <v>0</v>
      </c>
      <c r="U63" s="112">
        <v>2019</v>
      </c>
      <c r="V63" s="252" t="s">
        <v>31</v>
      </c>
      <c r="W63" s="104"/>
      <c r="X63" s="104"/>
      <c r="Y63" s="104"/>
      <c r="Z63" s="104"/>
      <c r="AA63" s="182">
        <v>43767</v>
      </c>
      <c r="AB63" s="180">
        <v>2019</v>
      </c>
      <c r="AC63" s="185" t="s">
        <v>332</v>
      </c>
      <c r="AD63" s="183">
        <v>275</v>
      </c>
      <c r="AE63" s="181" t="s">
        <v>104</v>
      </c>
      <c r="AF63" s="104"/>
      <c r="AG63" s="104"/>
      <c r="AH63" s="104"/>
      <c r="AI63" s="104"/>
      <c r="AJ63" s="104"/>
      <c r="AK63" s="104"/>
      <c r="AL63" s="104"/>
      <c r="AM63" s="104"/>
      <c r="AN63" s="104"/>
    </row>
    <row r="64" spans="1:40" ht="15.75" customHeight="1" x14ac:dyDescent="0.25">
      <c r="A64" s="252">
        <v>57630</v>
      </c>
      <c r="B64" s="112">
        <v>2019</v>
      </c>
      <c r="C64" s="252" t="s">
        <v>25</v>
      </c>
      <c r="D64" s="445">
        <v>0</v>
      </c>
      <c r="E64" s="446"/>
      <c r="F64" s="446"/>
      <c r="G64" s="446"/>
      <c r="H64" s="446"/>
      <c r="I64" s="446"/>
      <c r="J64" s="446"/>
      <c r="K64" s="446" t="s">
        <v>35</v>
      </c>
      <c r="L64" s="446" t="s">
        <v>35</v>
      </c>
      <c r="M64" s="446" t="s">
        <v>35</v>
      </c>
      <c r="N64" s="446" t="s">
        <v>35</v>
      </c>
      <c r="O64" s="446" t="s">
        <v>35</v>
      </c>
      <c r="P64" s="446"/>
      <c r="Q64" s="256">
        <f t="shared" si="23"/>
        <v>0</v>
      </c>
      <c r="R64" s="359">
        <f t="shared" si="24"/>
        <v>0</v>
      </c>
      <c r="S64" s="360">
        <f t="shared" si="25"/>
        <v>0</v>
      </c>
      <c r="T64" s="461">
        <f t="shared" si="26"/>
        <v>0</v>
      </c>
      <c r="U64" s="112">
        <v>2019</v>
      </c>
      <c r="V64" s="252" t="s">
        <v>25</v>
      </c>
      <c r="W64" s="104"/>
      <c r="X64" s="104"/>
      <c r="Y64" s="104"/>
      <c r="Z64" s="104"/>
      <c r="AA64" s="182">
        <v>43767</v>
      </c>
      <c r="AB64" s="180">
        <v>2019</v>
      </c>
      <c r="AC64" s="185" t="s">
        <v>333</v>
      </c>
      <c r="AD64" s="183">
        <v>275</v>
      </c>
      <c r="AE64" s="181" t="s">
        <v>104</v>
      </c>
      <c r="AF64" s="104"/>
      <c r="AG64" s="104"/>
      <c r="AH64" s="104"/>
      <c r="AI64" s="104"/>
      <c r="AJ64" s="104"/>
      <c r="AK64" s="104"/>
      <c r="AL64" s="104"/>
      <c r="AM64" s="104"/>
      <c r="AN64" s="104"/>
    </row>
    <row r="65" spans="1:40" ht="15.75" customHeight="1" x14ac:dyDescent="0.25">
      <c r="A65" s="252" t="s">
        <v>35</v>
      </c>
      <c r="B65" s="112">
        <v>2019</v>
      </c>
      <c r="C65" s="252" t="s">
        <v>35</v>
      </c>
      <c r="D65" s="445">
        <v>0</v>
      </c>
      <c r="E65" s="446"/>
      <c r="F65" s="446"/>
      <c r="G65" s="446" t="s">
        <v>35</v>
      </c>
      <c r="H65" s="446" t="s">
        <v>35</v>
      </c>
      <c r="I65" s="446" t="s">
        <v>35</v>
      </c>
      <c r="J65" s="446" t="s">
        <v>35</v>
      </c>
      <c r="K65" s="446" t="s">
        <v>35</v>
      </c>
      <c r="L65" s="446" t="s">
        <v>35</v>
      </c>
      <c r="M65" s="446" t="s">
        <v>35</v>
      </c>
      <c r="N65" s="446" t="s">
        <v>35</v>
      </c>
      <c r="O65" s="446" t="s">
        <v>35</v>
      </c>
      <c r="P65" s="446"/>
      <c r="Q65" s="256">
        <f t="shared" si="23"/>
        <v>0</v>
      </c>
      <c r="R65" s="359">
        <f t="shared" si="24"/>
        <v>0</v>
      </c>
      <c r="S65" s="360">
        <f t="shared" si="25"/>
        <v>0</v>
      </c>
      <c r="T65" s="461">
        <f t="shared" si="26"/>
        <v>0</v>
      </c>
      <c r="U65" s="112" t="s">
        <v>35</v>
      </c>
      <c r="V65" s="252" t="s">
        <v>35</v>
      </c>
      <c r="W65" s="104"/>
      <c r="X65" s="104"/>
      <c r="Y65" s="104"/>
      <c r="Z65" s="104"/>
      <c r="AA65" s="182">
        <v>43767</v>
      </c>
      <c r="AB65" s="180">
        <v>2019</v>
      </c>
      <c r="AC65" s="185" t="s">
        <v>324</v>
      </c>
      <c r="AD65" s="183">
        <v>330</v>
      </c>
      <c r="AE65" s="181" t="s">
        <v>104</v>
      </c>
      <c r="AF65" s="104"/>
      <c r="AG65" s="104"/>
      <c r="AH65" s="104"/>
      <c r="AI65" s="104"/>
      <c r="AJ65" s="104"/>
      <c r="AK65" s="104"/>
      <c r="AL65" s="104"/>
      <c r="AM65" s="104"/>
      <c r="AN65" s="104"/>
    </row>
    <row r="66" spans="1:40" ht="15.75" customHeight="1" x14ac:dyDescent="0.25">
      <c r="A66" s="252">
        <v>133688</v>
      </c>
      <c r="B66" s="112">
        <v>2019</v>
      </c>
      <c r="C66" s="252" t="s">
        <v>23</v>
      </c>
      <c r="D66" s="445">
        <v>0</v>
      </c>
      <c r="E66" s="446"/>
      <c r="F66" s="446"/>
      <c r="G66" s="446"/>
      <c r="H66" s="446"/>
      <c r="I66" s="446"/>
      <c r="J66" s="446"/>
      <c r="K66" s="446" t="s">
        <v>35</v>
      </c>
      <c r="L66" s="446" t="s">
        <v>35</v>
      </c>
      <c r="M66" s="446" t="s">
        <v>35</v>
      </c>
      <c r="N66" s="446" t="s">
        <v>35</v>
      </c>
      <c r="O66" s="446" t="s">
        <v>35</v>
      </c>
      <c r="P66" s="446"/>
      <c r="Q66" s="256">
        <f t="shared" si="23"/>
        <v>0</v>
      </c>
      <c r="R66" s="359">
        <f t="shared" si="24"/>
        <v>0</v>
      </c>
      <c r="S66" s="360">
        <f t="shared" si="25"/>
        <v>0</v>
      </c>
      <c r="T66" s="461">
        <f t="shared" si="26"/>
        <v>0</v>
      </c>
      <c r="U66" s="112">
        <v>2019</v>
      </c>
      <c r="V66" s="252" t="s">
        <v>23</v>
      </c>
      <c r="W66" s="104"/>
      <c r="X66" s="104"/>
      <c r="Y66" s="104"/>
      <c r="Z66" s="104"/>
      <c r="AA66" s="182">
        <v>43767</v>
      </c>
      <c r="AB66" s="180">
        <v>2019</v>
      </c>
      <c r="AC66" s="185" t="s">
        <v>334</v>
      </c>
      <c r="AD66" s="183">
        <v>330</v>
      </c>
      <c r="AE66" s="181" t="s">
        <v>104</v>
      </c>
      <c r="AF66" s="104"/>
      <c r="AG66" s="104"/>
      <c r="AH66" s="104"/>
      <c r="AI66" s="104"/>
      <c r="AJ66" s="104"/>
      <c r="AK66" s="104"/>
      <c r="AL66" s="104"/>
      <c r="AM66" s="104"/>
      <c r="AN66" s="104"/>
    </row>
    <row r="67" spans="1:40" ht="15.75" customHeight="1" x14ac:dyDescent="0.25">
      <c r="A67" s="252">
        <v>27736</v>
      </c>
      <c r="B67" s="112">
        <v>2019</v>
      </c>
      <c r="C67" s="252" t="s">
        <v>70</v>
      </c>
      <c r="D67" s="445">
        <v>0</v>
      </c>
      <c r="E67" s="446"/>
      <c r="F67" s="446"/>
      <c r="G67" s="446"/>
      <c r="H67" s="446"/>
      <c r="I67" s="446"/>
      <c r="J67" s="446"/>
      <c r="K67" s="446"/>
      <c r="L67" s="446"/>
      <c r="M67" s="446"/>
      <c r="N67" s="446"/>
      <c r="O67" s="446"/>
      <c r="P67" s="446"/>
      <c r="Q67" s="256">
        <f t="shared" si="23"/>
        <v>0</v>
      </c>
      <c r="R67" s="359">
        <f t="shared" si="24"/>
        <v>0</v>
      </c>
      <c r="S67" s="360">
        <f t="shared" si="25"/>
        <v>0</v>
      </c>
      <c r="T67" s="461">
        <f t="shared" si="26"/>
        <v>0</v>
      </c>
      <c r="U67" s="112">
        <v>2019</v>
      </c>
      <c r="V67" s="252" t="s">
        <v>70</v>
      </c>
      <c r="W67" s="104"/>
      <c r="X67" s="104"/>
      <c r="Y67" s="104"/>
      <c r="Z67" s="104"/>
      <c r="AA67" s="182">
        <v>43767</v>
      </c>
      <c r="AB67" s="180">
        <v>2019</v>
      </c>
      <c r="AC67" s="185" t="s">
        <v>335</v>
      </c>
      <c r="AD67" s="183">
        <v>275</v>
      </c>
      <c r="AE67" s="181" t="s">
        <v>104</v>
      </c>
      <c r="AF67" s="104"/>
      <c r="AG67" s="104"/>
      <c r="AH67" s="104"/>
      <c r="AI67" s="104"/>
      <c r="AJ67" s="104"/>
      <c r="AK67" s="104"/>
      <c r="AL67" s="104"/>
      <c r="AM67" s="104"/>
      <c r="AN67" s="104"/>
    </row>
    <row r="68" spans="1:40" ht="15.75" customHeight="1" x14ac:dyDescent="0.25">
      <c r="A68" s="252">
        <v>135371</v>
      </c>
      <c r="B68" s="112">
        <v>2019</v>
      </c>
      <c r="C68" s="252" t="s">
        <v>307</v>
      </c>
      <c r="D68" s="445">
        <v>0</v>
      </c>
      <c r="E68" s="446"/>
      <c r="F68" s="446"/>
      <c r="G68" s="446"/>
      <c r="H68" s="446"/>
      <c r="I68" s="446"/>
      <c r="J68" s="446"/>
      <c r="K68" s="446"/>
      <c r="L68" s="446"/>
      <c r="M68" s="446"/>
      <c r="N68" s="446"/>
      <c r="O68" s="446"/>
      <c r="P68" s="446"/>
      <c r="Q68" s="256">
        <f t="shared" si="23"/>
        <v>0</v>
      </c>
      <c r="R68" s="359">
        <f t="shared" si="24"/>
        <v>0</v>
      </c>
      <c r="S68" s="360">
        <f t="shared" si="25"/>
        <v>0</v>
      </c>
      <c r="T68" s="461">
        <f t="shared" si="26"/>
        <v>0</v>
      </c>
      <c r="U68" s="112">
        <v>2019</v>
      </c>
      <c r="V68" s="252" t="s">
        <v>307</v>
      </c>
      <c r="W68" s="104"/>
      <c r="X68" s="104"/>
      <c r="Y68" s="104"/>
      <c r="Z68" s="104"/>
      <c r="AA68" s="182">
        <v>43767</v>
      </c>
      <c r="AB68" s="180">
        <v>2019</v>
      </c>
      <c r="AC68" s="185" t="s">
        <v>336</v>
      </c>
      <c r="AD68" s="183">
        <v>330</v>
      </c>
      <c r="AE68" s="181" t="s">
        <v>104</v>
      </c>
      <c r="AF68" s="104"/>
      <c r="AG68" s="104"/>
      <c r="AH68" s="104"/>
      <c r="AI68" s="104"/>
      <c r="AJ68" s="104"/>
      <c r="AK68" s="104"/>
      <c r="AL68" s="104"/>
      <c r="AM68" s="104"/>
      <c r="AN68" s="104"/>
    </row>
    <row r="69" spans="1:40" ht="15.75" customHeight="1" x14ac:dyDescent="0.25">
      <c r="A69" s="252">
        <v>22921</v>
      </c>
      <c r="B69" s="112">
        <v>2019</v>
      </c>
      <c r="C69" s="252" t="s">
        <v>278</v>
      </c>
      <c r="D69" s="445">
        <v>0</v>
      </c>
      <c r="E69" s="446"/>
      <c r="F69" s="446"/>
      <c r="G69" s="446"/>
      <c r="H69" s="446"/>
      <c r="I69" s="446"/>
      <c r="J69" s="446"/>
      <c r="K69" s="446"/>
      <c r="L69" s="446"/>
      <c r="M69" s="446"/>
      <c r="N69" s="446"/>
      <c r="O69" s="446"/>
      <c r="P69" s="446"/>
      <c r="Q69" s="256">
        <f t="shared" si="23"/>
        <v>0</v>
      </c>
      <c r="R69" s="359">
        <f t="shared" si="24"/>
        <v>0</v>
      </c>
      <c r="S69" s="360">
        <f t="shared" si="25"/>
        <v>0</v>
      </c>
      <c r="T69" s="461">
        <f t="shared" si="26"/>
        <v>0</v>
      </c>
      <c r="U69" s="112">
        <v>2019</v>
      </c>
      <c r="V69" s="252" t="s">
        <v>278</v>
      </c>
      <c r="W69" s="104"/>
      <c r="X69" s="104"/>
      <c r="Y69" s="104"/>
      <c r="Z69" s="104"/>
      <c r="AA69" s="182">
        <v>76639</v>
      </c>
      <c r="AB69" s="180">
        <v>2019</v>
      </c>
      <c r="AC69" s="185" t="s">
        <v>337</v>
      </c>
      <c r="AD69" s="183">
        <v>330</v>
      </c>
      <c r="AE69" s="181" t="s">
        <v>104</v>
      </c>
      <c r="AF69" s="104"/>
      <c r="AG69" s="104"/>
      <c r="AH69" s="104"/>
      <c r="AI69" s="104"/>
      <c r="AJ69" s="104"/>
      <c r="AK69" s="104"/>
      <c r="AL69" s="104"/>
      <c r="AM69" s="104"/>
      <c r="AN69" s="104"/>
    </row>
    <row r="70" spans="1:40" ht="15.75" customHeight="1" x14ac:dyDescent="0.25">
      <c r="A70" s="252"/>
      <c r="B70" s="112" t="s">
        <v>338</v>
      </c>
      <c r="C70" s="252" t="s">
        <v>94</v>
      </c>
      <c r="D70" s="445">
        <v>0</v>
      </c>
      <c r="E70" s="446"/>
      <c r="F70" s="446"/>
      <c r="G70" s="446"/>
      <c r="H70" s="446"/>
      <c r="I70" s="446"/>
      <c r="J70" s="446"/>
      <c r="K70" s="446"/>
      <c r="L70" s="446"/>
      <c r="M70" s="446"/>
      <c r="N70" s="446"/>
      <c r="O70" s="446"/>
      <c r="P70" s="446"/>
      <c r="Q70" s="256">
        <f t="shared" si="23"/>
        <v>0</v>
      </c>
      <c r="R70" s="368"/>
      <c r="S70" s="360">
        <f t="shared" si="25"/>
        <v>0</v>
      </c>
      <c r="T70" s="461">
        <f t="shared" si="26"/>
        <v>0</v>
      </c>
      <c r="U70" s="112" t="s">
        <v>338</v>
      </c>
      <c r="V70" s="252" t="s">
        <v>94</v>
      </c>
      <c r="W70" s="104"/>
      <c r="X70" s="104"/>
      <c r="Y70" s="104"/>
      <c r="Z70" s="104"/>
      <c r="AA70" s="182">
        <v>76639</v>
      </c>
      <c r="AB70" s="180">
        <v>2019</v>
      </c>
      <c r="AC70" s="185" t="s">
        <v>339</v>
      </c>
      <c r="AD70" s="183">
        <v>330</v>
      </c>
      <c r="AE70" s="181" t="s">
        <v>104</v>
      </c>
      <c r="AF70" s="104"/>
      <c r="AG70" s="104"/>
      <c r="AH70" s="104"/>
      <c r="AI70" s="104"/>
      <c r="AJ70" s="104"/>
      <c r="AK70" s="104"/>
      <c r="AL70" s="104"/>
      <c r="AM70" s="104"/>
      <c r="AN70" s="104"/>
    </row>
    <row r="71" spans="1:40" ht="15.75" customHeight="1" x14ac:dyDescent="0.25">
      <c r="A71" s="252" t="s">
        <v>35</v>
      </c>
      <c r="B71" s="112" t="s">
        <v>35</v>
      </c>
      <c r="C71" s="252" t="s">
        <v>35</v>
      </c>
      <c r="D71" s="445" t="s">
        <v>35</v>
      </c>
      <c r="E71" s="445"/>
      <c r="F71" s="445"/>
      <c r="G71" s="445"/>
      <c r="H71" s="445"/>
      <c r="I71" s="445"/>
      <c r="J71" s="445"/>
      <c r="K71" s="445" t="s">
        <v>35</v>
      </c>
      <c r="L71" s="445" t="s">
        <v>35</v>
      </c>
      <c r="M71" s="445" t="s">
        <v>35</v>
      </c>
      <c r="N71" s="445" t="s">
        <v>35</v>
      </c>
      <c r="O71" s="445" t="s">
        <v>35</v>
      </c>
      <c r="P71" s="445"/>
      <c r="Q71" s="256" t="s">
        <v>35</v>
      </c>
      <c r="R71" s="368"/>
      <c r="S71" s="360" t="s">
        <v>35</v>
      </c>
      <c r="T71" s="461" t="s">
        <v>35</v>
      </c>
      <c r="U71" s="112" t="s">
        <v>35</v>
      </c>
      <c r="V71" s="252" t="str">
        <f>+C71</f>
        <v xml:space="preserve"> </v>
      </c>
      <c r="W71" s="104"/>
      <c r="X71" s="104"/>
      <c r="Y71" s="104"/>
      <c r="Z71" s="104"/>
      <c r="AA71" s="182">
        <v>76639</v>
      </c>
      <c r="AB71" s="180">
        <v>2019</v>
      </c>
      <c r="AC71" s="185" t="s">
        <v>340</v>
      </c>
      <c r="AD71" s="183">
        <v>330</v>
      </c>
      <c r="AE71" s="181" t="s">
        <v>104</v>
      </c>
      <c r="AF71" s="104"/>
      <c r="AG71" s="104"/>
      <c r="AH71" s="104"/>
      <c r="AI71" s="104"/>
      <c r="AJ71" s="104"/>
      <c r="AK71" s="104"/>
      <c r="AL71" s="104"/>
      <c r="AM71" s="104"/>
      <c r="AN71" s="104"/>
    </row>
    <row r="72" spans="1:40" ht="15.75" customHeight="1" x14ac:dyDescent="0.25">
      <c r="A72" s="252"/>
      <c r="B72" s="112"/>
      <c r="C72" s="252"/>
      <c r="D72" s="445"/>
      <c r="E72" s="445"/>
      <c r="F72" s="445"/>
      <c r="G72" s="445"/>
      <c r="H72" s="445"/>
      <c r="I72" s="445"/>
      <c r="J72" s="445"/>
      <c r="K72" s="445"/>
      <c r="L72" s="445"/>
      <c r="M72" s="445"/>
      <c r="N72" s="445"/>
      <c r="O72" s="445"/>
      <c r="P72" s="445"/>
      <c r="Q72" s="255"/>
      <c r="R72" s="367"/>
      <c r="S72" s="360"/>
      <c r="T72" s="461"/>
      <c r="U72" s="112"/>
      <c r="V72" s="252"/>
      <c r="W72" s="104"/>
      <c r="X72" s="104"/>
      <c r="Y72" s="104"/>
      <c r="Z72" s="104"/>
      <c r="AA72" s="182">
        <v>76639</v>
      </c>
      <c r="AB72" s="180">
        <v>2019</v>
      </c>
      <c r="AC72" s="185" t="s">
        <v>341</v>
      </c>
      <c r="AD72" s="183">
        <v>330</v>
      </c>
      <c r="AE72" s="181" t="s">
        <v>104</v>
      </c>
      <c r="AF72" s="104"/>
      <c r="AG72" s="104"/>
      <c r="AH72" s="104"/>
      <c r="AI72" s="104"/>
      <c r="AJ72" s="104"/>
      <c r="AK72" s="104"/>
      <c r="AL72" s="104"/>
      <c r="AM72" s="104"/>
      <c r="AN72" s="104"/>
    </row>
    <row r="73" spans="1:40" ht="15.75" customHeight="1" x14ac:dyDescent="0.25">
      <c r="A73" s="252"/>
      <c r="B73" s="112"/>
      <c r="C73" s="252"/>
      <c r="D73" s="445"/>
      <c r="E73" s="445"/>
      <c r="F73" s="445"/>
      <c r="G73" s="445"/>
      <c r="H73" s="445"/>
      <c r="I73" s="445"/>
      <c r="J73" s="445"/>
      <c r="K73" s="445"/>
      <c r="L73" s="445"/>
      <c r="M73" s="445"/>
      <c r="N73" s="445"/>
      <c r="O73" s="445"/>
      <c r="P73" s="445"/>
      <c r="Q73" s="255"/>
      <c r="R73" s="367"/>
      <c r="S73" s="360"/>
      <c r="T73" s="461"/>
      <c r="U73" s="112"/>
      <c r="V73" s="252"/>
      <c r="W73" s="104"/>
      <c r="X73" s="104"/>
      <c r="Y73" s="104"/>
      <c r="Z73" s="104"/>
      <c r="AA73" s="182">
        <v>43769</v>
      </c>
      <c r="AB73" s="180">
        <v>2018</v>
      </c>
      <c r="AC73" s="185" t="s">
        <v>342</v>
      </c>
      <c r="AD73" s="183">
        <v>280</v>
      </c>
      <c r="AE73" s="181" t="s">
        <v>104</v>
      </c>
      <c r="AF73" s="104"/>
      <c r="AG73" s="104"/>
      <c r="AH73" s="104"/>
      <c r="AI73" s="104"/>
      <c r="AJ73" s="104"/>
      <c r="AK73" s="104"/>
      <c r="AL73" s="104"/>
      <c r="AM73" s="104"/>
      <c r="AN73" s="104"/>
    </row>
    <row r="74" spans="1:40" ht="18" x14ac:dyDescent="0.25">
      <c r="A74" s="249"/>
      <c r="B74" s="165"/>
      <c r="C74" s="249"/>
      <c r="D74" s="356"/>
      <c r="E74" s="356"/>
      <c r="F74" s="356"/>
      <c r="G74" s="356"/>
      <c r="H74" s="356"/>
      <c r="I74" s="356"/>
      <c r="J74" s="356"/>
      <c r="K74" s="356"/>
      <c r="L74" s="356"/>
      <c r="M74" s="356"/>
      <c r="N74" s="356"/>
      <c r="O74" s="356"/>
      <c r="P74" s="356"/>
      <c r="Q74" s="251"/>
      <c r="R74" s="357"/>
      <c r="S74" s="358"/>
      <c r="T74" s="462"/>
      <c r="U74" s="165"/>
      <c r="V74" s="249"/>
      <c r="W74" s="104"/>
      <c r="X74" s="104"/>
      <c r="Y74" s="104"/>
      <c r="Z74" s="104"/>
      <c r="AA74" s="182">
        <v>43769</v>
      </c>
      <c r="AB74" s="180">
        <v>2018</v>
      </c>
      <c r="AC74" s="185" t="s">
        <v>343</v>
      </c>
      <c r="AD74" s="183">
        <v>60</v>
      </c>
      <c r="AE74" s="181" t="s">
        <v>104</v>
      </c>
      <c r="AF74" s="104"/>
      <c r="AG74" s="104"/>
      <c r="AH74" s="104"/>
      <c r="AI74" s="104"/>
      <c r="AJ74" s="104"/>
      <c r="AK74" s="104"/>
      <c r="AL74" s="104"/>
      <c r="AM74" s="104"/>
      <c r="AN74" s="104"/>
    </row>
    <row r="75" spans="1:40" ht="18" x14ac:dyDescent="0.25">
      <c r="A75" s="252"/>
      <c r="B75" s="112">
        <v>2014</v>
      </c>
      <c r="C75" s="252"/>
      <c r="D75" s="359">
        <f t="shared" ref="D75:Q75" si="27">SUM(D10:D11)</f>
        <v>131</v>
      </c>
      <c r="E75" s="359">
        <f t="shared" si="27"/>
        <v>18</v>
      </c>
      <c r="F75" s="359">
        <f t="shared" si="27"/>
        <v>11</v>
      </c>
      <c r="G75" s="359">
        <f t="shared" si="27"/>
        <v>10</v>
      </c>
      <c r="H75" s="359">
        <f t="shared" si="27"/>
        <v>9</v>
      </c>
      <c r="I75" s="359">
        <f t="shared" si="27"/>
        <v>14</v>
      </c>
      <c r="J75" s="359">
        <f t="shared" si="27"/>
        <v>5</v>
      </c>
      <c r="K75" s="359">
        <f t="shared" si="27"/>
        <v>9</v>
      </c>
      <c r="L75" s="359">
        <f t="shared" si="27"/>
        <v>4</v>
      </c>
      <c r="M75" s="359">
        <f t="shared" si="27"/>
        <v>8</v>
      </c>
      <c r="N75" s="359">
        <f t="shared" si="27"/>
        <v>12</v>
      </c>
      <c r="O75" s="359">
        <f t="shared" si="27"/>
        <v>13</v>
      </c>
      <c r="P75" s="359">
        <f t="shared" si="27"/>
        <v>3</v>
      </c>
      <c r="Q75" s="256">
        <f t="shared" si="27"/>
        <v>116</v>
      </c>
      <c r="R75" s="359">
        <f>AVERAGE(E75:P75)</f>
        <v>9.6666666666666661</v>
      </c>
      <c r="S75" s="360">
        <f>T75/R75</f>
        <v>1.5517241379310345</v>
      </c>
      <c r="T75" s="461">
        <f>SUM(D75-Q75)</f>
        <v>15</v>
      </c>
      <c r="U75" s="112">
        <v>2014</v>
      </c>
      <c r="V75" s="252"/>
      <c r="W75" s="104"/>
      <c r="X75" s="104"/>
      <c r="Y75" s="104"/>
      <c r="Z75" s="104"/>
      <c r="AA75" s="182">
        <v>43769</v>
      </c>
      <c r="AB75" s="180">
        <v>2019</v>
      </c>
      <c r="AC75" s="185" t="s">
        <v>344</v>
      </c>
      <c r="AD75" s="183">
        <v>140</v>
      </c>
      <c r="AE75" s="181" t="s">
        <v>104</v>
      </c>
      <c r="AF75" s="104"/>
      <c r="AG75" s="104"/>
      <c r="AH75" s="104"/>
      <c r="AI75" s="104"/>
      <c r="AJ75" s="104"/>
      <c r="AK75" s="104"/>
      <c r="AL75" s="104"/>
      <c r="AM75" s="104"/>
      <c r="AN75" s="104"/>
    </row>
    <row r="76" spans="1:40" ht="18" x14ac:dyDescent="0.25">
      <c r="A76" s="252"/>
      <c r="B76" s="112">
        <v>2015</v>
      </c>
      <c r="C76" s="252"/>
      <c r="D76" s="359">
        <f t="shared" ref="D76:Q76" si="28">SUM(D13:D14)</f>
        <v>390</v>
      </c>
      <c r="E76" s="359">
        <f t="shared" si="28"/>
        <v>12</v>
      </c>
      <c r="F76" s="359">
        <f t="shared" si="28"/>
        <v>12</v>
      </c>
      <c r="G76" s="359">
        <f t="shared" si="28"/>
        <v>8</v>
      </c>
      <c r="H76" s="359">
        <f t="shared" si="28"/>
        <v>7</v>
      </c>
      <c r="I76" s="359">
        <f t="shared" si="28"/>
        <v>8</v>
      </c>
      <c r="J76" s="359">
        <f t="shared" si="28"/>
        <v>6</v>
      </c>
      <c r="K76" s="359">
        <f t="shared" si="28"/>
        <v>11</v>
      </c>
      <c r="L76" s="359">
        <f t="shared" si="28"/>
        <v>18</v>
      </c>
      <c r="M76" s="359">
        <f t="shared" si="28"/>
        <v>13</v>
      </c>
      <c r="N76" s="359">
        <f t="shared" si="28"/>
        <v>16</v>
      </c>
      <c r="O76" s="359">
        <f t="shared" si="28"/>
        <v>15</v>
      </c>
      <c r="P76" s="359">
        <f t="shared" si="28"/>
        <v>14</v>
      </c>
      <c r="Q76" s="256">
        <f t="shared" si="28"/>
        <v>140</v>
      </c>
      <c r="R76" s="359">
        <f>AVERAGE(E76:P76)</f>
        <v>11.666666666666666</v>
      </c>
      <c r="S76" s="360">
        <f>T76/R76</f>
        <v>21.428571428571431</v>
      </c>
      <c r="T76" s="461">
        <f>SUM(D76-Q76)</f>
        <v>250</v>
      </c>
      <c r="U76" s="112">
        <v>2015</v>
      </c>
      <c r="V76" s="252"/>
      <c r="W76" s="104"/>
      <c r="X76" s="104"/>
      <c r="Y76" s="104"/>
      <c r="Z76" s="104"/>
      <c r="AA76" s="182">
        <v>43769</v>
      </c>
      <c r="AB76" s="184">
        <v>2019</v>
      </c>
      <c r="AC76" s="185" t="s">
        <v>345</v>
      </c>
      <c r="AD76" s="183">
        <v>200</v>
      </c>
      <c r="AE76" s="181" t="s">
        <v>104</v>
      </c>
      <c r="AF76" s="104"/>
      <c r="AG76" s="104"/>
      <c r="AH76" s="104"/>
      <c r="AI76" s="104"/>
      <c r="AJ76" s="104"/>
      <c r="AK76" s="104"/>
      <c r="AL76" s="104"/>
      <c r="AM76" s="104"/>
      <c r="AN76" s="104"/>
    </row>
    <row r="77" spans="1:40" ht="14.25" customHeight="1" x14ac:dyDescent="0.25">
      <c r="A77" s="252"/>
      <c r="B77" s="112">
        <v>2016</v>
      </c>
      <c r="C77" s="252"/>
      <c r="D77" s="359">
        <f t="shared" ref="D77:Q77" si="29">SUM(D16:D25)</f>
        <v>2812</v>
      </c>
      <c r="E77" s="359">
        <f t="shared" si="29"/>
        <v>204</v>
      </c>
      <c r="F77" s="359">
        <f t="shared" si="29"/>
        <v>280</v>
      </c>
      <c r="G77" s="359">
        <f t="shared" si="29"/>
        <v>156</v>
      </c>
      <c r="H77" s="359">
        <f t="shared" si="29"/>
        <v>139</v>
      </c>
      <c r="I77" s="359">
        <f t="shared" si="29"/>
        <v>266</v>
      </c>
      <c r="J77" s="359">
        <f t="shared" si="29"/>
        <v>119</v>
      </c>
      <c r="K77" s="359">
        <f t="shared" si="29"/>
        <v>156</v>
      </c>
      <c r="L77" s="359">
        <f t="shared" si="29"/>
        <v>139</v>
      </c>
      <c r="M77" s="359">
        <f t="shared" si="29"/>
        <v>205</v>
      </c>
      <c r="N77" s="359">
        <f t="shared" si="29"/>
        <v>184</v>
      </c>
      <c r="O77" s="359">
        <f t="shared" si="29"/>
        <v>189</v>
      </c>
      <c r="P77" s="359">
        <f t="shared" si="29"/>
        <v>64</v>
      </c>
      <c r="Q77" s="256">
        <f t="shared" si="29"/>
        <v>2101</v>
      </c>
      <c r="R77" s="359">
        <f t="shared" ref="R77:R81" si="30">AVERAGE(E77:P77)</f>
        <v>175.08333333333334</v>
      </c>
      <c r="S77" s="360">
        <f t="shared" ref="S77:S79" si="31">T77/R77</f>
        <v>4.0609233698238931</v>
      </c>
      <c r="T77" s="461">
        <f t="shared" ref="T77:T79" si="32">SUM(D77-Q77)</f>
        <v>711</v>
      </c>
      <c r="U77" s="112">
        <v>2016</v>
      </c>
      <c r="V77" s="252"/>
      <c r="W77" s="104"/>
      <c r="X77" s="104"/>
      <c r="Y77" s="104"/>
      <c r="Z77" s="104"/>
      <c r="AA77" s="182">
        <v>43781</v>
      </c>
      <c r="AB77" s="180">
        <v>2019</v>
      </c>
      <c r="AC77" s="185" t="s">
        <v>346</v>
      </c>
      <c r="AD77" s="183">
        <v>150</v>
      </c>
      <c r="AE77" s="181" t="s">
        <v>104</v>
      </c>
      <c r="AF77" s="104"/>
      <c r="AG77" s="104"/>
      <c r="AH77" s="104"/>
      <c r="AI77" s="104"/>
      <c r="AJ77" s="104"/>
      <c r="AK77" s="104"/>
      <c r="AL77" s="104"/>
      <c r="AM77" s="104"/>
      <c r="AN77" s="104"/>
    </row>
    <row r="78" spans="1:40" ht="18" x14ac:dyDescent="0.25">
      <c r="A78" s="252"/>
      <c r="B78" s="112">
        <v>2017</v>
      </c>
      <c r="C78" s="252"/>
      <c r="D78" s="359">
        <f t="shared" ref="D78:Q78" si="33">SUM(D27:D43)</f>
        <v>5851</v>
      </c>
      <c r="E78" s="359">
        <f t="shared" si="33"/>
        <v>107</v>
      </c>
      <c r="F78" s="359">
        <f t="shared" si="33"/>
        <v>270</v>
      </c>
      <c r="G78" s="359">
        <f t="shared" si="33"/>
        <v>106</v>
      </c>
      <c r="H78" s="359">
        <f t="shared" si="33"/>
        <v>132</v>
      </c>
      <c r="I78" s="359">
        <f t="shared" si="33"/>
        <v>343</v>
      </c>
      <c r="J78" s="359">
        <f t="shared" si="33"/>
        <v>118</v>
      </c>
      <c r="K78" s="359">
        <f t="shared" si="33"/>
        <v>199</v>
      </c>
      <c r="L78" s="359">
        <f t="shared" si="33"/>
        <v>281</v>
      </c>
      <c r="M78" s="359">
        <f t="shared" si="33"/>
        <v>299</v>
      </c>
      <c r="N78" s="359">
        <f t="shared" si="33"/>
        <v>140</v>
      </c>
      <c r="O78" s="359">
        <f t="shared" si="33"/>
        <v>223</v>
      </c>
      <c r="P78" s="359">
        <f t="shared" si="33"/>
        <v>85</v>
      </c>
      <c r="Q78" s="256">
        <f t="shared" si="33"/>
        <v>2303</v>
      </c>
      <c r="R78" s="359">
        <f t="shared" si="30"/>
        <v>191.91666666666666</v>
      </c>
      <c r="S78" s="360">
        <f t="shared" si="31"/>
        <v>18.487190620929223</v>
      </c>
      <c r="T78" s="461">
        <f t="shared" si="32"/>
        <v>3548</v>
      </c>
      <c r="U78" s="112">
        <v>2017</v>
      </c>
      <c r="V78" s="252"/>
      <c r="W78" s="104"/>
      <c r="X78" s="104"/>
      <c r="Y78" s="104"/>
      <c r="Z78" s="104"/>
      <c r="AA78" s="182">
        <v>43790</v>
      </c>
      <c r="AB78" s="180">
        <v>2018</v>
      </c>
      <c r="AC78" s="185" t="s">
        <v>347</v>
      </c>
      <c r="AD78" s="183">
        <v>105</v>
      </c>
      <c r="AE78" s="181" t="s">
        <v>104</v>
      </c>
      <c r="AF78" s="104"/>
      <c r="AG78" s="104"/>
      <c r="AH78" s="104"/>
      <c r="AI78" s="104"/>
      <c r="AJ78" s="104"/>
      <c r="AK78" s="104"/>
      <c r="AL78" s="104"/>
      <c r="AM78" s="104"/>
      <c r="AN78" s="104"/>
    </row>
    <row r="79" spans="1:40" ht="18" x14ac:dyDescent="0.25">
      <c r="A79" s="252"/>
      <c r="B79" s="112">
        <v>2018</v>
      </c>
      <c r="C79" s="252"/>
      <c r="D79" s="359">
        <f t="shared" ref="D79:Q79" si="34">SUM(D45:D58)</f>
        <v>6449</v>
      </c>
      <c r="E79" s="359">
        <f t="shared" si="34"/>
        <v>0</v>
      </c>
      <c r="F79" s="359">
        <f t="shared" si="34"/>
        <v>0</v>
      </c>
      <c r="G79" s="359">
        <f t="shared" si="34"/>
        <v>30</v>
      </c>
      <c r="H79" s="359">
        <f t="shared" si="34"/>
        <v>15</v>
      </c>
      <c r="I79" s="359">
        <f t="shared" si="34"/>
        <v>117</v>
      </c>
      <c r="J79" s="359">
        <f t="shared" si="34"/>
        <v>64</v>
      </c>
      <c r="K79" s="359">
        <f t="shared" si="34"/>
        <v>78</v>
      </c>
      <c r="L79" s="359">
        <f t="shared" si="34"/>
        <v>92</v>
      </c>
      <c r="M79" s="359">
        <f t="shared" si="34"/>
        <v>91</v>
      </c>
      <c r="N79" s="359">
        <f t="shared" si="34"/>
        <v>71</v>
      </c>
      <c r="O79" s="359">
        <f t="shared" si="34"/>
        <v>178</v>
      </c>
      <c r="P79" s="359">
        <f t="shared" si="34"/>
        <v>150</v>
      </c>
      <c r="Q79" s="366">
        <f t="shared" si="34"/>
        <v>886</v>
      </c>
      <c r="R79" s="359">
        <f t="shared" si="30"/>
        <v>73.833333333333329</v>
      </c>
      <c r="S79" s="360">
        <f t="shared" si="31"/>
        <v>75.34537246049662</v>
      </c>
      <c r="T79" s="461">
        <f t="shared" si="32"/>
        <v>5563</v>
      </c>
      <c r="U79" s="112">
        <v>2018</v>
      </c>
      <c r="V79" s="252"/>
      <c r="W79" s="104"/>
      <c r="X79" s="104"/>
      <c r="Y79" s="104"/>
      <c r="Z79" s="104"/>
      <c r="AA79" s="182">
        <v>43790</v>
      </c>
      <c r="AB79" s="180">
        <v>2019</v>
      </c>
      <c r="AC79" s="185" t="s">
        <v>348</v>
      </c>
      <c r="AD79" s="183">
        <v>120</v>
      </c>
      <c r="AE79" s="181" t="s">
        <v>104</v>
      </c>
      <c r="AF79" s="104"/>
      <c r="AG79" s="104"/>
      <c r="AH79" s="104"/>
      <c r="AI79" s="104"/>
      <c r="AJ79" s="104"/>
      <c r="AK79" s="104"/>
      <c r="AL79" s="104"/>
      <c r="AM79" s="104"/>
      <c r="AN79" s="104"/>
    </row>
    <row r="80" spans="1:40" ht="18" x14ac:dyDescent="0.25">
      <c r="A80" s="252"/>
      <c r="B80" s="112">
        <v>2019</v>
      </c>
      <c r="C80" s="252"/>
      <c r="D80" s="359">
        <f>SUM(D60:D73)</f>
        <v>0</v>
      </c>
      <c r="E80" s="359">
        <f t="shared" ref="E80:P80" si="35">SUM(E60:E73)</f>
        <v>0</v>
      </c>
      <c r="F80" s="359">
        <f t="shared" si="35"/>
        <v>0</v>
      </c>
      <c r="G80" s="359">
        <f t="shared" si="35"/>
        <v>0</v>
      </c>
      <c r="H80" s="359">
        <f t="shared" si="35"/>
        <v>0</v>
      </c>
      <c r="I80" s="359">
        <f t="shared" si="35"/>
        <v>0</v>
      </c>
      <c r="J80" s="359">
        <f t="shared" si="35"/>
        <v>0</v>
      </c>
      <c r="K80" s="359">
        <f t="shared" si="35"/>
        <v>0</v>
      </c>
      <c r="L80" s="359">
        <f t="shared" si="35"/>
        <v>0</v>
      </c>
      <c r="M80" s="359">
        <f t="shared" si="35"/>
        <v>0</v>
      </c>
      <c r="N80" s="359">
        <f t="shared" si="35"/>
        <v>0</v>
      </c>
      <c r="O80" s="359">
        <f t="shared" si="35"/>
        <v>0</v>
      </c>
      <c r="P80" s="359">
        <f t="shared" si="35"/>
        <v>0</v>
      </c>
      <c r="Q80" s="366">
        <f>SUM(Q60:Q73)</f>
        <v>0</v>
      </c>
      <c r="R80" s="359"/>
      <c r="S80" s="360"/>
      <c r="T80" s="461"/>
      <c r="U80" s="112">
        <v>2019</v>
      </c>
      <c r="V80" s="252"/>
      <c r="W80" s="104"/>
      <c r="X80" s="104"/>
      <c r="Y80" s="104"/>
      <c r="Z80" s="104"/>
      <c r="AA80" s="182"/>
      <c r="AB80" s="180"/>
      <c r="AC80" s="185"/>
      <c r="AD80" s="183"/>
      <c r="AE80" s="181"/>
      <c r="AF80" s="104"/>
      <c r="AG80" s="104"/>
      <c r="AH80" s="104"/>
      <c r="AI80" s="104"/>
      <c r="AJ80" s="104"/>
      <c r="AK80" s="104"/>
      <c r="AL80" s="104"/>
      <c r="AM80" s="104"/>
      <c r="AN80" s="104"/>
    </row>
    <row r="81" spans="1:40" ht="18" x14ac:dyDescent="0.25">
      <c r="A81" s="252"/>
      <c r="B81" s="116" t="s">
        <v>78</v>
      </c>
      <c r="C81" s="252"/>
      <c r="D81" s="359">
        <f t="shared" ref="D81:P81" si="36">SUM(D75:D79)</f>
        <v>15633</v>
      </c>
      <c r="E81" s="359">
        <f t="shared" si="36"/>
        <v>341</v>
      </c>
      <c r="F81" s="359">
        <f t="shared" si="36"/>
        <v>573</v>
      </c>
      <c r="G81" s="359">
        <f t="shared" si="36"/>
        <v>310</v>
      </c>
      <c r="H81" s="359">
        <f t="shared" si="36"/>
        <v>302</v>
      </c>
      <c r="I81" s="359">
        <f t="shared" si="36"/>
        <v>748</v>
      </c>
      <c r="J81" s="359">
        <f t="shared" si="36"/>
        <v>312</v>
      </c>
      <c r="K81" s="359">
        <f t="shared" si="36"/>
        <v>453</v>
      </c>
      <c r="L81" s="359">
        <f t="shared" si="36"/>
        <v>534</v>
      </c>
      <c r="M81" s="359">
        <f t="shared" si="36"/>
        <v>616</v>
      </c>
      <c r="N81" s="359">
        <f t="shared" si="36"/>
        <v>423</v>
      </c>
      <c r="O81" s="359">
        <f t="shared" si="36"/>
        <v>618</v>
      </c>
      <c r="P81" s="359">
        <f t="shared" si="36"/>
        <v>316</v>
      </c>
      <c r="Q81" s="256">
        <f>SUM(Q10:Q73)</f>
        <v>5546</v>
      </c>
      <c r="R81" s="359">
        <f t="shared" si="30"/>
        <v>462.16666666666669</v>
      </c>
      <c r="S81" s="360">
        <f>T81/R81</f>
        <v>21.825459790840245</v>
      </c>
      <c r="T81" s="461">
        <f>SUM(T75+T76+T77+T78+T79+T80)</f>
        <v>10087</v>
      </c>
      <c r="U81" s="116" t="s">
        <v>78</v>
      </c>
      <c r="V81" s="252"/>
      <c r="W81" s="104"/>
      <c r="X81" s="104"/>
      <c r="Y81" s="104"/>
      <c r="Z81" s="104"/>
      <c r="AA81" s="182">
        <v>43790</v>
      </c>
      <c r="AB81" s="180">
        <v>2019</v>
      </c>
      <c r="AC81" s="185" t="s">
        <v>349</v>
      </c>
      <c r="AD81" s="183">
        <v>210</v>
      </c>
      <c r="AE81" s="181" t="s">
        <v>104</v>
      </c>
      <c r="AF81" s="104"/>
      <c r="AG81" s="104"/>
      <c r="AH81" s="104"/>
      <c r="AI81" s="104"/>
      <c r="AJ81" s="104"/>
      <c r="AK81" s="104"/>
      <c r="AL81" s="104"/>
      <c r="AM81" s="104"/>
      <c r="AN81" s="104"/>
    </row>
    <row r="82" spans="1:40" ht="18" x14ac:dyDescent="0.25">
      <c r="A82" s="249"/>
      <c r="B82" s="117"/>
      <c r="C82" s="117"/>
      <c r="D82" s="119"/>
      <c r="E82" s="119"/>
      <c r="F82" s="119"/>
      <c r="G82" s="119"/>
      <c r="H82" s="119"/>
      <c r="I82" s="119"/>
      <c r="J82" s="120"/>
      <c r="K82" s="120"/>
      <c r="L82" s="120"/>
      <c r="M82" s="120"/>
      <c r="N82" s="120"/>
      <c r="O82" s="120"/>
      <c r="P82" s="120"/>
      <c r="Q82" s="120"/>
      <c r="R82" s="166"/>
      <c r="S82" s="167"/>
      <c r="T82" s="160"/>
      <c r="U82" s="117"/>
      <c r="V82" s="117"/>
      <c r="W82" s="104"/>
      <c r="X82" s="104"/>
      <c r="Y82" s="104"/>
      <c r="Z82" s="104"/>
      <c r="AA82" s="182">
        <v>43790</v>
      </c>
      <c r="AB82" s="180">
        <v>2019</v>
      </c>
      <c r="AC82" s="185" t="s">
        <v>350</v>
      </c>
      <c r="AD82" s="183">
        <v>330</v>
      </c>
      <c r="AE82" s="181" t="s">
        <v>104</v>
      </c>
      <c r="AF82" s="104"/>
      <c r="AG82" s="104"/>
      <c r="AH82" s="104"/>
      <c r="AI82" s="104"/>
      <c r="AJ82" s="104"/>
      <c r="AK82" s="104"/>
      <c r="AL82" s="104"/>
      <c r="AM82" s="104"/>
      <c r="AN82" s="104"/>
    </row>
    <row r="83" spans="1:40" ht="18" x14ac:dyDescent="0.25">
      <c r="A83" s="104"/>
      <c r="B83" s="104"/>
      <c r="C83" s="104"/>
      <c r="D83" s="124"/>
      <c r="E83" s="124"/>
      <c r="F83" s="124"/>
      <c r="G83" s="124"/>
      <c r="H83" s="124"/>
      <c r="I83" s="124"/>
      <c r="J83" s="105"/>
      <c r="K83" s="105"/>
      <c r="L83" s="105"/>
      <c r="M83" s="105"/>
      <c r="N83" s="105"/>
      <c r="O83" s="105"/>
      <c r="P83" s="105"/>
      <c r="Q83" s="105"/>
      <c r="R83" s="124"/>
      <c r="S83" s="168"/>
      <c r="T83" s="105"/>
      <c r="U83" s="104"/>
      <c r="V83" s="104"/>
      <c r="W83" s="104"/>
      <c r="X83" s="104"/>
      <c r="Y83" s="104"/>
      <c r="Z83" s="104"/>
      <c r="AA83" s="174"/>
      <c r="AB83" s="175"/>
      <c r="AC83" s="185"/>
      <c r="AD83" s="176"/>
      <c r="AE83" s="181"/>
      <c r="AF83" s="104"/>
      <c r="AG83" s="104"/>
      <c r="AH83" s="104"/>
      <c r="AI83" s="104"/>
      <c r="AJ83" s="104"/>
      <c r="AK83" s="104"/>
      <c r="AL83" s="104"/>
      <c r="AM83" s="104"/>
      <c r="AN83" s="104"/>
    </row>
    <row r="84" spans="1:40" ht="18" x14ac:dyDescent="0.25">
      <c r="A84" s="249"/>
      <c r="B84" s="117"/>
      <c r="C84" s="117"/>
      <c r="D84" s="119"/>
      <c r="E84" s="119"/>
      <c r="F84" s="119"/>
      <c r="G84" s="119"/>
      <c r="H84" s="119"/>
      <c r="I84" s="119"/>
      <c r="J84" s="120"/>
      <c r="K84" s="120"/>
      <c r="L84" s="120"/>
      <c r="M84" s="120"/>
      <c r="N84" s="120"/>
      <c r="O84" s="120"/>
      <c r="P84" s="120"/>
      <c r="Q84" s="120"/>
      <c r="R84" s="166"/>
      <c r="S84" s="167"/>
      <c r="T84" s="160"/>
      <c r="U84" s="117"/>
      <c r="V84" s="117"/>
      <c r="W84" s="104"/>
      <c r="X84" s="104"/>
      <c r="Y84" s="104"/>
      <c r="Z84" s="104"/>
      <c r="AA84" s="174"/>
      <c r="AB84" s="175"/>
      <c r="AC84" s="185"/>
      <c r="AD84" s="176"/>
      <c r="AE84" s="181"/>
      <c r="AF84" s="104"/>
      <c r="AG84" s="104"/>
      <c r="AH84" s="104"/>
      <c r="AI84" s="104"/>
      <c r="AJ84" s="104"/>
      <c r="AK84" s="104"/>
      <c r="AL84" s="104"/>
      <c r="AM84" s="104"/>
      <c r="AN84" s="104"/>
    </row>
    <row r="85" spans="1:40" ht="18" x14ac:dyDescent="0.25">
      <c r="A85" s="104"/>
      <c r="B85" s="104">
        <v>2017</v>
      </c>
      <c r="C85" s="104" t="s">
        <v>351</v>
      </c>
      <c r="D85" s="124">
        <v>168</v>
      </c>
      <c r="E85" s="124"/>
      <c r="F85" s="124"/>
      <c r="G85" s="124"/>
      <c r="H85" s="124"/>
      <c r="I85" s="124"/>
      <c r="J85" s="105"/>
      <c r="K85" s="105"/>
      <c r="L85" s="105"/>
      <c r="M85" s="105"/>
      <c r="N85" s="105"/>
      <c r="O85" s="105"/>
      <c r="P85" s="105"/>
      <c r="Q85" s="105"/>
      <c r="R85" s="124"/>
      <c r="S85" s="168"/>
      <c r="T85" s="105"/>
      <c r="U85" s="104"/>
      <c r="V85" s="104"/>
      <c r="W85" s="104"/>
      <c r="X85" s="104"/>
      <c r="Y85" s="104"/>
      <c r="Z85" s="104"/>
      <c r="AA85" s="174"/>
      <c r="AB85" s="175"/>
      <c r="AC85" s="185"/>
      <c r="AD85" s="176"/>
      <c r="AE85" s="181"/>
      <c r="AF85" s="104"/>
      <c r="AG85" s="104"/>
      <c r="AH85" s="104"/>
      <c r="AI85" s="104"/>
      <c r="AJ85" s="104"/>
      <c r="AK85" s="104"/>
      <c r="AL85" s="104"/>
      <c r="AM85" s="104"/>
      <c r="AN85" s="104"/>
    </row>
    <row r="86" spans="1:40" ht="18" x14ac:dyDescent="0.25">
      <c r="A86" s="104"/>
      <c r="B86" s="104">
        <v>2018</v>
      </c>
      <c r="C86" s="104" t="s">
        <v>352</v>
      </c>
      <c r="D86" s="124">
        <v>112</v>
      </c>
      <c r="E86" s="124"/>
      <c r="F86" s="124"/>
      <c r="G86" s="124"/>
      <c r="H86" s="124"/>
      <c r="I86" s="124"/>
      <c r="J86" s="105"/>
      <c r="K86" s="105"/>
      <c r="L86" s="105"/>
      <c r="M86" s="105"/>
      <c r="N86" s="105"/>
      <c r="O86" s="105"/>
      <c r="P86" s="105"/>
      <c r="Q86" s="105"/>
      <c r="R86" s="124"/>
      <c r="S86" s="168"/>
      <c r="T86" s="105"/>
      <c r="U86" s="104"/>
      <c r="V86" s="104"/>
      <c r="W86" s="104"/>
      <c r="X86" s="104"/>
      <c r="Y86" s="104"/>
      <c r="Z86" s="104"/>
      <c r="AA86" s="174"/>
      <c r="AB86" s="175"/>
      <c r="AC86" s="185"/>
      <c r="AD86" s="176"/>
      <c r="AE86" s="181"/>
      <c r="AF86" s="104"/>
      <c r="AG86" s="104"/>
      <c r="AH86" s="104"/>
      <c r="AI86" s="104"/>
      <c r="AJ86" s="104"/>
      <c r="AK86" s="104"/>
      <c r="AL86" s="104"/>
      <c r="AM86" s="104"/>
      <c r="AN86" s="104"/>
    </row>
    <row r="87" spans="1:40" ht="18" x14ac:dyDescent="0.25">
      <c r="A87" s="104"/>
      <c r="B87" s="104">
        <v>2018</v>
      </c>
      <c r="C87" s="104" t="s">
        <v>353</v>
      </c>
      <c r="D87" s="124">
        <v>112</v>
      </c>
      <c r="E87" s="124"/>
      <c r="F87" s="124"/>
      <c r="G87" s="124"/>
      <c r="H87" s="124"/>
      <c r="I87" s="124"/>
      <c r="J87" s="105"/>
      <c r="K87" s="105"/>
      <c r="L87" s="105"/>
      <c r="M87" s="105"/>
      <c r="N87" s="105"/>
      <c r="O87" s="105"/>
      <c r="P87" s="105"/>
      <c r="Q87" s="105"/>
      <c r="R87" s="124"/>
      <c r="S87" s="168"/>
      <c r="T87" s="105"/>
      <c r="U87" s="104"/>
      <c r="V87" s="104"/>
      <c r="W87" s="104"/>
      <c r="X87" s="104"/>
      <c r="Y87" s="104"/>
      <c r="Z87" s="104"/>
      <c r="AA87" s="174"/>
      <c r="AB87" s="175"/>
      <c r="AC87" s="185"/>
      <c r="AD87" s="176"/>
      <c r="AE87" s="181"/>
      <c r="AF87" s="104"/>
      <c r="AG87" s="104"/>
      <c r="AH87" s="104"/>
      <c r="AI87" s="104"/>
      <c r="AJ87" s="104"/>
      <c r="AK87" s="104"/>
      <c r="AL87" s="104"/>
      <c r="AM87" s="104"/>
      <c r="AN87" s="104"/>
    </row>
    <row r="88" spans="1:40" ht="18" x14ac:dyDescent="0.25">
      <c r="A88" s="249"/>
      <c r="B88" s="117"/>
      <c r="C88" s="117"/>
      <c r="D88" s="119"/>
      <c r="E88" s="119"/>
      <c r="F88" s="119"/>
      <c r="G88" s="119"/>
      <c r="H88" s="119"/>
      <c r="I88" s="119"/>
      <c r="J88" s="120"/>
      <c r="K88" s="120"/>
      <c r="L88" s="120"/>
      <c r="M88" s="120"/>
      <c r="N88" s="120"/>
      <c r="O88" s="120"/>
      <c r="P88" s="120"/>
      <c r="Q88" s="120"/>
      <c r="R88" s="166"/>
      <c r="S88" s="167"/>
      <c r="T88" s="160"/>
      <c r="U88" s="117"/>
      <c r="V88" s="117"/>
      <c r="W88" s="104"/>
      <c r="X88" s="104"/>
      <c r="Y88" s="104"/>
      <c r="Z88" s="104"/>
      <c r="AA88" s="174"/>
      <c r="AB88" s="175"/>
      <c r="AC88" s="185"/>
      <c r="AD88" s="176"/>
      <c r="AE88" s="181"/>
      <c r="AF88" s="104"/>
      <c r="AG88" s="104"/>
      <c r="AH88" s="104"/>
      <c r="AI88" s="104"/>
      <c r="AJ88" s="104"/>
      <c r="AK88" s="104"/>
      <c r="AL88" s="104"/>
      <c r="AM88" s="104"/>
      <c r="AN88" s="104"/>
    </row>
    <row r="89" spans="1:40" ht="18.75" thickBot="1" x14ac:dyDescent="0.3">
      <c r="A89" s="104"/>
      <c r="B89" s="104"/>
      <c r="C89" s="104"/>
      <c r="D89" s="105"/>
      <c r="E89" s="105"/>
      <c r="F89" s="105"/>
      <c r="G89" s="105"/>
      <c r="H89" s="105"/>
      <c r="I89" s="105"/>
      <c r="J89" s="105"/>
      <c r="K89" s="105"/>
      <c r="L89" s="105"/>
      <c r="M89" s="105"/>
      <c r="N89" s="105"/>
      <c r="O89" s="105"/>
      <c r="P89" s="105"/>
      <c r="Q89" s="105"/>
      <c r="R89" s="124"/>
      <c r="S89" s="168"/>
      <c r="T89" s="124"/>
      <c r="U89" s="104"/>
      <c r="V89" s="104"/>
      <c r="W89" s="104"/>
      <c r="X89" s="104"/>
      <c r="Y89" s="104"/>
      <c r="Z89" s="104"/>
      <c r="AA89" s="174"/>
      <c r="AB89" s="175"/>
      <c r="AC89" s="185"/>
      <c r="AD89" s="176"/>
      <c r="AE89" s="181"/>
      <c r="AF89" s="104"/>
      <c r="AG89" s="104"/>
      <c r="AH89" s="104"/>
      <c r="AI89" s="104"/>
      <c r="AJ89" s="104"/>
      <c r="AK89" s="104"/>
      <c r="AL89" s="104"/>
      <c r="AM89" s="104"/>
      <c r="AN89" s="104"/>
    </row>
    <row r="90" spans="1:40" ht="48" thickBot="1" x14ac:dyDescent="0.3">
      <c r="A90" s="104"/>
      <c r="B90" s="132" t="s">
        <v>79</v>
      </c>
      <c r="C90" s="133"/>
      <c r="D90" s="72" t="s">
        <v>138</v>
      </c>
      <c r="E90" s="572" t="s">
        <v>139</v>
      </c>
      <c r="F90" s="573"/>
      <c r="G90" s="573"/>
      <c r="H90" s="573"/>
      <c r="I90" s="573"/>
      <c r="J90" s="573"/>
      <c r="K90" s="573"/>
      <c r="L90" s="573"/>
      <c r="M90" s="573"/>
      <c r="N90" s="573"/>
      <c r="O90" s="573"/>
      <c r="P90" s="573"/>
      <c r="Q90" s="65" t="s">
        <v>82</v>
      </c>
      <c r="R90" s="163"/>
      <c r="S90" s="163"/>
      <c r="T90" s="105"/>
      <c r="U90" s="132" t="s">
        <v>79</v>
      </c>
      <c r="V90" s="133"/>
      <c r="W90" s="104"/>
      <c r="X90" s="104"/>
      <c r="Y90" s="104"/>
      <c r="Z90" s="104"/>
      <c r="AA90" s="174"/>
      <c r="AB90" s="175"/>
      <c r="AC90" s="185"/>
      <c r="AD90" s="176"/>
      <c r="AE90" s="181"/>
      <c r="AF90" s="104"/>
      <c r="AG90" s="104"/>
      <c r="AH90" s="104"/>
      <c r="AI90" s="104"/>
      <c r="AJ90" s="104"/>
      <c r="AK90" s="104"/>
      <c r="AL90" s="104"/>
      <c r="AM90" s="104"/>
      <c r="AN90" s="104"/>
    </row>
    <row r="91" spans="1:40" ht="18" x14ac:dyDescent="0.25">
      <c r="A91" s="104"/>
      <c r="B91" s="135"/>
      <c r="C91" s="135"/>
      <c r="D91" s="136"/>
      <c r="E91" s="137"/>
      <c r="F91" s="137"/>
      <c r="G91" s="137"/>
      <c r="H91" s="137"/>
      <c r="I91" s="137"/>
      <c r="J91" s="137"/>
      <c r="K91" s="137"/>
      <c r="L91" s="137"/>
      <c r="M91" s="137"/>
      <c r="N91" s="137"/>
      <c r="O91" s="137"/>
      <c r="P91" s="138"/>
      <c r="Q91" s="137"/>
      <c r="R91" s="105"/>
      <c r="S91" s="105"/>
      <c r="T91" s="163"/>
      <c r="U91" s="135"/>
      <c r="V91" s="135"/>
      <c r="W91" s="104"/>
      <c r="X91" s="104"/>
      <c r="Y91" s="104"/>
      <c r="Z91" s="104"/>
      <c r="AA91" s="174"/>
      <c r="AB91" s="175"/>
      <c r="AC91" s="185"/>
      <c r="AD91" s="176"/>
      <c r="AE91" s="181"/>
      <c r="AF91" s="104"/>
      <c r="AG91" s="104"/>
      <c r="AH91" s="104"/>
      <c r="AI91" s="104"/>
      <c r="AJ91" s="104"/>
      <c r="AK91" s="104"/>
      <c r="AL91" s="104"/>
      <c r="AM91" s="104"/>
      <c r="AN91" s="104"/>
    </row>
    <row r="92" spans="1:40" ht="18" x14ac:dyDescent="0.25">
      <c r="A92" s="104"/>
      <c r="B92" s="252"/>
      <c r="C92" s="252"/>
      <c r="D92" s="137"/>
      <c r="E92" s="255"/>
      <c r="F92" s="255"/>
      <c r="G92" s="255"/>
      <c r="H92" s="255"/>
      <c r="I92" s="255"/>
      <c r="J92" s="255"/>
      <c r="K92" s="255"/>
      <c r="L92" s="255"/>
      <c r="M92" s="255"/>
      <c r="N92" s="255"/>
      <c r="O92" s="255"/>
      <c r="P92" s="457"/>
      <c r="Q92" s="255"/>
      <c r="R92" s="105"/>
      <c r="S92" s="105"/>
      <c r="T92" s="105"/>
      <c r="U92" s="252"/>
      <c r="V92" s="252"/>
      <c r="W92" s="104"/>
      <c r="X92" s="104"/>
      <c r="Y92" s="104"/>
      <c r="Z92" s="104"/>
      <c r="AA92" s="174"/>
      <c r="AB92" s="175"/>
      <c r="AC92" s="185"/>
      <c r="AD92" s="176"/>
      <c r="AE92" s="181"/>
      <c r="AF92" s="104"/>
      <c r="AG92" s="104"/>
      <c r="AH92" s="104"/>
      <c r="AI92" s="104"/>
      <c r="AJ92" s="104"/>
      <c r="AK92" s="104"/>
      <c r="AL92" s="104"/>
      <c r="AM92" s="104"/>
      <c r="AN92" s="104"/>
    </row>
    <row r="93" spans="1:40" ht="18" x14ac:dyDescent="0.25">
      <c r="A93" s="104"/>
      <c r="B93" s="435"/>
      <c r="C93" s="435"/>
      <c r="D93" s="436"/>
      <c r="E93" s="436"/>
      <c r="F93" s="436"/>
      <c r="G93" s="436"/>
      <c r="H93" s="436"/>
      <c r="I93" s="436"/>
      <c r="J93" s="436"/>
      <c r="K93" s="436"/>
      <c r="L93" s="436"/>
      <c r="M93" s="436"/>
      <c r="N93" s="436"/>
      <c r="O93" s="436"/>
      <c r="P93" s="458"/>
      <c r="Q93" s="436"/>
      <c r="R93" s="105"/>
      <c r="S93" s="105"/>
      <c r="T93" s="105"/>
      <c r="U93" s="435"/>
      <c r="V93" s="435"/>
      <c r="W93" s="104"/>
      <c r="X93" s="104"/>
      <c r="Y93" s="104"/>
      <c r="Z93" s="104"/>
      <c r="AA93" s="174"/>
      <c r="AB93" s="175"/>
      <c r="AC93" s="185"/>
      <c r="AD93" s="176"/>
      <c r="AE93" s="181"/>
      <c r="AF93" s="104"/>
      <c r="AG93" s="104"/>
      <c r="AH93" s="104"/>
      <c r="AI93" s="104"/>
      <c r="AJ93" s="104"/>
      <c r="AK93" s="104"/>
      <c r="AL93" s="104"/>
      <c r="AM93" s="104"/>
      <c r="AN93" s="104"/>
    </row>
    <row r="94" spans="1:40" x14ac:dyDescent="0.2">
      <c r="A94" s="104"/>
      <c r="B94" s="252"/>
      <c r="C94" s="252"/>
      <c r="D94" s="255"/>
      <c r="E94" s="255"/>
      <c r="F94" s="255"/>
      <c r="G94" s="255"/>
      <c r="H94" s="255"/>
      <c r="I94" s="255"/>
      <c r="J94" s="255"/>
      <c r="K94" s="255"/>
      <c r="L94" s="255"/>
      <c r="M94" s="255"/>
      <c r="N94" s="255"/>
      <c r="O94" s="255"/>
      <c r="P94" s="457"/>
      <c r="Q94" s="255"/>
      <c r="R94" s="105"/>
      <c r="S94" s="105"/>
      <c r="T94" s="105"/>
      <c r="U94" s="252"/>
      <c r="V94" s="252"/>
      <c r="W94" s="104"/>
      <c r="X94" s="104"/>
      <c r="Y94" s="104"/>
      <c r="Z94" s="104"/>
      <c r="AA94" s="150"/>
      <c r="AB94" s="105"/>
      <c r="AC94" s="104" t="s">
        <v>354</v>
      </c>
      <c r="AD94" s="104"/>
      <c r="AE94" s="104"/>
      <c r="AF94" s="104"/>
      <c r="AG94" s="104"/>
      <c r="AH94" s="104"/>
      <c r="AI94" s="104"/>
      <c r="AJ94" s="104"/>
      <c r="AK94" s="104"/>
      <c r="AL94" s="104"/>
      <c r="AM94" s="104"/>
      <c r="AN94" s="104"/>
    </row>
    <row r="95" spans="1:40" x14ac:dyDescent="0.2">
      <c r="A95" s="104"/>
      <c r="B95" s="252"/>
      <c r="C95" s="252"/>
      <c r="D95" s="255"/>
      <c r="E95" s="255"/>
      <c r="F95" s="255"/>
      <c r="G95" s="255"/>
      <c r="H95" s="255"/>
      <c r="I95" s="255"/>
      <c r="J95" s="255"/>
      <c r="K95" s="255"/>
      <c r="L95" s="255"/>
      <c r="M95" s="255"/>
      <c r="N95" s="255"/>
      <c r="O95" s="255"/>
      <c r="P95" s="457"/>
      <c r="Q95" s="255"/>
      <c r="R95" s="105"/>
      <c r="S95" s="105"/>
      <c r="T95" s="105"/>
      <c r="U95" s="252"/>
      <c r="V95" s="252"/>
      <c r="W95" s="104"/>
      <c r="X95" s="104"/>
      <c r="Y95" s="104"/>
      <c r="Z95" s="104"/>
      <c r="AA95" s="177"/>
      <c r="AB95" s="178"/>
      <c r="AC95" s="179"/>
      <c r="AD95" s="179"/>
      <c r="AE95" s="104"/>
      <c r="AF95" s="104"/>
      <c r="AG95" s="104"/>
      <c r="AH95" s="104"/>
      <c r="AI95" s="104"/>
      <c r="AJ95" s="104"/>
      <c r="AK95" s="104"/>
      <c r="AL95" s="104"/>
      <c r="AM95" s="104"/>
      <c r="AN95" s="104"/>
    </row>
    <row r="96" spans="1:40" x14ac:dyDescent="0.2">
      <c r="A96" s="104"/>
      <c r="B96" s="128"/>
      <c r="C96" s="128"/>
      <c r="D96" s="119"/>
      <c r="E96" s="119"/>
      <c r="F96" s="119"/>
      <c r="G96" s="119"/>
      <c r="H96" s="119"/>
      <c r="I96" s="119"/>
      <c r="J96" s="119"/>
      <c r="K96" s="119"/>
      <c r="L96" s="119"/>
      <c r="M96" s="119"/>
      <c r="N96" s="119"/>
      <c r="O96" s="119"/>
      <c r="P96" s="119"/>
      <c r="Q96" s="436"/>
      <c r="R96" s="105"/>
      <c r="S96" s="105"/>
      <c r="T96" s="105"/>
      <c r="U96" s="128"/>
      <c r="V96" s="128"/>
      <c r="W96" s="104"/>
      <c r="X96" s="104"/>
      <c r="Y96" s="104"/>
      <c r="Z96" s="104"/>
      <c r="AA96" s="177">
        <v>43496</v>
      </c>
      <c r="AB96" s="178"/>
      <c r="AC96" s="179" t="s">
        <v>355</v>
      </c>
      <c r="AD96" s="179" t="s">
        <v>356</v>
      </c>
      <c r="AE96" s="104"/>
      <c r="AF96" s="104"/>
      <c r="AG96" s="104"/>
      <c r="AH96" s="104"/>
      <c r="AI96" s="104"/>
      <c r="AJ96" s="104"/>
      <c r="AK96" s="104"/>
      <c r="AL96" s="104"/>
      <c r="AM96" s="104"/>
      <c r="AN96" s="104"/>
    </row>
    <row r="97" spans="1:40" x14ac:dyDescent="0.2">
      <c r="A97" s="104"/>
      <c r="B97" s="104"/>
      <c r="C97" s="104"/>
      <c r="D97" s="105"/>
      <c r="E97" s="105"/>
      <c r="F97" s="105"/>
      <c r="G97" s="105"/>
      <c r="H97" s="105"/>
      <c r="I97" s="105"/>
      <c r="J97" s="105"/>
      <c r="K97" s="105"/>
      <c r="L97" s="105"/>
      <c r="M97" s="105"/>
      <c r="N97" s="105"/>
      <c r="O97" s="105"/>
      <c r="P97" s="105"/>
      <c r="Q97" s="105"/>
      <c r="R97" s="105"/>
      <c r="S97" s="105"/>
      <c r="T97" s="105"/>
      <c r="U97" s="104"/>
      <c r="V97" s="104"/>
      <c r="W97" s="104"/>
      <c r="X97" s="104"/>
      <c r="Y97" s="104"/>
      <c r="Z97" s="104"/>
      <c r="AA97" s="177">
        <v>43496</v>
      </c>
      <c r="AB97" s="178"/>
      <c r="AC97" s="179" t="s">
        <v>33</v>
      </c>
      <c r="AD97" s="179" t="s">
        <v>357</v>
      </c>
      <c r="AE97" s="104"/>
      <c r="AF97" s="104"/>
      <c r="AG97" s="104"/>
      <c r="AH97" s="104"/>
      <c r="AI97" s="104"/>
      <c r="AJ97" s="104"/>
      <c r="AK97" s="104"/>
      <c r="AL97" s="104"/>
      <c r="AM97" s="104"/>
      <c r="AN97" s="104"/>
    </row>
    <row r="98" spans="1:40" ht="15.75" x14ac:dyDescent="0.25">
      <c r="A98" s="104"/>
      <c r="B98" s="135"/>
      <c r="C98" s="135"/>
      <c r="D98" s="68"/>
      <c r="E98" s="137"/>
      <c r="F98" s="137"/>
      <c r="G98" s="137"/>
      <c r="H98" s="137"/>
      <c r="I98" s="137"/>
      <c r="J98" s="137"/>
      <c r="K98" s="137"/>
      <c r="L98" s="137"/>
      <c r="M98" s="137"/>
      <c r="N98" s="137"/>
      <c r="O98" s="137"/>
      <c r="P98" s="137"/>
      <c r="Q98" s="137"/>
      <c r="R98" s="105"/>
      <c r="S98" s="105"/>
      <c r="T98" s="105"/>
      <c r="U98" s="135"/>
      <c r="V98" s="135"/>
      <c r="W98" s="104"/>
      <c r="X98" s="104"/>
      <c r="Y98" s="104"/>
      <c r="Z98" s="104"/>
      <c r="AA98" s="194">
        <v>43739</v>
      </c>
      <c r="AB98" s="178">
        <v>2018</v>
      </c>
      <c r="AC98" s="179" t="s">
        <v>358</v>
      </c>
      <c r="AD98" s="179">
        <v>15</v>
      </c>
      <c r="AE98" s="104"/>
      <c r="AF98" s="104"/>
      <c r="AG98" s="104"/>
      <c r="AH98" s="104"/>
      <c r="AI98" s="104"/>
      <c r="AJ98" s="104"/>
      <c r="AK98" s="104"/>
      <c r="AL98" s="104"/>
      <c r="AM98" s="104"/>
      <c r="AN98" s="104"/>
    </row>
    <row r="99" spans="1:40" x14ac:dyDescent="0.2">
      <c r="A99" s="104"/>
      <c r="B99" s="252"/>
      <c r="C99" s="252"/>
      <c r="D99" s="137"/>
      <c r="E99" s="255"/>
      <c r="F99" s="255"/>
      <c r="G99" s="255"/>
      <c r="H99" s="255"/>
      <c r="I99" s="255"/>
      <c r="J99" s="255"/>
      <c r="K99" s="255"/>
      <c r="L99" s="255"/>
      <c r="M99" s="255"/>
      <c r="N99" s="255"/>
      <c r="O99" s="255"/>
      <c r="P99" s="255"/>
      <c r="Q99" s="255"/>
      <c r="R99" s="105"/>
      <c r="S99" s="105"/>
      <c r="T99" s="105"/>
      <c r="U99" s="252"/>
      <c r="V99" s="252"/>
      <c r="W99" s="104"/>
      <c r="X99" s="104"/>
      <c r="Y99" s="104"/>
      <c r="Z99" s="104"/>
      <c r="AA99" s="177">
        <v>43739</v>
      </c>
      <c r="AB99" s="178">
        <v>2018</v>
      </c>
      <c r="AC99" s="179" t="s">
        <v>359</v>
      </c>
      <c r="AD99" s="179">
        <v>5</v>
      </c>
      <c r="AE99" s="104"/>
      <c r="AF99" s="104"/>
      <c r="AG99" s="104"/>
      <c r="AH99" s="104"/>
      <c r="AI99" s="104"/>
      <c r="AJ99" s="104"/>
      <c r="AK99" s="104"/>
      <c r="AL99" s="104"/>
      <c r="AM99" s="104"/>
      <c r="AN99" s="104"/>
    </row>
    <row r="100" spans="1:40" x14ac:dyDescent="0.2">
      <c r="A100" s="104"/>
      <c r="B100" s="435"/>
      <c r="C100" s="435"/>
      <c r="D100" s="436"/>
      <c r="E100" s="436"/>
      <c r="F100" s="436"/>
      <c r="G100" s="436"/>
      <c r="H100" s="436"/>
      <c r="I100" s="436"/>
      <c r="J100" s="436"/>
      <c r="K100" s="436"/>
      <c r="L100" s="436"/>
      <c r="M100" s="436"/>
      <c r="N100" s="436"/>
      <c r="O100" s="436"/>
      <c r="P100" s="436"/>
      <c r="Q100" s="436"/>
      <c r="R100" s="105"/>
      <c r="S100" s="105"/>
      <c r="T100" s="105"/>
      <c r="U100" s="435"/>
      <c r="V100" s="435"/>
      <c r="W100" s="104"/>
      <c r="X100" s="104"/>
      <c r="Y100" s="104"/>
      <c r="Z100" s="104"/>
      <c r="AA100" s="177">
        <v>43739</v>
      </c>
      <c r="AB100" s="178">
        <v>2018</v>
      </c>
      <c r="AC100" s="179" t="s">
        <v>360</v>
      </c>
      <c r="AD100" s="179">
        <v>10</v>
      </c>
      <c r="AE100" s="104"/>
      <c r="AF100" s="104"/>
      <c r="AG100" s="104"/>
      <c r="AH100" s="104"/>
      <c r="AI100" s="104"/>
      <c r="AJ100" s="104"/>
      <c r="AK100" s="104"/>
      <c r="AL100" s="104"/>
      <c r="AM100" s="104"/>
      <c r="AN100" s="104"/>
    </row>
    <row r="101" spans="1:40" x14ac:dyDescent="0.2">
      <c r="A101" s="104"/>
      <c r="B101" s="252"/>
      <c r="C101" s="252"/>
      <c r="D101" s="255"/>
      <c r="E101" s="255"/>
      <c r="F101" s="255"/>
      <c r="G101" s="255"/>
      <c r="H101" s="255"/>
      <c r="I101" s="255"/>
      <c r="J101" s="255"/>
      <c r="K101" s="255"/>
      <c r="L101" s="255"/>
      <c r="M101" s="255"/>
      <c r="N101" s="255"/>
      <c r="O101" s="255"/>
      <c r="P101" s="255"/>
      <c r="Q101" s="255"/>
      <c r="R101" s="105"/>
      <c r="S101" s="105"/>
      <c r="T101" s="105"/>
      <c r="U101" s="252"/>
      <c r="V101" s="252"/>
      <c r="W101" s="104"/>
      <c r="X101" s="104"/>
      <c r="Y101" s="104"/>
      <c r="Z101" s="104"/>
      <c r="AA101" s="177">
        <v>43739</v>
      </c>
      <c r="AB101" s="178">
        <v>2018</v>
      </c>
      <c r="AC101" s="179" t="s">
        <v>361</v>
      </c>
      <c r="AD101" s="179">
        <v>2</v>
      </c>
      <c r="AE101" s="104"/>
      <c r="AF101" s="104"/>
      <c r="AG101" s="104"/>
      <c r="AH101" s="104"/>
      <c r="AI101" s="104"/>
      <c r="AJ101" s="104"/>
      <c r="AK101" s="104"/>
      <c r="AL101" s="104"/>
      <c r="AM101" s="104"/>
      <c r="AN101" s="104"/>
    </row>
    <row r="102" spans="1:40" x14ac:dyDescent="0.2">
      <c r="A102" s="104"/>
      <c r="B102" s="252"/>
      <c r="C102" s="252"/>
      <c r="D102" s="255"/>
      <c r="E102" s="255"/>
      <c r="F102" s="255"/>
      <c r="G102" s="255"/>
      <c r="H102" s="255"/>
      <c r="I102" s="255"/>
      <c r="J102" s="255"/>
      <c r="K102" s="255"/>
      <c r="L102" s="255"/>
      <c r="M102" s="255"/>
      <c r="N102" s="255"/>
      <c r="O102" s="255"/>
      <c r="P102" s="255"/>
      <c r="Q102" s="255"/>
      <c r="R102" s="105"/>
      <c r="S102" s="105"/>
      <c r="T102" s="105"/>
      <c r="U102" s="252"/>
      <c r="V102" s="252"/>
      <c r="W102" s="104"/>
      <c r="X102" s="104"/>
      <c r="Y102" s="104"/>
      <c r="Z102" s="104"/>
      <c r="AA102" s="177">
        <v>43739</v>
      </c>
      <c r="AB102" s="178">
        <v>2018</v>
      </c>
      <c r="AC102" s="179" t="s">
        <v>362</v>
      </c>
      <c r="AD102" s="179">
        <v>10</v>
      </c>
      <c r="AE102" s="104"/>
      <c r="AF102" s="104"/>
      <c r="AG102" s="104"/>
      <c r="AH102" s="104"/>
      <c r="AI102" s="104"/>
      <c r="AJ102" s="104"/>
      <c r="AK102" s="104"/>
      <c r="AL102" s="104"/>
      <c r="AM102" s="104"/>
      <c r="AN102" s="104"/>
    </row>
    <row r="103" spans="1:40" x14ac:dyDescent="0.2">
      <c r="A103" s="104"/>
      <c r="B103" s="104"/>
      <c r="C103" s="104"/>
      <c r="D103" s="105"/>
      <c r="E103" s="105"/>
      <c r="F103" s="105"/>
      <c r="G103" s="105"/>
      <c r="H103" s="105"/>
      <c r="I103" s="105"/>
      <c r="J103" s="105"/>
      <c r="K103" s="105"/>
      <c r="L103" s="105"/>
      <c r="M103" s="105"/>
      <c r="N103" s="105"/>
      <c r="O103" s="105"/>
      <c r="P103" s="105"/>
      <c r="Q103" s="105"/>
      <c r="R103" s="105"/>
      <c r="S103" s="105"/>
      <c r="T103" s="105"/>
      <c r="U103" s="104"/>
      <c r="V103" s="104"/>
      <c r="W103" s="104"/>
      <c r="X103" s="104"/>
      <c r="Y103" s="104"/>
      <c r="Z103" s="104"/>
      <c r="AA103" s="177">
        <v>43739</v>
      </c>
      <c r="AB103" s="178">
        <v>2018</v>
      </c>
      <c r="AC103" s="179" t="s">
        <v>363</v>
      </c>
      <c r="AD103" s="179">
        <v>5</v>
      </c>
      <c r="AE103" s="104"/>
      <c r="AF103" s="104"/>
      <c r="AG103" s="104"/>
      <c r="AH103" s="104"/>
      <c r="AI103" s="104"/>
      <c r="AJ103" s="104"/>
      <c r="AK103" s="104"/>
      <c r="AL103" s="104"/>
      <c r="AM103" s="104"/>
      <c r="AN103" s="104"/>
    </row>
    <row r="104" spans="1:40" x14ac:dyDescent="0.2">
      <c r="A104" s="104"/>
      <c r="B104" s="104"/>
      <c r="C104" s="104"/>
      <c r="D104" s="105"/>
      <c r="E104" s="105"/>
      <c r="F104" s="105"/>
      <c r="G104" s="105"/>
      <c r="H104" s="105"/>
      <c r="I104" s="105"/>
      <c r="J104" s="105"/>
      <c r="K104" s="105"/>
      <c r="L104" s="105"/>
      <c r="M104" s="105"/>
      <c r="N104" s="105"/>
      <c r="O104" s="105"/>
      <c r="P104" s="105"/>
      <c r="Q104" s="105"/>
      <c r="R104" s="105"/>
      <c r="S104" s="105"/>
      <c r="T104" s="105"/>
      <c r="U104" s="104"/>
      <c r="V104" s="104"/>
      <c r="W104" s="104"/>
      <c r="X104" s="104"/>
      <c r="Y104" s="104"/>
      <c r="Z104" s="104"/>
      <c r="AA104" s="177">
        <v>43739</v>
      </c>
      <c r="AB104" s="178">
        <v>2018</v>
      </c>
      <c r="AC104" s="179" t="s">
        <v>364</v>
      </c>
      <c r="AD104" s="179">
        <v>10</v>
      </c>
      <c r="AE104" s="104"/>
      <c r="AF104" s="104"/>
      <c r="AG104" s="104"/>
      <c r="AH104" s="104"/>
      <c r="AI104" s="104"/>
      <c r="AJ104" s="104"/>
      <c r="AK104" s="104"/>
      <c r="AL104" s="104"/>
      <c r="AM104" s="104"/>
      <c r="AN104" s="104"/>
    </row>
    <row r="105" spans="1:40" ht="15.75" x14ac:dyDescent="0.25">
      <c r="A105" s="104"/>
      <c r="B105" s="126" t="s">
        <v>365</v>
      </c>
      <c r="C105" s="104"/>
      <c r="D105" s="105"/>
      <c r="E105" s="105"/>
      <c r="F105" s="105"/>
      <c r="G105" s="105"/>
      <c r="H105" s="105"/>
      <c r="I105" s="105"/>
      <c r="J105" s="105"/>
      <c r="K105" s="105"/>
      <c r="L105" s="105"/>
      <c r="M105" s="105"/>
      <c r="N105" s="105"/>
      <c r="O105" s="105"/>
      <c r="P105" s="105"/>
      <c r="Q105" s="105"/>
      <c r="R105" s="105"/>
      <c r="S105" s="105"/>
      <c r="T105" s="105"/>
      <c r="U105" s="104"/>
      <c r="V105" s="104"/>
      <c r="W105" s="104"/>
      <c r="X105" s="104"/>
      <c r="Y105" s="104"/>
      <c r="Z105" s="104"/>
      <c r="AA105" s="177">
        <v>43739</v>
      </c>
      <c r="AB105" s="178">
        <v>2018</v>
      </c>
      <c r="AC105" s="179" t="s">
        <v>366</v>
      </c>
      <c r="AD105" s="179">
        <v>9</v>
      </c>
      <c r="AE105" s="104"/>
      <c r="AF105" s="104"/>
      <c r="AG105" s="104"/>
      <c r="AH105" s="104"/>
      <c r="AI105" s="104"/>
      <c r="AJ105" s="104"/>
      <c r="AK105" s="104"/>
      <c r="AL105" s="104"/>
      <c r="AM105" s="104"/>
      <c r="AN105" s="104"/>
    </row>
    <row r="106" spans="1:40" ht="15.75" x14ac:dyDescent="0.25">
      <c r="A106" s="104"/>
      <c r="B106" s="126" t="s">
        <v>367</v>
      </c>
      <c r="C106" s="1" t="s">
        <v>368</v>
      </c>
      <c r="D106" s="1" t="s">
        <v>369</v>
      </c>
      <c r="E106" s="188" t="s">
        <v>4</v>
      </c>
      <c r="F106" s="189" t="s">
        <v>5</v>
      </c>
      <c r="G106" s="189" t="s">
        <v>6</v>
      </c>
      <c r="H106" s="189" t="s">
        <v>7</v>
      </c>
      <c r="I106" s="189" t="s">
        <v>8</v>
      </c>
      <c r="J106" s="189" t="s">
        <v>9</v>
      </c>
      <c r="K106" s="189" t="s">
        <v>10</v>
      </c>
      <c r="L106" s="189" t="s">
        <v>11</v>
      </c>
      <c r="M106" s="189" t="s">
        <v>12</v>
      </c>
      <c r="N106" s="189" t="s">
        <v>13</v>
      </c>
      <c r="O106" s="189" t="s">
        <v>14</v>
      </c>
      <c r="P106" s="189" t="s">
        <v>15</v>
      </c>
      <c r="Q106" s="105"/>
      <c r="R106" s="105"/>
      <c r="S106" s="105"/>
      <c r="T106" s="105"/>
      <c r="U106" s="104"/>
      <c r="V106" s="104"/>
      <c r="W106" s="104"/>
      <c r="X106" s="104"/>
      <c r="Y106" s="104"/>
      <c r="Z106" s="104"/>
      <c r="AA106" s="177">
        <v>43739</v>
      </c>
      <c r="AB106" s="178"/>
      <c r="AC106" s="179" t="s">
        <v>370</v>
      </c>
      <c r="AD106" s="179">
        <v>1</v>
      </c>
      <c r="AE106" s="104"/>
      <c r="AF106" s="104"/>
      <c r="AG106" s="104"/>
      <c r="AH106" s="104"/>
      <c r="AI106" s="104"/>
      <c r="AJ106" s="104"/>
      <c r="AK106" s="104"/>
      <c r="AL106" s="104"/>
      <c r="AM106" s="104"/>
      <c r="AN106" s="104"/>
    </row>
    <row r="107" spans="1:40" x14ac:dyDescent="0.2">
      <c r="A107" s="104"/>
      <c r="B107" s="252">
        <v>2016</v>
      </c>
      <c r="C107" s="252" t="s">
        <v>26</v>
      </c>
      <c r="D107" s="255">
        <v>800</v>
      </c>
      <c r="E107" s="255"/>
      <c r="F107" s="255"/>
      <c r="G107" s="255"/>
      <c r="H107" s="255">
        <v>140</v>
      </c>
      <c r="I107" s="255"/>
      <c r="J107" s="255"/>
      <c r="K107" s="255"/>
      <c r="L107" s="255"/>
      <c r="M107" s="255"/>
      <c r="N107" s="255"/>
      <c r="O107" s="255"/>
      <c r="P107" s="255">
        <v>0</v>
      </c>
      <c r="Q107" s="105"/>
      <c r="R107" s="105"/>
      <c r="S107" s="105"/>
      <c r="T107" s="105"/>
      <c r="U107" s="104"/>
      <c r="V107" s="104"/>
      <c r="W107" s="104"/>
      <c r="X107" s="104"/>
      <c r="Y107" s="104"/>
      <c r="Z107" s="104"/>
      <c r="AA107" s="150"/>
      <c r="AB107" s="105"/>
      <c r="AC107" s="104"/>
      <c r="AD107" s="104"/>
      <c r="AE107" s="104"/>
      <c r="AF107" s="104"/>
      <c r="AG107" s="104"/>
      <c r="AH107" s="104"/>
      <c r="AI107" s="104"/>
      <c r="AJ107" s="104"/>
      <c r="AK107" s="104"/>
      <c r="AL107" s="104"/>
      <c r="AM107" s="104"/>
      <c r="AN107" s="104"/>
    </row>
    <row r="108" spans="1:40" x14ac:dyDescent="0.2">
      <c r="A108" s="104"/>
      <c r="B108" s="252"/>
      <c r="C108" s="252" t="s">
        <v>371</v>
      </c>
      <c r="D108" s="255"/>
      <c r="E108" s="255"/>
      <c r="F108" s="255"/>
      <c r="G108" s="255"/>
      <c r="H108" s="255">
        <v>55</v>
      </c>
      <c r="I108" s="255"/>
      <c r="J108" s="255"/>
      <c r="K108" s="255"/>
      <c r="L108" s="255"/>
      <c r="M108" s="255"/>
      <c r="N108" s="255"/>
      <c r="O108" s="255"/>
      <c r="P108" s="255">
        <v>0</v>
      </c>
      <c r="Q108" s="105"/>
      <c r="R108" s="105"/>
      <c r="S108" s="105"/>
      <c r="T108" s="105"/>
      <c r="U108" s="104"/>
      <c r="V108" s="104"/>
      <c r="W108" s="104"/>
      <c r="X108" s="104"/>
      <c r="Y108" s="104"/>
      <c r="Z108" s="104"/>
      <c r="AA108" s="150"/>
      <c r="AB108" s="105"/>
      <c r="AC108" s="104"/>
      <c r="AD108" s="104"/>
      <c r="AE108" s="104"/>
      <c r="AF108" s="104"/>
      <c r="AG108" s="104"/>
      <c r="AH108" s="104"/>
      <c r="AI108" s="104"/>
      <c r="AJ108" s="104"/>
      <c r="AK108" s="104"/>
      <c r="AL108" s="104"/>
      <c r="AM108" s="104"/>
      <c r="AN108" s="104"/>
    </row>
    <row r="109" spans="1:40" ht="15.75" customHeight="1" x14ac:dyDescent="0.2">
      <c r="A109" s="104"/>
      <c r="B109" s="252">
        <v>2017</v>
      </c>
      <c r="C109" s="252" t="s">
        <v>26</v>
      </c>
      <c r="D109" s="255">
        <v>0</v>
      </c>
      <c r="E109" s="255"/>
      <c r="F109" s="255"/>
      <c r="G109" s="255"/>
      <c r="H109" s="255"/>
      <c r="I109" s="255"/>
      <c r="J109" s="255"/>
      <c r="K109" s="255"/>
      <c r="L109" s="255"/>
      <c r="M109" s="255"/>
      <c r="N109" s="255"/>
      <c r="O109" s="255"/>
      <c r="P109" s="255">
        <v>0</v>
      </c>
      <c r="Q109" s="105"/>
      <c r="R109" s="105"/>
      <c r="S109" s="105"/>
      <c r="T109" s="105"/>
      <c r="U109" s="104"/>
      <c r="V109" s="104"/>
      <c r="W109" s="104"/>
      <c r="X109" s="104"/>
      <c r="Y109" s="104"/>
      <c r="Z109" s="104"/>
      <c r="AA109" s="150"/>
      <c r="AB109" s="105"/>
      <c r="AC109" s="104"/>
      <c r="AD109" s="104"/>
      <c r="AE109" s="104"/>
      <c r="AF109" s="104"/>
      <c r="AG109" s="104"/>
      <c r="AH109" s="104"/>
      <c r="AI109" s="104"/>
      <c r="AJ109" s="104"/>
      <c r="AK109" s="104"/>
      <c r="AL109" s="104"/>
      <c r="AM109" s="104"/>
      <c r="AN109" s="104"/>
    </row>
    <row r="110" spans="1:40" ht="15.75" customHeight="1" x14ac:dyDescent="0.2">
      <c r="A110" s="104"/>
      <c r="B110" s="252"/>
      <c r="C110" s="252" t="s">
        <v>70</v>
      </c>
      <c r="D110" s="255">
        <v>38</v>
      </c>
      <c r="E110" s="255"/>
      <c r="F110" s="255"/>
      <c r="G110" s="255"/>
      <c r="H110" s="255"/>
      <c r="I110" s="255"/>
      <c r="J110" s="255"/>
      <c r="K110" s="255"/>
      <c r="L110" s="255"/>
      <c r="M110" s="255"/>
      <c r="N110" s="255"/>
      <c r="O110" s="255"/>
      <c r="P110" s="255">
        <v>0</v>
      </c>
      <c r="Q110" s="105"/>
      <c r="R110" s="105"/>
      <c r="S110" s="105"/>
      <c r="T110" s="105"/>
      <c r="U110" s="104"/>
      <c r="V110" s="104"/>
      <c r="W110" s="104"/>
      <c r="X110" s="104"/>
      <c r="Y110" s="104"/>
      <c r="Z110" s="104"/>
      <c r="AA110" s="150"/>
      <c r="AB110" s="105"/>
      <c r="AC110" s="104"/>
      <c r="AD110" s="104"/>
      <c r="AE110" s="104"/>
      <c r="AF110" s="104"/>
      <c r="AG110" s="104"/>
      <c r="AH110" s="104"/>
      <c r="AI110" s="104"/>
      <c r="AJ110" s="104"/>
      <c r="AK110" s="104"/>
      <c r="AL110" s="104"/>
      <c r="AM110" s="104"/>
      <c r="AN110" s="104"/>
    </row>
    <row r="111" spans="1:40" x14ac:dyDescent="0.2">
      <c r="A111" s="104"/>
      <c r="B111" s="252"/>
      <c r="C111" s="252" t="s">
        <v>372</v>
      </c>
      <c r="D111" s="255">
        <v>210</v>
      </c>
      <c r="E111" s="255"/>
      <c r="F111" s="255"/>
      <c r="G111" s="255"/>
      <c r="H111" s="255"/>
      <c r="I111" s="255"/>
      <c r="J111" s="255"/>
      <c r="K111" s="255"/>
      <c r="L111" s="255"/>
      <c r="M111" s="255"/>
      <c r="N111" s="255"/>
      <c r="O111" s="255"/>
      <c r="P111" s="255">
        <v>0</v>
      </c>
      <c r="Q111" s="105"/>
      <c r="R111" s="105"/>
      <c r="S111" s="105"/>
      <c r="T111" s="105"/>
      <c r="U111" s="104"/>
      <c r="V111" s="104"/>
      <c r="W111" s="104"/>
      <c r="X111" s="104"/>
      <c r="Y111" s="104"/>
      <c r="Z111" s="104"/>
      <c r="AA111" s="150"/>
      <c r="AB111" s="105"/>
      <c r="AC111" s="104"/>
      <c r="AD111" s="104"/>
      <c r="AE111" s="104"/>
      <c r="AF111" s="104"/>
      <c r="AG111" s="104"/>
      <c r="AH111" s="104"/>
      <c r="AI111" s="104"/>
      <c r="AJ111" s="104"/>
      <c r="AK111" s="104"/>
      <c r="AL111" s="104"/>
      <c r="AM111" s="104"/>
      <c r="AN111" s="104"/>
    </row>
    <row r="112" spans="1:40" x14ac:dyDescent="0.2">
      <c r="A112" s="104"/>
      <c r="B112" s="252"/>
      <c r="C112" s="252" t="s">
        <v>371</v>
      </c>
      <c r="D112" s="255"/>
      <c r="E112" s="255"/>
      <c r="F112" s="255"/>
      <c r="G112" s="255"/>
      <c r="H112" s="255"/>
      <c r="I112" s="255"/>
      <c r="J112" s="255"/>
      <c r="K112" s="255"/>
      <c r="L112" s="255"/>
      <c r="M112" s="255"/>
      <c r="N112" s="255">
        <v>275</v>
      </c>
      <c r="O112" s="255">
        <v>275</v>
      </c>
      <c r="P112" s="255">
        <v>275</v>
      </c>
      <c r="Q112" s="105"/>
      <c r="R112" s="105"/>
      <c r="S112" s="105"/>
      <c r="T112" s="105"/>
      <c r="U112" s="104"/>
      <c r="V112" s="104"/>
      <c r="W112" s="104"/>
      <c r="X112" s="104"/>
      <c r="Y112" s="104"/>
      <c r="Z112" s="104"/>
      <c r="AA112" s="150"/>
      <c r="AB112" s="105"/>
      <c r="AC112" s="104"/>
      <c r="AD112" s="104"/>
      <c r="AE112" s="104"/>
      <c r="AF112" s="104"/>
      <c r="AG112" s="104"/>
      <c r="AH112" s="104"/>
      <c r="AI112" s="104"/>
      <c r="AJ112" s="104"/>
      <c r="AK112" s="104"/>
      <c r="AL112" s="104"/>
      <c r="AM112" s="104"/>
      <c r="AN112" s="104"/>
    </row>
    <row r="113" spans="1:40" x14ac:dyDescent="0.2">
      <c r="A113" s="104"/>
      <c r="B113" s="252">
        <v>2018</v>
      </c>
      <c r="C113" s="252" t="s">
        <v>46</v>
      </c>
      <c r="D113" s="255">
        <v>1845</v>
      </c>
      <c r="E113" s="255"/>
      <c r="F113" s="255"/>
      <c r="G113" s="255"/>
      <c r="H113" s="255"/>
      <c r="I113" s="255"/>
      <c r="J113" s="255"/>
      <c r="K113" s="255"/>
      <c r="L113" s="255"/>
      <c r="M113" s="255"/>
      <c r="N113" s="255"/>
      <c r="O113" s="255"/>
      <c r="P113" s="255">
        <v>0</v>
      </c>
      <c r="Q113" s="105"/>
      <c r="R113" s="105"/>
      <c r="S113" s="105"/>
      <c r="T113" s="105"/>
      <c r="U113" s="104"/>
      <c r="V113" s="104"/>
      <c r="W113" s="104"/>
      <c r="X113" s="104"/>
      <c r="Y113" s="104"/>
      <c r="Z113" s="104"/>
      <c r="AA113" s="150"/>
      <c r="AB113" s="105"/>
      <c r="AC113" s="104"/>
      <c r="AD113" s="104"/>
      <c r="AE113" s="104"/>
      <c r="AF113" s="104"/>
      <c r="AG113" s="104"/>
      <c r="AH113" s="104"/>
      <c r="AI113" s="104"/>
      <c r="AJ113" s="104"/>
      <c r="AK113" s="104"/>
      <c r="AL113" s="104"/>
      <c r="AM113" s="104"/>
      <c r="AN113" s="104"/>
    </row>
    <row r="114" spans="1:40" x14ac:dyDescent="0.2">
      <c r="A114" s="104"/>
      <c r="B114" s="252"/>
      <c r="C114" s="252" t="s">
        <v>107</v>
      </c>
      <c r="D114" s="255">
        <v>1515</v>
      </c>
      <c r="E114" s="255"/>
      <c r="F114" s="255"/>
      <c r="G114" s="255"/>
      <c r="H114" s="255"/>
      <c r="I114" s="255"/>
      <c r="J114" s="255"/>
      <c r="K114" s="255"/>
      <c r="L114" s="255"/>
      <c r="M114" s="255"/>
      <c r="N114" s="255"/>
      <c r="O114" s="255"/>
      <c r="P114" s="255">
        <v>0</v>
      </c>
      <c r="Q114" s="105"/>
      <c r="R114" s="105"/>
      <c r="S114" s="105"/>
      <c r="T114" s="105"/>
      <c r="U114" s="104"/>
      <c r="V114" s="104"/>
      <c r="W114" s="104"/>
      <c r="X114" s="104"/>
      <c r="Y114" s="104"/>
      <c r="Z114" s="104"/>
      <c r="AA114" s="150"/>
      <c r="AB114" s="105"/>
      <c r="AC114" s="104"/>
      <c r="AD114" s="104"/>
      <c r="AE114" s="104"/>
      <c r="AF114" s="104"/>
      <c r="AG114" s="104"/>
      <c r="AH114" s="104"/>
      <c r="AI114" s="104"/>
      <c r="AJ114" s="104"/>
      <c r="AK114" s="104"/>
      <c r="AL114" s="104"/>
      <c r="AM114" s="104"/>
      <c r="AN114" s="104"/>
    </row>
    <row r="115" spans="1:40" x14ac:dyDescent="0.2">
      <c r="A115" s="104"/>
      <c r="B115" s="252"/>
      <c r="C115" s="252" t="s">
        <v>373</v>
      </c>
      <c r="D115" s="295">
        <v>800</v>
      </c>
      <c r="E115" s="255"/>
      <c r="F115" s="255"/>
      <c r="G115" s="255"/>
      <c r="H115" s="255"/>
      <c r="I115" s="255"/>
      <c r="J115" s="255"/>
      <c r="K115" s="255"/>
      <c r="L115" s="255"/>
      <c r="M115" s="255"/>
      <c r="N115" s="255"/>
      <c r="O115" s="255"/>
      <c r="P115" s="255">
        <v>0</v>
      </c>
      <c r="Q115" s="105"/>
      <c r="R115" s="105"/>
      <c r="S115" s="105"/>
      <c r="T115" s="105"/>
      <c r="U115" s="104"/>
      <c r="V115" s="104"/>
      <c r="W115" s="104"/>
      <c r="X115" s="104"/>
      <c r="Y115" s="104"/>
      <c r="Z115" s="104"/>
      <c r="AA115" s="150"/>
      <c r="AB115" s="105"/>
      <c r="AC115" s="104"/>
      <c r="AD115" s="104"/>
      <c r="AE115" s="104"/>
      <c r="AF115" s="104"/>
      <c r="AG115" s="104"/>
      <c r="AH115" s="104"/>
      <c r="AI115" s="104"/>
      <c r="AJ115" s="104"/>
      <c r="AK115" s="104"/>
      <c r="AL115" s="104"/>
      <c r="AM115" s="104"/>
      <c r="AN115" s="104"/>
    </row>
    <row r="116" spans="1:40" x14ac:dyDescent="0.2">
      <c r="A116" s="104"/>
      <c r="B116" s="252" t="s">
        <v>35</v>
      </c>
      <c r="C116" s="252" t="s">
        <v>31</v>
      </c>
      <c r="D116" s="255">
        <v>3010</v>
      </c>
      <c r="E116" s="255"/>
      <c r="F116" s="255"/>
      <c r="G116" s="255"/>
      <c r="H116" s="255">
        <f>1326+1308</f>
        <v>2634</v>
      </c>
      <c r="I116" s="255"/>
      <c r="J116" s="255"/>
      <c r="K116" s="255"/>
      <c r="L116" s="255"/>
      <c r="M116" s="255"/>
      <c r="N116" s="255"/>
      <c r="O116" s="255"/>
      <c r="P116" s="255">
        <v>0</v>
      </c>
      <c r="Q116" s="105"/>
      <c r="R116" s="105"/>
      <c r="S116" s="105"/>
      <c r="T116" s="105"/>
      <c r="U116" s="104"/>
      <c r="V116" s="104"/>
      <c r="W116" s="104"/>
      <c r="X116" s="104"/>
      <c r="Y116" s="104"/>
      <c r="Z116" s="104"/>
      <c r="AA116" s="150"/>
      <c r="AB116" s="105"/>
      <c r="AC116" s="104"/>
      <c r="AD116" s="104"/>
      <c r="AE116" s="104"/>
      <c r="AF116" s="104"/>
      <c r="AG116" s="104"/>
      <c r="AH116" s="104"/>
      <c r="AI116" s="104"/>
      <c r="AJ116" s="104"/>
      <c r="AK116" s="104"/>
      <c r="AL116" s="104"/>
      <c r="AM116" s="104"/>
      <c r="AN116" s="104"/>
    </row>
    <row r="117" spans="1:40" x14ac:dyDescent="0.2">
      <c r="A117" s="104"/>
      <c r="B117" s="252"/>
      <c r="C117" s="252" t="s">
        <v>25</v>
      </c>
      <c r="D117" s="255">
        <v>2800</v>
      </c>
      <c r="E117" s="255"/>
      <c r="F117" s="255"/>
      <c r="G117" s="255"/>
      <c r="H117" s="255">
        <f>770+1820</f>
        <v>2590</v>
      </c>
      <c r="I117" s="255"/>
      <c r="J117" s="255"/>
      <c r="K117" s="255"/>
      <c r="L117" s="255"/>
      <c r="M117" s="255"/>
      <c r="N117" s="255"/>
      <c r="O117" s="255"/>
      <c r="P117" s="255">
        <v>0</v>
      </c>
      <c r="Q117" s="105"/>
      <c r="R117" s="105"/>
      <c r="S117" s="105"/>
      <c r="T117" s="105"/>
      <c r="U117" s="104"/>
      <c r="V117" s="104"/>
      <c r="W117" s="104"/>
      <c r="X117" s="104"/>
      <c r="Y117" s="104"/>
      <c r="Z117" s="104"/>
      <c r="AA117" s="150"/>
      <c r="AB117" s="105"/>
      <c r="AC117" s="104"/>
      <c r="AD117" s="104"/>
      <c r="AE117" s="104"/>
      <c r="AF117" s="104"/>
      <c r="AG117" s="104"/>
      <c r="AH117" s="104"/>
      <c r="AI117" s="104"/>
      <c r="AJ117" s="104"/>
      <c r="AK117" s="104"/>
      <c r="AL117" s="104"/>
      <c r="AM117" s="104"/>
      <c r="AN117" s="104"/>
    </row>
    <row r="118" spans="1:40" x14ac:dyDescent="0.2">
      <c r="A118" s="104"/>
      <c r="B118" s="252"/>
      <c r="C118" s="252" t="s">
        <v>110</v>
      </c>
      <c r="D118" s="255">
        <v>1540</v>
      </c>
      <c r="E118" s="255"/>
      <c r="F118" s="255"/>
      <c r="G118" s="255"/>
      <c r="H118" s="255"/>
      <c r="I118" s="255"/>
      <c r="J118" s="255"/>
      <c r="K118" s="255"/>
      <c r="L118" s="255"/>
      <c r="M118" s="255"/>
      <c r="N118" s="255"/>
      <c r="O118" s="255"/>
      <c r="P118" s="255">
        <v>0</v>
      </c>
      <c r="Q118" s="105"/>
      <c r="R118" s="105"/>
      <c r="S118" s="105"/>
      <c r="T118" s="105"/>
      <c r="U118" s="104"/>
      <c r="V118" s="104"/>
      <c r="W118" s="104"/>
      <c r="X118" s="104"/>
      <c r="Y118" s="104"/>
      <c r="Z118" s="104"/>
      <c r="AA118" s="150"/>
      <c r="AB118" s="105"/>
      <c r="AC118" s="104"/>
      <c r="AD118" s="104"/>
      <c r="AE118" s="104"/>
      <c r="AF118" s="104"/>
      <c r="AG118" s="104"/>
      <c r="AH118" s="104"/>
      <c r="AI118" s="104"/>
      <c r="AJ118" s="104"/>
      <c r="AK118" s="104"/>
      <c r="AL118" s="104"/>
      <c r="AM118" s="104"/>
      <c r="AN118" s="104"/>
    </row>
    <row r="119" spans="1:40" x14ac:dyDescent="0.2">
      <c r="A119" s="104"/>
      <c r="B119" s="252"/>
      <c r="C119" s="252" t="s">
        <v>26</v>
      </c>
      <c r="D119" s="255">
        <v>1960</v>
      </c>
      <c r="E119" s="255"/>
      <c r="F119" s="255"/>
      <c r="G119" s="255"/>
      <c r="H119" s="255">
        <f>280+700+1050</f>
        <v>2030</v>
      </c>
      <c r="I119" s="255"/>
      <c r="J119" s="255"/>
      <c r="K119" s="255"/>
      <c r="L119" s="255"/>
      <c r="M119" s="255">
        <v>770</v>
      </c>
      <c r="N119" s="255"/>
      <c r="O119" s="255">
        <v>105</v>
      </c>
      <c r="P119" s="255">
        <v>0</v>
      </c>
      <c r="Q119" s="105"/>
      <c r="R119" s="105"/>
      <c r="S119" s="105"/>
      <c r="T119" s="105"/>
      <c r="U119" s="104"/>
      <c r="V119" s="104"/>
      <c r="W119" s="104"/>
      <c r="X119" s="104"/>
      <c r="Y119" s="104"/>
      <c r="Z119" s="104"/>
      <c r="AA119" s="150"/>
      <c r="AB119" s="105"/>
      <c r="AC119" s="104"/>
      <c r="AD119" s="104"/>
      <c r="AE119" s="104"/>
      <c r="AF119" s="104"/>
      <c r="AG119" s="104"/>
      <c r="AH119" s="104"/>
      <c r="AI119" s="104"/>
      <c r="AJ119" s="104"/>
      <c r="AK119" s="104"/>
      <c r="AL119" s="104"/>
      <c r="AM119" s="104"/>
      <c r="AN119" s="104"/>
    </row>
    <row r="120" spans="1:40" x14ac:dyDescent="0.2">
      <c r="A120" s="104"/>
      <c r="B120" s="252"/>
      <c r="C120" s="252" t="s">
        <v>23</v>
      </c>
      <c r="D120" s="255">
        <v>3030</v>
      </c>
      <c r="E120" s="255"/>
      <c r="F120" s="255"/>
      <c r="G120" s="255"/>
      <c r="H120" s="255">
        <f>970+940+60</f>
        <v>1970</v>
      </c>
      <c r="I120" s="255"/>
      <c r="J120" s="255"/>
      <c r="K120" s="255"/>
      <c r="L120" s="255"/>
      <c r="M120" s="255">
        <v>490</v>
      </c>
      <c r="N120" s="255"/>
      <c r="O120" s="255"/>
      <c r="P120" s="255">
        <v>0</v>
      </c>
      <c r="Q120" s="105"/>
      <c r="R120" s="105"/>
      <c r="S120" s="105"/>
      <c r="T120" s="105"/>
      <c r="U120" s="104"/>
      <c r="V120" s="104"/>
      <c r="W120" s="104"/>
      <c r="X120" s="104"/>
      <c r="Y120" s="104"/>
      <c r="Z120" s="104"/>
      <c r="AA120" s="150"/>
      <c r="AB120" s="105"/>
      <c r="AC120" s="104"/>
      <c r="AD120" s="104"/>
      <c r="AE120" s="104"/>
      <c r="AF120" s="104"/>
      <c r="AG120" s="104"/>
      <c r="AH120" s="104"/>
      <c r="AI120" s="104"/>
      <c r="AJ120" s="104"/>
      <c r="AK120" s="104"/>
      <c r="AL120" s="104"/>
      <c r="AM120" s="104"/>
      <c r="AN120" s="104"/>
    </row>
    <row r="121" spans="1:40" x14ac:dyDescent="0.2">
      <c r="A121" s="104"/>
      <c r="B121" s="252"/>
      <c r="C121" s="252" t="s">
        <v>374</v>
      </c>
      <c r="D121" s="255">
        <v>0</v>
      </c>
      <c r="E121" s="255"/>
      <c r="F121" s="255"/>
      <c r="G121" s="255"/>
      <c r="H121" s="255">
        <v>430</v>
      </c>
      <c r="I121" s="255"/>
      <c r="J121" s="255"/>
      <c r="K121" s="255"/>
      <c r="L121" s="255"/>
      <c r="M121" s="255">
        <v>410</v>
      </c>
      <c r="N121" s="255"/>
      <c r="O121" s="255"/>
      <c r="P121" s="255">
        <v>0</v>
      </c>
      <c r="Q121" s="105"/>
      <c r="R121" s="105"/>
      <c r="S121" s="105"/>
      <c r="T121" s="105"/>
      <c r="U121" s="104"/>
      <c r="V121" s="104"/>
      <c r="W121" s="104"/>
      <c r="X121" s="104"/>
      <c r="Y121" s="104"/>
      <c r="Z121" s="104"/>
      <c r="AA121" s="150"/>
      <c r="AB121" s="105"/>
      <c r="AC121" s="104"/>
      <c r="AD121" s="104"/>
      <c r="AE121" s="104"/>
      <c r="AF121" s="104"/>
      <c r="AG121" s="104"/>
      <c r="AH121" s="104"/>
      <c r="AI121" s="104"/>
      <c r="AJ121" s="104"/>
      <c r="AK121" s="104"/>
      <c r="AL121" s="104"/>
      <c r="AM121" s="104"/>
      <c r="AN121" s="104"/>
    </row>
    <row r="122" spans="1:40" x14ac:dyDescent="0.2">
      <c r="A122" s="104"/>
      <c r="B122" s="252"/>
      <c r="C122" s="252" t="s">
        <v>70</v>
      </c>
      <c r="D122" s="255">
        <v>1590</v>
      </c>
      <c r="E122" s="255"/>
      <c r="F122" s="255"/>
      <c r="G122" s="255"/>
      <c r="H122" s="255">
        <v>910</v>
      </c>
      <c r="I122" s="255"/>
      <c r="J122" s="255"/>
      <c r="K122" s="255"/>
      <c r="L122" s="255"/>
      <c r="M122" s="255">
        <v>770</v>
      </c>
      <c r="N122" s="255">
        <v>1160</v>
      </c>
      <c r="O122" s="255">
        <v>1160</v>
      </c>
      <c r="P122" s="255">
        <v>0</v>
      </c>
      <c r="Q122" s="105"/>
      <c r="R122" s="105"/>
      <c r="S122" s="105"/>
      <c r="T122" s="105"/>
      <c r="U122" s="104"/>
      <c r="V122" s="104"/>
      <c r="W122" s="104"/>
      <c r="X122" s="104"/>
      <c r="Y122" s="104"/>
      <c r="Z122" s="104"/>
      <c r="AA122" s="150"/>
      <c r="AB122" s="105"/>
      <c r="AC122" s="104"/>
      <c r="AD122" s="104"/>
      <c r="AE122" s="104"/>
      <c r="AF122" s="104"/>
      <c r="AG122" s="104"/>
      <c r="AH122" s="104"/>
      <c r="AI122" s="104"/>
      <c r="AJ122" s="104"/>
      <c r="AK122" s="104"/>
      <c r="AL122" s="104"/>
      <c r="AM122" s="104"/>
      <c r="AN122" s="104"/>
    </row>
    <row r="123" spans="1:40" x14ac:dyDescent="0.2">
      <c r="A123" s="104"/>
      <c r="B123" s="252"/>
      <c r="C123" s="252" t="s">
        <v>29</v>
      </c>
      <c r="D123" s="255">
        <v>1210</v>
      </c>
      <c r="E123" s="255"/>
      <c r="F123" s="255"/>
      <c r="G123" s="255"/>
      <c r="H123" s="255">
        <v>910</v>
      </c>
      <c r="I123" s="255"/>
      <c r="J123" s="255"/>
      <c r="K123" s="255"/>
      <c r="L123" s="255"/>
      <c r="M123" s="255">
        <v>840</v>
      </c>
      <c r="N123" s="255"/>
      <c r="O123" s="255"/>
      <c r="P123" s="255">
        <v>0</v>
      </c>
      <c r="Q123" s="105"/>
      <c r="R123" s="105"/>
      <c r="S123" s="105"/>
      <c r="T123" s="105"/>
      <c r="U123" s="104"/>
      <c r="V123" s="104"/>
      <c r="W123" s="104"/>
      <c r="X123" s="104"/>
      <c r="Y123" s="104"/>
      <c r="Z123" s="104"/>
      <c r="AA123" s="150"/>
      <c r="AB123" s="105"/>
      <c r="AC123" s="104"/>
      <c r="AD123" s="104"/>
      <c r="AE123" s="104"/>
      <c r="AF123" s="104"/>
      <c r="AG123" s="104"/>
      <c r="AH123" s="104"/>
      <c r="AI123" s="104"/>
      <c r="AJ123" s="104"/>
      <c r="AK123" s="104"/>
      <c r="AL123" s="104"/>
      <c r="AM123" s="104"/>
      <c r="AN123" s="104"/>
    </row>
    <row r="124" spans="1:40" x14ac:dyDescent="0.2">
      <c r="A124" s="104"/>
      <c r="B124" s="252"/>
      <c r="C124" s="252" t="s">
        <v>24</v>
      </c>
      <c r="D124" s="255">
        <v>3095</v>
      </c>
      <c r="E124" s="255"/>
      <c r="F124" s="255"/>
      <c r="G124" s="255"/>
      <c r="H124" s="255">
        <f>625+910+610+630</f>
        <v>2775</v>
      </c>
      <c r="I124" s="255"/>
      <c r="J124" s="255"/>
      <c r="K124" s="255"/>
      <c r="L124" s="255"/>
      <c r="M124" s="255">
        <v>2750</v>
      </c>
      <c r="N124" s="255">
        <v>330</v>
      </c>
      <c r="O124" s="255">
        <v>330</v>
      </c>
      <c r="P124" s="255">
        <v>330</v>
      </c>
      <c r="Q124" s="105"/>
      <c r="R124" s="105"/>
      <c r="S124" s="105"/>
      <c r="T124" s="105"/>
      <c r="U124" s="104"/>
      <c r="V124" s="104"/>
      <c r="W124" s="104"/>
      <c r="X124" s="104"/>
      <c r="Y124" s="104"/>
      <c r="Z124" s="104"/>
      <c r="AA124" s="150"/>
      <c r="AB124" s="105"/>
      <c r="AC124" s="104"/>
      <c r="AD124" s="104"/>
      <c r="AE124" s="104"/>
      <c r="AF124" s="104"/>
      <c r="AG124" s="104"/>
      <c r="AH124" s="104"/>
      <c r="AI124" s="104"/>
      <c r="AJ124" s="104"/>
      <c r="AK124" s="104"/>
      <c r="AL124" s="104"/>
      <c r="AM124" s="104"/>
      <c r="AN124" s="104"/>
    </row>
    <row r="125" spans="1:40" x14ac:dyDescent="0.2">
      <c r="A125" s="104"/>
      <c r="B125" s="252"/>
      <c r="C125" s="252" t="s">
        <v>307</v>
      </c>
      <c r="D125" s="255"/>
      <c r="E125" s="255"/>
      <c r="F125" s="255"/>
      <c r="G125" s="255"/>
      <c r="H125" s="255"/>
      <c r="I125" s="255"/>
      <c r="J125" s="255"/>
      <c r="K125" s="255"/>
      <c r="L125" s="255"/>
      <c r="M125" s="255"/>
      <c r="N125" s="255">
        <v>935</v>
      </c>
      <c r="O125" s="255">
        <v>935</v>
      </c>
      <c r="P125" s="255">
        <v>0</v>
      </c>
      <c r="Q125" s="105"/>
      <c r="R125" s="105"/>
      <c r="S125" s="105"/>
      <c r="T125" s="105"/>
      <c r="U125" s="104"/>
      <c r="V125" s="104"/>
      <c r="W125" s="104"/>
      <c r="X125" s="104"/>
      <c r="Y125" s="104"/>
      <c r="Z125" s="104"/>
      <c r="AA125" s="150"/>
      <c r="AB125" s="105"/>
      <c r="AC125" s="104"/>
      <c r="AD125" s="104"/>
      <c r="AE125" s="104"/>
      <c r="AF125" s="104"/>
      <c r="AG125" s="104"/>
      <c r="AH125" s="104"/>
      <c r="AI125" s="104"/>
      <c r="AJ125" s="104"/>
      <c r="AK125" s="104"/>
      <c r="AL125" s="104"/>
      <c r="AM125" s="104"/>
      <c r="AN125" s="104"/>
    </row>
    <row r="126" spans="1:40" x14ac:dyDescent="0.2">
      <c r="A126" s="104"/>
      <c r="B126" s="252"/>
      <c r="C126" s="252" t="s">
        <v>371</v>
      </c>
      <c r="D126" s="255"/>
      <c r="E126" s="255"/>
      <c r="F126" s="255"/>
      <c r="G126" s="255"/>
      <c r="H126" s="255"/>
      <c r="I126" s="255"/>
      <c r="J126" s="255"/>
      <c r="K126" s="255"/>
      <c r="L126" s="255"/>
      <c r="M126" s="255">
        <v>330</v>
      </c>
      <c r="N126" s="255"/>
      <c r="O126" s="255"/>
      <c r="P126" s="255">
        <v>0</v>
      </c>
      <c r="Q126" s="105"/>
      <c r="R126" s="105"/>
      <c r="S126" s="105"/>
      <c r="T126" s="105"/>
      <c r="U126" s="104"/>
      <c r="V126" s="104"/>
      <c r="W126" s="104"/>
      <c r="X126" s="104"/>
      <c r="Y126" s="104"/>
      <c r="Z126" s="104"/>
      <c r="AA126" s="150"/>
      <c r="AB126" s="105"/>
      <c r="AC126" s="104"/>
      <c r="AD126" s="104"/>
      <c r="AE126" s="104"/>
      <c r="AF126" s="104"/>
      <c r="AG126" s="104"/>
      <c r="AH126" s="104"/>
      <c r="AI126" s="104"/>
      <c r="AJ126" s="104"/>
      <c r="AK126" s="104"/>
      <c r="AL126" s="104"/>
      <c r="AM126" s="104"/>
      <c r="AN126" s="104"/>
    </row>
    <row r="127" spans="1:40" x14ac:dyDescent="0.2">
      <c r="A127" s="104"/>
      <c r="B127" s="252"/>
      <c r="C127" s="252" t="s">
        <v>94</v>
      </c>
      <c r="D127" s="255"/>
      <c r="E127" s="255"/>
      <c r="F127" s="255"/>
      <c r="G127" s="255"/>
      <c r="H127" s="255"/>
      <c r="I127" s="255"/>
      <c r="J127" s="255"/>
      <c r="K127" s="255"/>
      <c r="L127" s="255"/>
      <c r="M127" s="255"/>
      <c r="N127" s="255">
        <v>2950</v>
      </c>
      <c r="O127" s="255">
        <v>2950</v>
      </c>
      <c r="P127" s="255">
        <v>0</v>
      </c>
      <c r="Q127" s="105"/>
      <c r="R127" s="105"/>
      <c r="S127" s="105"/>
      <c r="T127" s="105"/>
      <c r="U127" s="104"/>
      <c r="V127" s="104"/>
      <c r="W127" s="104"/>
      <c r="X127" s="104"/>
      <c r="Y127" s="104"/>
      <c r="Z127" s="104"/>
      <c r="AA127" s="150"/>
      <c r="AB127" s="105"/>
      <c r="AC127" s="104"/>
      <c r="AD127" s="104"/>
      <c r="AE127" s="104"/>
      <c r="AF127" s="104"/>
      <c r="AG127" s="104"/>
      <c r="AH127" s="104"/>
      <c r="AI127" s="104"/>
      <c r="AJ127" s="104"/>
      <c r="AK127" s="104"/>
      <c r="AL127" s="104"/>
      <c r="AM127" s="104"/>
      <c r="AN127" s="104"/>
    </row>
    <row r="128" spans="1:40" x14ac:dyDescent="0.2">
      <c r="A128" s="104"/>
      <c r="B128" s="252"/>
      <c r="C128" s="252" t="s">
        <v>22</v>
      </c>
      <c r="D128" s="255"/>
      <c r="E128" s="255"/>
      <c r="F128" s="255"/>
      <c r="G128" s="255"/>
      <c r="H128" s="255"/>
      <c r="I128" s="255"/>
      <c r="J128" s="255"/>
      <c r="K128" s="255"/>
      <c r="L128" s="255"/>
      <c r="M128" s="255"/>
      <c r="N128" s="255">
        <v>2350</v>
      </c>
      <c r="O128" s="255">
        <v>2350</v>
      </c>
      <c r="P128" s="255">
        <v>0</v>
      </c>
      <c r="Q128" s="105"/>
      <c r="R128" s="105"/>
      <c r="S128" s="105"/>
      <c r="T128" s="105"/>
      <c r="U128" s="104"/>
      <c r="V128" s="104"/>
      <c r="W128" s="104"/>
      <c r="X128" s="104"/>
      <c r="Y128" s="104"/>
      <c r="Z128" s="104"/>
      <c r="AA128" s="150"/>
      <c r="AB128" s="105"/>
      <c r="AC128" s="104"/>
      <c r="AD128" s="104"/>
      <c r="AE128" s="104"/>
      <c r="AF128" s="104"/>
      <c r="AG128" s="104"/>
      <c r="AH128" s="104"/>
      <c r="AI128" s="104"/>
      <c r="AJ128" s="104"/>
      <c r="AK128" s="104"/>
      <c r="AL128" s="104"/>
      <c r="AM128" s="104"/>
      <c r="AN128" s="104"/>
    </row>
    <row r="129" spans="1:40" x14ac:dyDescent="0.2">
      <c r="A129" s="104"/>
      <c r="B129" s="252">
        <v>2019</v>
      </c>
      <c r="C129" s="252" t="s">
        <v>26</v>
      </c>
      <c r="D129" s="255"/>
      <c r="E129" s="255"/>
      <c r="F129" s="255"/>
      <c r="G129" s="255"/>
      <c r="H129" s="255"/>
      <c r="I129" s="255"/>
      <c r="J129" s="255"/>
      <c r="K129" s="255"/>
      <c r="L129" s="255"/>
      <c r="M129" s="255"/>
      <c r="N129" s="255">
        <v>1610</v>
      </c>
      <c r="O129" s="255">
        <v>1610</v>
      </c>
      <c r="P129" s="255">
        <v>1610</v>
      </c>
      <c r="Q129" s="105"/>
      <c r="R129" s="105"/>
      <c r="S129" s="105"/>
      <c r="T129" s="105"/>
      <c r="U129" s="104"/>
      <c r="V129" s="104"/>
      <c r="W129" s="104"/>
      <c r="X129" s="104"/>
      <c r="Y129" s="104"/>
      <c r="Z129" s="104"/>
      <c r="AA129" s="150"/>
      <c r="AB129" s="105"/>
      <c r="AC129" s="104"/>
      <c r="AD129" s="104"/>
      <c r="AE129" s="104"/>
      <c r="AF129" s="104"/>
      <c r="AG129" s="104"/>
      <c r="AH129" s="104"/>
      <c r="AI129" s="104"/>
      <c r="AJ129" s="104"/>
      <c r="AK129" s="104"/>
      <c r="AL129" s="104"/>
      <c r="AM129" s="104"/>
      <c r="AN129" s="104"/>
    </row>
    <row r="130" spans="1:40" x14ac:dyDescent="0.2">
      <c r="A130" s="104"/>
      <c r="B130" s="252"/>
      <c r="C130" s="252" t="s">
        <v>70</v>
      </c>
      <c r="D130" s="255"/>
      <c r="E130" s="255"/>
      <c r="F130" s="255"/>
      <c r="G130" s="255"/>
      <c r="H130" s="255"/>
      <c r="I130" s="255"/>
      <c r="J130" s="255"/>
      <c r="K130" s="255"/>
      <c r="L130" s="255"/>
      <c r="M130" s="255"/>
      <c r="N130" s="255">
        <v>1260</v>
      </c>
      <c r="O130" s="255">
        <v>1260</v>
      </c>
      <c r="P130" s="255">
        <v>1260</v>
      </c>
      <c r="Q130" s="105"/>
      <c r="R130" s="105"/>
      <c r="S130" s="105"/>
      <c r="T130" s="105"/>
      <c r="U130" s="104"/>
      <c r="V130" s="104"/>
      <c r="W130" s="104"/>
      <c r="X130" s="104"/>
      <c r="Y130" s="104"/>
      <c r="Z130" s="104"/>
      <c r="AA130" s="150"/>
      <c r="AB130" s="105"/>
      <c r="AC130" s="104"/>
      <c r="AD130" s="104"/>
      <c r="AE130" s="104"/>
      <c r="AF130" s="104"/>
      <c r="AG130" s="104"/>
      <c r="AH130" s="104"/>
      <c r="AI130" s="104"/>
      <c r="AJ130" s="104"/>
      <c r="AK130" s="104"/>
      <c r="AL130" s="104"/>
      <c r="AM130" s="104"/>
      <c r="AN130" s="104"/>
    </row>
    <row r="131" spans="1:40" x14ac:dyDescent="0.2">
      <c r="A131" s="104"/>
      <c r="B131" s="252"/>
      <c r="C131" s="252" t="s">
        <v>24</v>
      </c>
      <c r="D131" s="255"/>
      <c r="E131" s="255"/>
      <c r="F131" s="255"/>
      <c r="G131" s="255"/>
      <c r="H131" s="255"/>
      <c r="I131" s="255"/>
      <c r="J131" s="255"/>
      <c r="K131" s="255"/>
      <c r="L131" s="255"/>
      <c r="M131" s="255"/>
      <c r="N131" s="255">
        <v>1540</v>
      </c>
      <c r="O131" s="255">
        <f>1540+810-120-120-330</f>
        <v>1780</v>
      </c>
      <c r="P131" s="255">
        <v>1780</v>
      </c>
      <c r="Q131" s="105"/>
      <c r="R131" s="105"/>
      <c r="S131" s="105"/>
      <c r="T131" s="105"/>
      <c r="U131" s="104"/>
      <c r="V131" s="104"/>
      <c r="W131" s="104"/>
      <c r="X131" s="104"/>
      <c r="Y131" s="104"/>
      <c r="Z131" s="104"/>
      <c r="AA131" s="150"/>
      <c r="AB131" s="105"/>
      <c r="AC131" s="104"/>
      <c r="AD131" s="104"/>
      <c r="AE131" s="104"/>
      <c r="AF131" s="104"/>
      <c r="AG131" s="104"/>
      <c r="AH131" s="104"/>
      <c r="AI131" s="104"/>
      <c r="AJ131" s="104"/>
      <c r="AK131" s="104"/>
      <c r="AL131" s="104"/>
      <c r="AM131" s="104"/>
      <c r="AN131" s="104"/>
    </row>
    <row r="132" spans="1:40" x14ac:dyDescent="0.2">
      <c r="A132" s="104"/>
      <c r="B132" s="252"/>
      <c r="C132" s="252" t="s">
        <v>23</v>
      </c>
      <c r="D132" s="255"/>
      <c r="E132" s="255"/>
      <c r="F132" s="255"/>
      <c r="G132" s="255"/>
      <c r="H132" s="255"/>
      <c r="I132" s="255"/>
      <c r="J132" s="255"/>
      <c r="K132" s="255"/>
      <c r="L132" s="255"/>
      <c r="M132" s="255"/>
      <c r="N132" s="255">
        <v>2450</v>
      </c>
      <c r="O132" s="255">
        <v>2450</v>
      </c>
      <c r="P132" s="255">
        <v>2450</v>
      </c>
      <c r="Q132" s="105"/>
      <c r="R132" s="105"/>
      <c r="S132" s="105"/>
      <c r="T132" s="105"/>
      <c r="U132" s="104"/>
      <c r="V132" s="104"/>
      <c r="W132" s="104"/>
      <c r="X132" s="104"/>
      <c r="Y132" s="104"/>
      <c r="Z132" s="104"/>
      <c r="AA132" s="150"/>
      <c r="AB132" s="105"/>
      <c r="AC132" s="104"/>
      <c r="AD132" s="104"/>
      <c r="AE132" s="104"/>
      <c r="AF132" s="104"/>
      <c r="AG132" s="104"/>
      <c r="AH132" s="104"/>
      <c r="AI132" s="104"/>
      <c r="AJ132" s="104"/>
      <c r="AK132" s="104"/>
      <c r="AL132" s="104"/>
      <c r="AM132" s="104"/>
      <c r="AN132" s="104"/>
    </row>
    <row r="133" spans="1:40" x14ac:dyDescent="0.2">
      <c r="A133" s="104"/>
      <c r="B133" s="252"/>
      <c r="C133" s="252" t="s">
        <v>375</v>
      </c>
      <c r="D133" s="255"/>
      <c r="E133" s="255"/>
      <c r="F133" s="255"/>
      <c r="G133" s="255"/>
      <c r="H133" s="255"/>
      <c r="I133" s="255"/>
      <c r="J133" s="255"/>
      <c r="K133" s="255"/>
      <c r="L133" s="255"/>
      <c r="M133" s="255"/>
      <c r="N133" s="255">
        <v>70</v>
      </c>
      <c r="O133" s="255">
        <v>70</v>
      </c>
      <c r="P133" s="255">
        <v>70</v>
      </c>
      <c r="Q133" s="105"/>
      <c r="R133" s="105"/>
      <c r="S133" s="105"/>
      <c r="T133" s="105"/>
      <c r="U133" s="104"/>
      <c r="V133" s="104"/>
      <c r="W133" s="104"/>
      <c r="X133" s="104"/>
      <c r="Y133" s="104"/>
      <c r="Z133" s="104"/>
      <c r="AA133" s="150"/>
      <c r="AB133" s="105"/>
      <c r="AC133" s="104"/>
      <c r="AD133" s="104"/>
      <c r="AE133" s="104"/>
      <c r="AF133" s="104"/>
      <c r="AG133" s="104"/>
      <c r="AH133" s="104"/>
      <c r="AI133" s="104"/>
      <c r="AJ133" s="104"/>
      <c r="AK133" s="104"/>
      <c r="AL133" s="104"/>
      <c r="AM133" s="104"/>
      <c r="AN133" s="104"/>
    </row>
    <row r="134" spans="1:40" x14ac:dyDescent="0.2">
      <c r="A134" s="104"/>
      <c r="B134" s="252"/>
      <c r="C134" s="252" t="s">
        <v>25</v>
      </c>
      <c r="D134" s="255"/>
      <c r="E134" s="255"/>
      <c r="F134" s="255"/>
      <c r="G134" s="255"/>
      <c r="H134" s="255"/>
      <c r="I134" s="255"/>
      <c r="J134" s="255"/>
      <c r="K134" s="255"/>
      <c r="L134" s="255"/>
      <c r="M134" s="255"/>
      <c r="N134" s="255">
        <v>2800</v>
      </c>
      <c r="O134" s="255">
        <v>2800</v>
      </c>
      <c r="P134" s="255">
        <v>2800</v>
      </c>
      <c r="Q134" s="105"/>
      <c r="R134" s="105"/>
      <c r="S134" s="105"/>
      <c r="T134" s="105"/>
      <c r="U134" s="104"/>
      <c r="V134" s="104"/>
      <c r="W134" s="104"/>
      <c r="X134" s="104"/>
      <c r="Y134" s="104"/>
      <c r="Z134" s="104"/>
      <c r="AA134" s="150"/>
      <c r="AB134" s="105"/>
      <c r="AC134" s="104"/>
      <c r="AD134" s="104"/>
      <c r="AE134" s="104"/>
      <c r="AF134" s="104"/>
      <c r="AG134" s="104"/>
      <c r="AH134" s="104"/>
      <c r="AI134" s="104"/>
      <c r="AJ134" s="104"/>
      <c r="AK134" s="104"/>
      <c r="AL134" s="104"/>
      <c r="AM134" s="104"/>
      <c r="AN134" s="104"/>
    </row>
    <row r="135" spans="1:40" x14ac:dyDescent="0.2">
      <c r="A135" s="104"/>
      <c r="B135" s="252"/>
      <c r="C135" s="252" t="s">
        <v>31</v>
      </c>
      <c r="D135" s="255"/>
      <c r="E135" s="255"/>
      <c r="F135" s="255"/>
      <c r="G135" s="255"/>
      <c r="H135" s="255"/>
      <c r="I135" s="255"/>
      <c r="J135" s="255"/>
      <c r="K135" s="255"/>
      <c r="L135" s="255"/>
      <c r="M135" s="255"/>
      <c r="N135" s="255">
        <v>2305</v>
      </c>
      <c r="O135" s="255">
        <v>2305</v>
      </c>
      <c r="P135" s="255">
        <v>2305</v>
      </c>
      <c r="Q135" s="105"/>
      <c r="R135" s="105"/>
      <c r="S135" s="105"/>
      <c r="T135" s="105"/>
      <c r="U135" s="104"/>
      <c r="V135" s="104"/>
      <c r="W135" s="104"/>
      <c r="X135" s="104"/>
      <c r="Y135" s="104"/>
      <c r="Z135" s="104"/>
      <c r="AA135" s="150"/>
      <c r="AB135" s="105"/>
      <c r="AC135" s="104"/>
      <c r="AD135" s="104"/>
      <c r="AE135" s="104"/>
      <c r="AF135" s="104"/>
      <c r="AG135" s="104"/>
      <c r="AH135" s="104"/>
      <c r="AI135" s="104"/>
      <c r="AJ135" s="104"/>
      <c r="AK135" s="104"/>
      <c r="AL135" s="104"/>
      <c r="AM135" s="104"/>
      <c r="AN135" s="104"/>
    </row>
    <row r="136" spans="1:40" x14ac:dyDescent="0.2">
      <c r="A136" s="104"/>
      <c r="B136" s="252"/>
      <c r="C136" s="252" t="s">
        <v>46</v>
      </c>
      <c r="D136" s="255"/>
      <c r="E136" s="255"/>
      <c r="F136" s="255"/>
      <c r="G136" s="255"/>
      <c r="H136" s="255"/>
      <c r="I136" s="255"/>
      <c r="J136" s="255"/>
      <c r="K136" s="255"/>
      <c r="L136" s="255"/>
      <c r="M136" s="255"/>
      <c r="N136" s="255">
        <v>1475</v>
      </c>
      <c r="O136" s="255">
        <v>1475</v>
      </c>
      <c r="P136" s="255">
        <v>1475</v>
      </c>
      <c r="Q136" s="105"/>
      <c r="R136" s="105"/>
      <c r="S136" s="105"/>
      <c r="T136" s="105"/>
      <c r="U136" s="104"/>
      <c r="V136" s="104"/>
      <c r="W136" s="104"/>
      <c r="X136" s="104"/>
      <c r="Y136" s="104"/>
      <c r="Z136" s="104"/>
      <c r="AA136" s="150"/>
      <c r="AB136" s="105"/>
      <c r="AC136" s="104"/>
      <c r="AD136" s="104"/>
      <c r="AE136" s="104"/>
      <c r="AF136" s="104"/>
      <c r="AG136" s="104"/>
      <c r="AH136" s="104"/>
      <c r="AI136" s="104"/>
      <c r="AJ136" s="104"/>
      <c r="AK136" s="104"/>
      <c r="AL136" s="104"/>
      <c r="AM136" s="104"/>
      <c r="AN136" s="104"/>
    </row>
    <row r="137" spans="1:40" x14ac:dyDescent="0.2">
      <c r="A137" s="104"/>
      <c r="B137" s="252"/>
      <c r="C137" s="252" t="s">
        <v>107</v>
      </c>
      <c r="D137" s="255"/>
      <c r="E137" s="255"/>
      <c r="F137" s="255"/>
      <c r="G137" s="255"/>
      <c r="H137" s="255"/>
      <c r="I137" s="255"/>
      <c r="J137" s="255"/>
      <c r="K137" s="255"/>
      <c r="L137" s="255"/>
      <c r="M137" s="255"/>
      <c r="N137" s="255">
        <v>775</v>
      </c>
      <c r="O137" s="255">
        <v>775</v>
      </c>
      <c r="P137" s="255">
        <v>775</v>
      </c>
      <c r="Q137" s="105"/>
      <c r="R137" s="105"/>
      <c r="S137" s="105"/>
      <c r="T137" s="105"/>
      <c r="U137" s="104"/>
      <c r="V137" s="104"/>
      <c r="W137" s="104"/>
      <c r="X137" s="104"/>
      <c r="Y137" s="104"/>
      <c r="Z137" s="104"/>
      <c r="AA137" s="150"/>
      <c r="AB137" s="105"/>
      <c r="AC137" s="104"/>
      <c r="AD137" s="104"/>
      <c r="AE137" s="104"/>
      <c r="AF137" s="104"/>
      <c r="AG137" s="104"/>
      <c r="AH137" s="104"/>
      <c r="AI137" s="104"/>
      <c r="AJ137" s="104"/>
      <c r="AK137" s="104"/>
      <c r="AL137" s="104"/>
      <c r="AM137" s="104"/>
      <c r="AN137" s="104"/>
    </row>
    <row r="138" spans="1:40" x14ac:dyDescent="0.2">
      <c r="A138" s="104"/>
      <c r="B138" s="252"/>
      <c r="C138" s="252" t="s">
        <v>30</v>
      </c>
      <c r="D138" s="255"/>
      <c r="E138" s="255"/>
      <c r="F138" s="255"/>
      <c r="G138" s="255"/>
      <c r="H138" s="255"/>
      <c r="I138" s="255"/>
      <c r="J138" s="255"/>
      <c r="K138" s="255"/>
      <c r="L138" s="255"/>
      <c r="M138" s="255"/>
      <c r="N138" s="255">
        <v>275</v>
      </c>
      <c r="O138" s="255">
        <v>275</v>
      </c>
      <c r="P138" s="255">
        <v>275</v>
      </c>
      <c r="Q138" s="105"/>
      <c r="R138" s="105"/>
      <c r="S138" s="105"/>
      <c r="T138" s="105"/>
      <c r="U138" s="104"/>
      <c r="V138" s="104"/>
      <c r="W138" s="104"/>
      <c r="X138" s="104"/>
      <c r="Y138" s="104"/>
      <c r="Z138" s="104"/>
      <c r="AA138" s="150"/>
      <c r="AB138" s="105"/>
      <c r="AC138" s="104"/>
      <c r="AD138" s="104"/>
      <c r="AE138" s="104"/>
      <c r="AF138" s="104"/>
      <c r="AG138" s="104"/>
      <c r="AH138" s="104"/>
      <c r="AI138" s="104"/>
      <c r="AJ138" s="104"/>
      <c r="AK138" s="104"/>
      <c r="AL138" s="104"/>
      <c r="AM138" s="104"/>
      <c r="AN138" s="104"/>
    </row>
    <row r="139" spans="1:40" x14ac:dyDescent="0.2">
      <c r="A139" s="104"/>
      <c r="B139" s="252"/>
      <c r="C139" s="252" t="s">
        <v>108</v>
      </c>
      <c r="D139" s="255"/>
      <c r="E139" s="255"/>
      <c r="F139" s="255"/>
      <c r="G139" s="255"/>
      <c r="H139" s="255"/>
      <c r="I139" s="255"/>
      <c r="J139" s="255"/>
      <c r="K139" s="255"/>
      <c r="L139" s="255"/>
      <c r="M139" s="255"/>
      <c r="N139" s="255">
        <v>210</v>
      </c>
      <c r="O139" s="255">
        <v>210</v>
      </c>
      <c r="P139" s="255">
        <v>210</v>
      </c>
      <c r="Q139" s="105"/>
      <c r="R139" s="105"/>
      <c r="S139" s="105"/>
      <c r="T139" s="105"/>
      <c r="U139" s="104"/>
      <c r="V139" s="104"/>
      <c r="W139" s="104"/>
      <c r="X139" s="104"/>
      <c r="Y139" s="104"/>
      <c r="Z139" s="104"/>
      <c r="AA139" s="150"/>
      <c r="AB139" s="105"/>
      <c r="AC139" s="104"/>
      <c r="AD139" s="104"/>
      <c r="AE139" s="104"/>
      <c r="AF139" s="104"/>
      <c r="AG139" s="104"/>
      <c r="AH139" s="104"/>
      <c r="AI139" s="104"/>
      <c r="AJ139" s="104"/>
      <c r="AK139" s="104"/>
      <c r="AL139" s="104"/>
      <c r="AM139" s="104"/>
      <c r="AN139" s="104"/>
    </row>
    <row r="140" spans="1:40" x14ac:dyDescent="0.2">
      <c r="A140" s="104"/>
      <c r="B140" s="252"/>
      <c r="C140" s="252" t="s">
        <v>110</v>
      </c>
      <c r="D140" s="255"/>
      <c r="E140" s="255"/>
      <c r="F140" s="255"/>
      <c r="G140" s="255"/>
      <c r="H140" s="255"/>
      <c r="I140" s="255"/>
      <c r="J140" s="255"/>
      <c r="K140" s="255"/>
      <c r="L140" s="255"/>
      <c r="M140" s="255"/>
      <c r="N140" s="255">
        <v>2840</v>
      </c>
      <c r="O140" s="255">
        <v>2840</v>
      </c>
      <c r="P140" s="255">
        <v>2840</v>
      </c>
      <c r="Q140" s="105"/>
      <c r="R140" s="105"/>
      <c r="S140" s="105"/>
      <c r="T140" s="105"/>
      <c r="U140" s="104"/>
      <c r="V140" s="104"/>
      <c r="W140" s="104"/>
      <c r="X140" s="104"/>
      <c r="Y140" s="104"/>
      <c r="Z140" s="104"/>
      <c r="AA140" s="150"/>
      <c r="AB140" s="105"/>
      <c r="AC140" s="104"/>
      <c r="AD140" s="104"/>
      <c r="AE140" s="104"/>
      <c r="AF140" s="104"/>
      <c r="AG140" s="104"/>
      <c r="AH140" s="104"/>
      <c r="AI140" s="104"/>
      <c r="AJ140" s="104"/>
      <c r="AK140" s="104"/>
      <c r="AL140" s="104"/>
      <c r="AM140" s="104"/>
      <c r="AN140" s="104"/>
    </row>
    <row r="141" spans="1:40" x14ac:dyDescent="0.2">
      <c r="A141" s="104"/>
      <c r="B141" s="104"/>
      <c r="C141" s="104"/>
      <c r="D141" s="105"/>
      <c r="E141" s="105"/>
      <c r="F141" s="105"/>
      <c r="G141" s="105"/>
      <c r="H141" s="105"/>
      <c r="I141" s="105"/>
      <c r="J141" s="105"/>
      <c r="K141" s="105"/>
      <c r="L141" s="105"/>
      <c r="M141" s="105"/>
      <c r="N141" s="105"/>
      <c r="O141" s="105"/>
      <c r="P141" s="105"/>
      <c r="Q141" s="105"/>
      <c r="R141" s="105"/>
      <c r="S141" s="105"/>
      <c r="T141" s="105"/>
      <c r="U141" s="104"/>
      <c r="V141" s="104"/>
      <c r="W141" s="104"/>
      <c r="X141" s="104"/>
      <c r="Y141" s="104"/>
      <c r="Z141" s="104"/>
      <c r="AA141" s="150"/>
      <c r="AB141" s="105"/>
      <c r="AC141" s="104"/>
      <c r="AD141" s="104"/>
      <c r="AE141" s="104"/>
      <c r="AF141" s="104"/>
      <c r="AG141" s="104"/>
      <c r="AH141" s="104"/>
      <c r="AI141" s="104"/>
      <c r="AJ141" s="104"/>
      <c r="AK141" s="104"/>
      <c r="AL141" s="104"/>
      <c r="AM141" s="104"/>
      <c r="AN141" s="104"/>
    </row>
    <row r="142" spans="1:40" x14ac:dyDescent="0.2">
      <c r="A142" s="104"/>
      <c r="B142" s="104"/>
      <c r="C142" s="104"/>
      <c r="D142" s="105"/>
      <c r="E142" s="105"/>
      <c r="F142" s="105"/>
      <c r="G142" s="105"/>
      <c r="H142" s="105"/>
      <c r="I142" s="105"/>
      <c r="J142" s="105"/>
      <c r="K142" s="105"/>
      <c r="L142" s="105"/>
      <c r="M142" s="105"/>
      <c r="N142" s="105"/>
      <c r="O142" s="105"/>
      <c r="P142" s="105"/>
      <c r="Q142" s="105"/>
      <c r="R142" s="105"/>
      <c r="S142" s="105"/>
      <c r="T142" s="105"/>
      <c r="U142" s="104"/>
      <c r="V142" s="104"/>
      <c r="W142" s="104"/>
      <c r="X142" s="104"/>
      <c r="Y142" s="104"/>
      <c r="Z142" s="104"/>
      <c r="AA142" s="150"/>
      <c r="AB142" s="105"/>
      <c r="AC142" s="104"/>
      <c r="AD142" s="104"/>
      <c r="AE142" s="104"/>
      <c r="AF142" s="104"/>
      <c r="AG142" s="104"/>
      <c r="AH142" s="104"/>
      <c r="AI142" s="104"/>
      <c r="AJ142" s="104"/>
      <c r="AK142" s="104"/>
      <c r="AL142" s="104"/>
      <c r="AM142" s="104"/>
      <c r="AN142" s="104"/>
    </row>
    <row r="143" spans="1:40" x14ac:dyDescent="0.2">
      <c r="A143" s="104"/>
      <c r="B143" s="104"/>
      <c r="C143" s="104"/>
      <c r="D143" s="105"/>
      <c r="E143" s="105"/>
      <c r="F143" s="105"/>
      <c r="G143" s="105"/>
      <c r="H143" s="105"/>
      <c r="I143" s="105"/>
      <c r="J143" s="105"/>
      <c r="K143" s="105"/>
      <c r="L143" s="105"/>
      <c r="M143" s="105"/>
      <c r="N143" s="105"/>
      <c r="O143" s="105"/>
      <c r="P143" s="105"/>
      <c r="Q143" s="105"/>
      <c r="R143" s="105"/>
      <c r="S143" s="105"/>
      <c r="T143" s="105"/>
      <c r="U143" s="104"/>
      <c r="V143" s="104"/>
      <c r="W143" s="104"/>
      <c r="X143" s="104"/>
      <c r="Y143" s="104"/>
      <c r="Z143" s="104"/>
      <c r="AA143" s="150"/>
      <c r="AB143" s="105"/>
      <c r="AC143" s="104"/>
      <c r="AD143" s="104"/>
      <c r="AE143" s="104"/>
      <c r="AF143" s="104"/>
      <c r="AG143" s="104"/>
      <c r="AH143" s="104"/>
      <c r="AI143" s="104"/>
      <c r="AJ143" s="104"/>
      <c r="AK143" s="104"/>
      <c r="AL143" s="104"/>
      <c r="AM143" s="104"/>
      <c r="AN143" s="104"/>
    </row>
    <row r="144" spans="1:40" x14ac:dyDescent="0.2">
      <c r="A144" s="104"/>
      <c r="B144" s="104"/>
      <c r="C144" s="104"/>
      <c r="D144" s="105"/>
      <c r="E144" s="105"/>
      <c r="F144" s="105"/>
      <c r="G144" s="105"/>
      <c r="H144" s="105"/>
      <c r="I144" s="105"/>
      <c r="J144" s="105"/>
      <c r="K144" s="105"/>
      <c r="L144" s="105"/>
      <c r="M144" s="105"/>
      <c r="N144" s="105"/>
      <c r="O144" s="105"/>
      <c r="P144" s="105"/>
      <c r="Q144" s="105"/>
      <c r="R144" s="105"/>
      <c r="S144" s="105"/>
      <c r="T144" s="105"/>
      <c r="U144" s="104"/>
      <c r="V144" s="104"/>
      <c r="W144" s="104"/>
      <c r="X144" s="104"/>
      <c r="Y144" s="104"/>
      <c r="Z144" s="104"/>
      <c r="AA144" s="150"/>
      <c r="AB144" s="105"/>
      <c r="AC144" s="104"/>
      <c r="AD144" s="104"/>
      <c r="AE144" s="104"/>
      <c r="AF144" s="104"/>
      <c r="AG144" s="104"/>
      <c r="AH144" s="104"/>
      <c r="AI144" s="104"/>
      <c r="AJ144" s="104"/>
      <c r="AK144" s="104"/>
      <c r="AL144" s="104"/>
      <c r="AM144" s="104"/>
      <c r="AN144" s="104"/>
    </row>
    <row r="145" spans="1:40" x14ac:dyDescent="0.2">
      <c r="A145" s="104"/>
      <c r="B145" s="104"/>
      <c r="C145" s="104"/>
      <c r="D145" s="105"/>
      <c r="E145" s="105"/>
      <c r="F145" s="105"/>
      <c r="G145" s="105"/>
      <c r="H145" s="105"/>
      <c r="I145" s="105"/>
      <c r="J145" s="105"/>
      <c r="K145" s="105"/>
      <c r="L145" s="105"/>
      <c r="M145" s="105"/>
      <c r="N145" s="105"/>
      <c r="O145" s="105"/>
      <c r="P145" s="105"/>
      <c r="Q145" s="105"/>
      <c r="R145" s="105"/>
      <c r="S145" s="105"/>
      <c r="T145" s="105"/>
      <c r="U145" s="104"/>
      <c r="V145" s="104"/>
      <c r="W145" s="104"/>
      <c r="X145" s="104"/>
      <c r="Y145" s="104"/>
      <c r="Z145" s="104"/>
      <c r="AA145" s="150"/>
      <c r="AB145" s="105"/>
      <c r="AC145" s="104"/>
      <c r="AD145" s="104"/>
      <c r="AE145" s="104"/>
      <c r="AF145" s="104"/>
      <c r="AG145" s="104"/>
      <c r="AH145" s="104"/>
      <c r="AI145" s="104"/>
      <c r="AJ145" s="104"/>
      <c r="AK145" s="104"/>
      <c r="AL145" s="104"/>
      <c r="AM145" s="104"/>
      <c r="AN145" s="104"/>
    </row>
    <row r="146" spans="1:40" x14ac:dyDescent="0.2">
      <c r="A146" s="104"/>
      <c r="B146" s="104"/>
      <c r="C146" s="104"/>
      <c r="D146" s="105"/>
      <c r="E146" s="105"/>
      <c r="F146" s="105"/>
      <c r="G146" s="105"/>
      <c r="H146" s="105"/>
      <c r="I146" s="105"/>
      <c r="J146" s="105"/>
      <c r="K146" s="105"/>
      <c r="L146" s="105"/>
      <c r="M146" s="105"/>
      <c r="N146" s="105"/>
      <c r="O146" s="105"/>
      <c r="P146" s="105"/>
      <c r="Q146" s="105"/>
      <c r="R146" s="105"/>
      <c r="S146" s="105"/>
      <c r="T146" s="105"/>
      <c r="U146" s="104"/>
      <c r="V146" s="104"/>
      <c r="W146" s="104"/>
      <c r="X146" s="104"/>
      <c r="Y146" s="104"/>
      <c r="Z146" s="104"/>
      <c r="AA146" s="150"/>
      <c r="AB146" s="105"/>
      <c r="AC146" s="104"/>
      <c r="AD146" s="104"/>
      <c r="AE146" s="104"/>
      <c r="AF146" s="104"/>
      <c r="AG146" s="104"/>
      <c r="AH146" s="104"/>
      <c r="AI146" s="104"/>
      <c r="AJ146" s="104"/>
      <c r="AK146" s="104"/>
      <c r="AL146" s="104"/>
      <c r="AM146" s="104"/>
      <c r="AN146" s="104"/>
    </row>
    <row r="147" spans="1:40" x14ac:dyDescent="0.2">
      <c r="A147" s="104"/>
      <c r="B147" s="104"/>
      <c r="C147" s="104"/>
      <c r="D147" s="105"/>
      <c r="E147" s="105"/>
      <c r="F147" s="105"/>
      <c r="G147" s="105"/>
      <c r="H147" s="105"/>
      <c r="I147" s="105"/>
      <c r="J147" s="105"/>
      <c r="K147" s="105"/>
      <c r="L147" s="105"/>
      <c r="M147" s="105"/>
      <c r="N147" s="105"/>
      <c r="O147" s="105"/>
      <c r="P147" s="105"/>
      <c r="Q147" s="105"/>
      <c r="R147" s="105"/>
      <c r="S147" s="105"/>
      <c r="T147" s="105"/>
      <c r="U147" s="104"/>
      <c r="V147" s="104"/>
      <c r="W147" s="104"/>
      <c r="X147" s="104"/>
      <c r="Y147" s="104"/>
      <c r="Z147" s="104"/>
      <c r="AA147" s="150"/>
      <c r="AB147" s="105"/>
      <c r="AC147" s="104"/>
      <c r="AD147" s="104"/>
      <c r="AE147" s="104"/>
      <c r="AF147" s="104"/>
      <c r="AG147" s="104"/>
      <c r="AH147" s="104"/>
      <c r="AI147" s="104"/>
      <c r="AJ147" s="104"/>
      <c r="AK147" s="104"/>
      <c r="AL147" s="104"/>
      <c r="AM147" s="104"/>
      <c r="AN147" s="104"/>
    </row>
    <row r="148" spans="1:40" x14ac:dyDescent="0.2">
      <c r="A148" s="104"/>
      <c r="B148" s="104"/>
      <c r="C148" s="104"/>
      <c r="D148" s="105"/>
      <c r="E148" s="105"/>
      <c r="F148" s="105"/>
      <c r="G148" s="105"/>
      <c r="H148" s="105"/>
      <c r="I148" s="105"/>
      <c r="J148" s="105"/>
      <c r="K148" s="105"/>
      <c r="L148" s="105"/>
      <c r="M148" s="105"/>
      <c r="N148" s="105"/>
      <c r="O148" s="105"/>
      <c r="P148" s="105"/>
      <c r="Q148" s="105"/>
      <c r="R148" s="105"/>
      <c r="S148" s="105"/>
      <c r="T148" s="105"/>
      <c r="U148" s="104"/>
      <c r="V148" s="104"/>
      <c r="W148" s="104"/>
      <c r="X148" s="104"/>
      <c r="Y148" s="104"/>
      <c r="Z148" s="104"/>
      <c r="AA148" s="150"/>
      <c r="AB148" s="105"/>
      <c r="AC148" s="104"/>
      <c r="AD148" s="104"/>
      <c r="AE148" s="104"/>
      <c r="AF148" s="104"/>
      <c r="AG148" s="104"/>
      <c r="AH148" s="104"/>
      <c r="AI148" s="104"/>
      <c r="AJ148" s="104"/>
      <c r="AK148" s="104"/>
      <c r="AL148" s="104"/>
      <c r="AM148" s="104"/>
      <c r="AN148" s="104"/>
    </row>
    <row r="149" spans="1:40" x14ac:dyDescent="0.2">
      <c r="A149" s="104"/>
      <c r="B149" s="104"/>
      <c r="C149" s="104"/>
      <c r="D149" s="105"/>
      <c r="E149" s="105"/>
      <c r="F149" s="105"/>
      <c r="G149" s="105"/>
      <c r="H149" s="105"/>
      <c r="I149" s="105"/>
      <c r="J149" s="105"/>
      <c r="K149" s="105"/>
      <c r="L149" s="105"/>
      <c r="M149" s="105"/>
      <c r="N149" s="105"/>
      <c r="O149" s="105"/>
      <c r="P149" s="105"/>
      <c r="Q149" s="105"/>
      <c r="R149" s="105"/>
      <c r="S149" s="105"/>
      <c r="T149" s="105"/>
      <c r="U149" s="104"/>
      <c r="V149" s="104"/>
      <c r="W149" s="104"/>
      <c r="X149" s="104"/>
      <c r="Y149" s="104"/>
      <c r="Z149" s="104"/>
      <c r="AA149" s="150"/>
      <c r="AB149" s="105"/>
      <c r="AC149" s="104"/>
      <c r="AD149" s="104"/>
      <c r="AE149" s="104"/>
      <c r="AF149" s="104"/>
      <c r="AG149" s="104"/>
      <c r="AH149" s="104"/>
      <c r="AI149" s="104"/>
      <c r="AJ149" s="104"/>
      <c r="AK149" s="104"/>
      <c r="AL149" s="104"/>
      <c r="AM149" s="104"/>
      <c r="AN149" s="104"/>
    </row>
    <row r="150" spans="1:40" x14ac:dyDescent="0.2">
      <c r="A150" s="104"/>
      <c r="B150" s="104"/>
      <c r="C150" s="104"/>
      <c r="D150" s="105"/>
      <c r="E150" s="105"/>
      <c r="F150" s="105"/>
      <c r="G150" s="105"/>
      <c r="H150" s="105"/>
      <c r="I150" s="105"/>
      <c r="J150" s="105"/>
      <c r="K150" s="105"/>
      <c r="L150" s="105"/>
      <c r="M150" s="105"/>
      <c r="N150" s="105"/>
      <c r="O150" s="105"/>
      <c r="P150" s="105"/>
      <c r="Q150" s="105"/>
      <c r="R150" s="105"/>
      <c r="S150" s="105"/>
      <c r="T150" s="105"/>
      <c r="U150" s="104"/>
      <c r="V150" s="104"/>
      <c r="W150" s="104"/>
      <c r="X150" s="104"/>
      <c r="Y150" s="104"/>
      <c r="Z150" s="104"/>
      <c r="AA150" s="150"/>
      <c r="AB150" s="105"/>
      <c r="AC150" s="104"/>
      <c r="AD150" s="104"/>
      <c r="AE150" s="104"/>
      <c r="AF150" s="104"/>
      <c r="AG150" s="104"/>
      <c r="AH150" s="104"/>
      <c r="AI150" s="104"/>
      <c r="AJ150" s="104"/>
      <c r="AK150" s="104"/>
      <c r="AL150" s="104"/>
      <c r="AM150" s="104"/>
      <c r="AN150" s="104"/>
    </row>
    <row r="151" spans="1:40" x14ac:dyDescent="0.2">
      <c r="A151" s="104"/>
      <c r="B151" s="104"/>
      <c r="C151" s="104"/>
      <c r="D151" s="105"/>
      <c r="E151" s="105"/>
      <c r="F151" s="105"/>
      <c r="G151" s="105"/>
      <c r="H151" s="105"/>
      <c r="I151" s="105"/>
      <c r="J151" s="105"/>
      <c r="K151" s="105"/>
      <c r="L151" s="105"/>
      <c r="M151" s="105"/>
      <c r="N151" s="105"/>
      <c r="O151" s="105"/>
      <c r="P151" s="105"/>
      <c r="Q151" s="105"/>
      <c r="R151" s="105"/>
      <c r="S151" s="105"/>
      <c r="T151" s="105"/>
      <c r="U151" s="104"/>
      <c r="V151" s="104"/>
      <c r="W151" s="104"/>
      <c r="X151" s="104"/>
      <c r="Y151" s="104"/>
      <c r="Z151" s="104"/>
      <c r="AA151" s="150"/>
      <c r="AB151" s="105"/>
      <c r="AC151" s="104"/>
      <c r="AD151" s="104"/>
      <c r="AE151" s="104"/>
      <c r="AF151" s="104"/>
      <c r="AG151" s="104"/>
      <c r="AH151" s="104"/>
      <c r="AI151" s="104"/>
      <c r="AJ151" s="104"/>
      <c r="AK151" s="104"/>
      <c r="AL151" s="104"/>
      <c r="AM151" s="104"/>
      <c r="AN151" s="104"/>
    </row>
    <row r="152" spans="1:40" x14ac:dyDescent="0.2">
      <c r="A152" s="104"/>
      <c r="B152" s="104"/>
      <c r="C152" s="104"/>
      <c r="D152" s="105"/>
      <c r="E152" s="105"/>
      <c r="F152" s="105"/>
      <c r="G152" s="105"/>
      <c r="H152" s="105"/>
      <c r="I152" s="105"/>
      <c r="J152" s="105"/>
      <c r="K152" s="105"/>
      <c r="L152" s="105"/>
      <c r="M152" s="105"/>
      <c r="N152" s="105"/>
      <c r="O152" s="105"/>
      <c r="P152" s="105"/>
      <c r="Q152" s="105"/>
      <c r="R152" s="105"/>
      <c r="S152" s="105"/>
      <c r="T152" s="105"/>
      <c r="U152" s="104"/>
      <c r="V152" s="104"/>
      <c r="W152" s="104"/>
      <c r="X152" s="104"/>
      <c r="Y152" s="104"/>
      <c r="Z152" s="104"/>
      <c r="AA152" s="150"/>
      <c r="AB152" s="105"/>
      <c r="AC152" s="104"/>
      <c r="AD152" s="104"/>
      <c r="AE152" s="104"/>
      <c r="AF152" s="104"/>
      <c r="AG152" s="104"/>
      <c r="AH152" s="104"/>
      <c r="AI152" s="104"/>
      <c r="AJ152" s="104"/>
      <c r="AK152" s="104"/>
      <c r="AL152" s="104"/>
      <c r="AM152" s="104"/>
      <c r="AN152" s="104"/>
    </row>
    <row r="153" spans="1:40" x14ac:dyDescent="0.2">
      <c r="A153" s="104"/>
      <c r="B153" s="104"/>
      <c r="C153" s="104"/>
      <c r="D153" s="105"/>
      <c r="E153" s="105"/>
      <c r="F153" s="105"/>
      <c r="G153" s="105"/>
      <c r="H153" s="105"/>
      <c r="I153" s="105"/>
      <c r="J153" s="105"/>
      <c r="K153" s="105"/>
      <c r="L153" s="105"/>
      <c r="M153" s="105"/>
      <c r="N153" s="105"/>
      <c r="O153" s="105"/>
      <c r="P153" s="105"/>
      <c r="Q153" s="105"/>
      <c r="R153" s="105"/>
      <c r="S153" s="105"/>
      <c r="T153" s="105"/>
      <c r="U153" s="104"/>
      <c r="V153" s="104"/>
      <c r="W153" s="104"/>
      <c r="X153" s="104"/>
      <c r="Y153" s="104"/>
      <c r="Z153" s="104"/>
      <c r="AA153" s="150"/>
      <c r="AB153" s="105"/>
      <c r="AC153" s="104"/>
      <c r="AD153" s="104"/>
      <c r="AE153" s="104"/>
      <c r="AF153" s="104"/>
      <c r="AG153" s="104"/>
      <c r="AH153" s="104"/>
      <c r="AI153" s="104"/>
      <c r="AJ153" s="104"/>
      <c r="AK153" s="104"/>
      <c r="AL153" s="104"/>
      <c r="AM153" s="104"/>
      <c r="AN153" s="104"/>
    </row>
    <row r="154" spans="1:40" x14ac:dyDescent="0.2">
      <c r="A154" s="104"/>
      <c r="B154" s="104"/>
      <c r="C154" s="104"/>
      <c r="D154" s="105"/>
      <c r="E154" s="105"/>
      <c r="F154" s="105"/>
      <c r="G154" s="105"/>
      <c r="H154" s="105"/>
      <c r="I154" s="105"/>
      <c r="J154" s="105"/>
      <c r="K154" s="105"/>
      <c r="L154" s="105"/>
      <c r="M154" s="105"/>
      <c r="N154" s="105"/>
      <c r="O154" s="105"/>
      <c r="P154" s="105"/>
      <c r="Q154" s="105"/>
      <c r="R154" s="105"/>
      <c r="S154" s="105"/>
      <c r="T154" s="105"/>
      <c r="U154" s="104"/>
      <c r="V154" s="104"/>
      <c r="W154" s="104"/>
      <c r="X154" s="104"/>
      <c r="Y154" s="104"/>
      <c r="Z154" s="104"/>
      <c r="AA154" s="150"/>
      <c r="AB154" s="105"/>
      <c r="AC154" s="104"/>
      <c r="AD154" s="104"/>
      <c r="AE154" s="104"/>
      <c r="AF154" s="104"/>
      <c r="AG154" s="104"/>
      <c r="AH154" s="104"/>
      <c r="AI154" s="104"/>
      <c r="AJ154" s="104"/>
      <c r="AK154" s="104"/>
      <c r="AL154" s="104"/>
      <c r="AM154" s="104"/>
      <c r="AN154" s="104"/>
    </row>
    <row r="155" spans="1:40" x14ac:dyDescent="0.2">
      <c r="A155" s="104"/>
      <c r="B155" s="104"/>
      <c r="C155" s="104"/>
      <c r="D155" s="105"/>
      <c r="E155" s="105"/>
      <c r="F155" s="105"/>
      <c r="G155" s="105"/>
      <c r="H155" s="105"/>
      <c r="I155" s="105"/>
      <c r="J155" s="105"/>
      <c r="K155" s="105"/>
      <c r="L155" s="105"/>
      <c r="M155" s="105"/>
      <c r="N155" s="105"/>
      <c r="O155" s="105"/>
      <c r="P155" s="105"/>
      <c r="Q155" s="105"/>
      <c r="R155" s="105"/>
      <c r="S155" s="105"/>
      <c r="T155" s="105"/>
      <c r="U155" s="104"/>
      <c r="V155" s="104"/>
      <c r="W155" s="104"/>
      <c r="X155" s="104"/>
      <c r="Y155" s="104"/>
      <c r="Z155" s="104"/>
      <c r="AA155" s="150"/>
      <c r="AB155" s="105"/>
      <c r="AC155" s="104"/>
      <c r="AD155" s="104"/>
      <c r="AE155" s="104"/>
      <c r="AF155" s="104"/>
      <c r="AG155" s="104"/>
      <c r="AH155" s="104"/>
      <c r="AI155" s="104"/>
      <c r="AJ155" s="104"/>
      <c r="AK155" s="104"/>
      <c r="AL155" s="104"/>
      <c r="AM155" s="104"/>
      <c r="AN155" s="104"/>
    </row>
    <row r="156" spans="1:40" x14ac:dyDescent="0.2">
      <c r="A156" s="104"/>
      <c r="B156" s="104"/>
      <c r="C156" s="104"/>
      <c r="D156" s="105"/>
      <c r="E156" s="105"/>
      <c r="F156" s="105"/>
      <c r="G156" s="105"/>
      <c r="H156" s="105"/>
      <c r="I156" s="105"/>
      <c r="J156" s="105"/>
      <c r="K156" s="105"/>
      <c r="L156" s="105"/>
      <c r="M156" s="105"/>
      <c r="N156" s="105"/>
      <c r="O156" s="105"/>
      <c r="P156" s="105"/>
      <c r="Q156" s="105"/>
      <c r="R156" s="105"/>
      <c r="S156" s="105"/>
      <c r="T156" s="105"/>
      <c r="U156" s="104"/>
      <c r="V156" s="104"/>
      <c r="W156" s="104"/>
      <c r="X156" s="104"/>
      <c r="Y156" s="104"/>
      <c r="Z156" s="104"/>
      <c r="AA156" s="150"/>
      <c r="AB156" s="105"/>
      <c r="AC156" s="104"/>
      <c r="AD156" s="104"/>
      <c r="AE156" s="104"/>
      <c r="AF156" s="104"/>
      <c r="AG156" s="104"/>
      <c r="AH156" s="104"/>
      <c r="AI156" s="104"/>
      <c r="AJ156" s="104"/>
      <c r="AK156" s="104"/>
      <c r="AL156" s="104"/>
      <c r="AM156" s="104"/>
      <c r="AN156" s="104"/>
    </row>
    <row r="157" spans="1:40" x14ac:dyDescent="0.2">
      <c r="A157" s="104"/>
      <c r="B157" s="104"/>
      <c r="C157" s="104"/>
      <c r="D157" s="105"/>
      <c r="E157" s="105"/>
      <c r="F157" s="105"/>
      <c r="G157" s="105"/>
      <c r="H157" s="105"/>
      <c r="I157" s="105"/>
      <c r="J157" s="105"/>
      <c r="K157" s="105"/>
      <c r="L157" s="105"/>
      <c r="M157" s="105"/>
      <c r="N157" s="105"/>
      <c r="O157" s="105"/>
      <c r="P157" s="105"/>
      <c r="Q157" s="105"/>
      <c r="R157" s="105"/>
      <c r="S157" s="105"/>
      <c r="T157" s="105"/>
      <c r="U157" s="104"/>
      <c r="V157" s="104"/>
      <c r="W157" s="104"/>
      <c r="X157" s="104"/>
      <c r="Y157" s="104"/>
      <c r="Z157" s="104"/>
      <c r="AA157" s="150"/>
      <c r="AB157" s="105"/>
      <c r="AC157" s="104"/>
      <c r="AD157" s="104"/>
      <c r="AE157" s="104"/>
      <c r="AF157" s="104"/>
      <c r="AG157" s="104"/>
      <c r="AH157" s="104"/>
      <c r="AI157" s="104"/>
      <c r="AJ157" s="104"/>
      <c r="AK157" s="104"/>
      <c r="AL157" s="104"/>
      <c r="AM157" s="104"/>
      <c r="AN157" s="104"/>
    </row>
    <row r="158" spans="1:40" x14ac:dyDescent="0.2">
      <c r="A158" s="104"/>
      <c r="B158" s="104"/>
      <c r="C158" s="104"/>
      <c r="D158" s="105"/>
      <c r="E158" s="105"/>
      <c r="F158" s="105"/>
      <c r="G158" s="105"/>
      <c r="H158" s="105"/>
      <c r="I158" s="105"/>
      <c r="J158" s="105"/>
      <c r="K158" s="105"/>
      <c r="L158" s="105"/>
      <c r="M158" s="105"/>
      <c r="N158" s="105"/>
      <c r="O158" s="105"/>
      <c r="P158" s="105"/>
      <c r="Q158" s="105"/>
      <c r="R158" s="105"/>
      <c r="S158" s="105"/>
      <c r="T158" s="105"/>
      <c r="U158" s="104"/>
      <c r="V158" s="104"/>
      <c r="W158" s="104"/>
      <c r="X158" s="104"/>
      <c r="Y158" s="104"/>
      <c r="Z158" s="104"/>
      <c r="AA158" s="150"/>
      <c r="AB158" s="105"/>
      <c r="AC158" s="104"/>
      <c r="AD158" s="104"/>
      <c r="AE158" s="104"/>
      <c r="AF158" s="104"/>
      <c r="AG158" s="104"/>
      <c r="AH158" s="104"/>
      <c r="AI158" s="104"/>
      <c r="AJ158" s="104"/>
      <c r="AK158" s="104"/>
      <c r="AL158" s="104"/>
      <c r="AM158" s="104"/>
      <c r="AN158" s="104"/>
    </row>
    <row r="159" spans="1:40" x14ac:dyDescent="0.2">
      <c r="A159" s="104"/>
      <c r="B159" s="104"/>
      <c r="C159" s="104"/>
      <c r="D159" s="105"/>
      <c r="E159" s="105"/>
      <c r="F159" s="105"/>
      <c r="G159" s="105"/>
      <c r="H159" s="105"/>
      <c r="I159" s="105"/>
      <c r="J159" s="105"/>
      <c r="K159" s="105"/>
      <c r="L159" s="105"/>
      <c r="M159" s="105"/>
      <c r="N159" s="105"/>
      <c r="O159" s="105"/>
      <c r="P159" s="105"/>
      <c r="Q159" s="105"/>
      <c r="R159" s="105"/>
      <c r="S159" s="105"/>
      <c r="T159" s="105"/>
      <c r="U159" s="104"/>
      <c r="V159" s="104"/>
      <c r="W159" s="104"/>
      <c r="X159" s="104"/>
      <c r="Y159" s="104"/>
      <c r="Z159" s="104"/>
      <c r="AA159" s="150"/>
      <c r="AB159" s="105"/>
      <c r="AC159" s="104"/>
      <c r="AD159" s="104"/>
      <c r="AE159" s="104"/>
      <c r="AF159" s="104"/>
      <c r="AG159" s="104"/>
      <c r="AH159" s="104"/>
      <c r="AI159" s="104"/>
      <c r="AJ159" s="104"/>
      <c r="AK159" s="104"/>
      <c r="AL159" s="104"/>
      <c r="AM159" s="104"/>
      <c r="AN159" s="104"/>
    </row>
    <row r="160" spans="1:40" x14ac:dyDescent="0.2">
      <c r="A160" s="104"/>
      <c r="B160" s="104"/>
      <c r="C160" s="104"/>
      <c r="D160" s="105"/>
      <c r="E160" s="105"/>
      <c r="F160" s="105"/>
      <c r="G160" s="105"/>
      <c r="H160" s="105"/>
      <c r="I160" s="105"/>
      <c r="J160" s="105"/>
      <c r="K160" s="105"/>
      <c r="L160" s="105"/>
      <c r="M160" s="105"/>
      <c r="N160" s="105"/>
      <c r="O160" s="105"/>
      <c r="P160" s="105"/>
      <c r="Q160" s="105"/>
      <c r="R160" s="105"/>
      <c r="S160" s="105"/>
      <c r="T160" s="105"/>
      <c r="U160" s="104"/>
      <c r="V160" s="104"/>
      <c r="W160" s="104"/>
      <c r="X160" s="104"/>
      <c r="Y160" s="104"/>
      <c r="Z160" s="104"/>
      <c r="AA160" s="150"/>
      <c r="AB160" s="105"/>
      <c r="AC160" s="104"/>
      <c r="AD160" s="104"/>
      <c r="AE160" s="104"/>
      <c r="AF160" s="104"/>
      <c r="AG160" s="104"/>
      <c r="AH160" s="104"/>
      <c r="AI160" s="104"/>
      <c r="AJ160" s="104"/>
      <c r="AK160" s="104"/>
      <c r="AL160" s="104"/>
      <c r="AM160" s="104"/>
      <c r="AN160" s="104"/>
    </row>
    <row r="161" spans="1:22" x14ac:dyDescent="0.2">
      <c r="A161" s="104"/>
      <c r="B161" s="104"/>
      <c r="C161" s="104"/>
      <c r="D161" s="105"/>
      <c r="E161" s="105"/>
      <c r="F161" s="105"/>
      <c r="G161" s="105"/>
      <c r="H161" s="105"/>
      <c r="I161" s="105"/>
      <c r="J161" s="105"/>
      <c r="K161" s="105"/>
      <c r="L161" s="105"/>
      <c r="M161" s="105"/>
      <c r="N161" s="105"/>
      <c r="O161" s="105"/>
      <c r="P161" s="105"/>
      <c r="Q161" s="105"/>
      <c r="R161" s="105"/>
      <c r="S161" s="105"/>
      <c r="T161" s="105"/>
      <c r="U161" s="104"/>
      <c r="V161" s="104"/>
    </row>
    <row r="162" spans="1:22" x14ac:dyDescent="0.2">
      <c r="A162" s="104"/>
      <c r="B162" s="104"/>
      <c r="C162" s="104"/>
      <c r="D162" s="105"/>
      <c r="E162" s="105"/>
      <c r="F162" s="105"/>
      <c r="G162" s="105"/>
      <c r="H162" s="105"/>
      <c r="I162" s="105"/>
      <c r="J162" s="105"/>
      <c r="K162" s="105"/>
      <c r="L162" s="105"/>
      <c r="M162" s="105"/>
      <c r="N162" s="105"/>
      <c r="O162" s="105"/>
      <c r="P162" s="105"/>
      <c r="Q162" s="105"/>
      <c r="R162" s="105"/>
      <c r="S162" s="105"/>
      <c r="T162" s="105"/>
      <c r="U162" s="104"/>
      <c r="V162" s="104"/>
    </row>
  </sheetData>
  <mergeCells count="2">
    <mergeCell ref="E90:P90"/>
    <mergeCell ref="AA29:AE29"/>
  </mergeCells>
  <pageMargins left="0.7" right="0.7" top="0.75" bottom="0.75" header="0.3" footer="0.3"/>
  <pageSetup scale="49"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168"/>
  <sheetViews>
    <sheetView topLeftCell="A59" zoomScale="79" zoomScaleNormal="70" workbookViewId="0">
      <selection activeCell="J57" sqref="J57"/>
    </sheetView>
  </sheetViews>
  <sheetFormatPr defaultColWidth="9.42578125" defaultRowHeight="15" x14ac:dyDescent="0.2"/>
  <cols>
    <col min="1" max="2" width="9.42578125" style="140"/>
    <col min="3" max="3" width="29" style="140" customWidth="1"/>
    <col min="4" max="4" width="10.42578125" style="141" customWidth="1"/>
    <col min="5" max="5" width="11.5703125" style="141" customWidth="1"/>
    <col min="6" max="6" width="7.42578125" style="141" customWidth="1"/>
    <col min="7" max="7" width="8.42578125" style="141" customWidth="1"/>
    <col min="8" max="9" width="7.42578125" style="141" customWidth="1"/>
    <col min="10" max="10" width="8.42578125" style="141" customWidth="1"/>
    <col min="11" max="11" width="6.5703125" style="141" customWidth="1"/>
    <col min="12" max="12" width="8.42578125" style="141" customWidth="1"/>
    <col min="13" max="17" width="8.5703125" style="141" customWidth="1"/>
    <col min="18" max="18" width="10.42578125" style="141" customWidth="1"/>
    <col min="19" max="19" width="13" style="141" customWidth="1"/>
    <col min="20" max="20" width="12.5703125" style="141" customWidth="1"/>
    <col min="21" max="21" width="13.42578125" style="140" customWidth="1"/>
    <col min="22" max="22" width="11.42578125" style="140" customWidth="1"/>
    <col min="23" max="23" width="22.5703125" style="140" bestFit="1" customWidth="1"/>
    <col min="24" max="24" width="20.5703125" style="140" customWidth="1"/>
    <col min="25" max="25" width="9.42578125" style="140"/>
    <col min="26" max="26" width="12.5703125" style="141" bestFit="1" customWidth="1"/>
    <col min="27" max="27" width="12.5703125" style="140" customWidth="1"/>
    <col min="28" max="28" width="42" style="140" customWidth="1"/>
    <col min="29" max="29" width="12" style="140" bestFit="1" customWidth="1"/>
    <col min="30" max="34" width="9.42578125" style="140"/>
    <col min="35" max="38" width="24.42578125" style="140" customWidth="1"/>
    <col min="39" max="16384" width="9.42578125" style="140"/>
  </cols>
  <sheetData>
    <row r="1" spans="1:36" x14ac:dyDescent="0.2">
      <c r="A1" s="104"/>
      <c r="B1" s="104"/>
      <c r="C1" s="104"/>
      <c r="D1" s="105"/>
      <c r="E1" s="105"/>
      <c r="F1" s="155"/>
      <c r="G1" s="105"/>
      <c r="H1" s="105"/>
      <c r="I1" s="105"/>
      <c r="J1" s="105"/>
      <c r="K1" s="105"/>
      <c r="L1" s="105"/>
      <c r="M1" s="105"/>
      <c r="N1" s="105"/>
      <c r="O1" s="105"/>
      <c r="P1" s="105"/>
      <c r="Q1" s="105"/>
      <c r="R1" s="105"/>
      <c r="S1" s="105"/>
      <c r="T1" s="105"/>
      <c r="U1" s="105"/>
      <c r="V1" s="104"/>
      <c r="W1" s="104"/>
      <c r="X1" s="104"/>
      <c r="Y1" s="104"/>
      <c r="Z1" s="150"/>
      <c r="AA1" s="105"/>
      <c r="AB1" s="104"/>
      <c r="AC1" s="104"/>
      <c r="AD1" s="104"/>
      <c r="AE1" s="104"/>
      <c r="AF1" s="104"/>
      <c r="AG1" s="104"/>
      <c r="AH1" s="104"/>
      <c r="AI1" s="104"/>
      <c r="AJ1" s="104"/>
    </row>
    <row r="2" spans="1:36" x14ac:dyDescent="0.2">
      <c r="A2" s="104"/>
      <c r="B2" s="104"/>
      <c r="C2" s="155">
        <v>44196</v>
      </c>
      <c r="D2" s="105"/>
      <c r="E2" s="105"/>
      <c r="F2" s="105"/>
      <c r="G2" s="105"/>
      <c r="H2" s="105"/>
      <c r="I2" s="105"/>
      <c r="J2" s="105"/>
      <c r="K2" s="105"/>
      <c r="L2" s="105"/>
      <c r="M2" s="105"/>
      <c r="N2" s="105"/>
      <c r="O2" s="105"/>
      <c r="P2" s="105"/>
      <c r="Q2" s="105"/>
      <c r="R2" s="105"/>
      <c r="S2" s="105"/>
      <c r="T2" s="105"/>
      <c r="U2" s="105"/>
      <c r="V2" s="104"/>
      <c r="W2" s="104"/>
      <c r="X2" s="104"/>
      <c r="Y2" s="104"/>
      <c r="Z2" s="150"/>
      <c r="AA2" s="105"/>
      <c r="AB2" s="104"/>
      <c r="AC2" s="104"/>
      <c r="AD2" s="104"/>
      <c r="AE2" s="104"/>
      <c r="AF2" s="104"/>
      <c r="AG2" s="104"/>
      <c r="AH2" s="104"/>
      <c r="AI2" s="104"/>
      <c r="AJ2" s="104"/>
    </row>
    <row r="3" spans="1:36" x14ac:dyDescent="0.2">
      <c r="A3" s="104"/>
      <c r="B3" s="104"/>
      <c r="C3" s="105"/>
      <c r="D3" s="105"/>
      <c r="E3" s="105"/>
      <c r="F3" s="105"/>
      <c r="G3" s="105"/>
      <c r="H3" s="105"/>
      <c r="I3" s="105"/>
      <c r="J3" s="105"/>
      <c r="K3" s="105"/>
      <c r="L3" s="105"/>
      <c r="M3" s="105"/>
      <c r="N3" s="105"/>
      <c r="O3" s="105"/>
      <c r="P3" s="105"/>
      <c r="Q3" s="105"/>
      <c r="R3" s="105"/>
      <c r="S3" s="105"/>
      <c r="T3" s="105"/>
      <c r="U3" s="105"/>
      <c r="V3" s="104"/>
      <c r="W3" s="104"/>
      <c r="X3" s="104"/>
      <c r="Y3" s="104"/>
      <c r="Z3" s="579" t="s">
        <v>376</v>
      </c>
      <c r="AA3" s="579"/>
      <c r="AB3" s="579"/>
      <c r="AC3" s="579"/>
      <c r="AD3" s="579"/>
      <c r="AE3" s="104"/>
      <c r="AF3" s="104"/>
      <c r="AG3" s="104"/>
      <c r="AH3" s="104"/>
      <c r="AI3" s="104"/>
      <c r="AJ3" s="104"/>
    </row>
    <row r="4" spans="1:36" x14ac:dyDescent="0.2">
      <c r="A4" s="104"/>
      <c r="B4" s="104"/>
      <c r="C4" s="104"/>
      <c r="D4" s="105"/>
      <c r="E4" s="105"/>
      <c r="F4" s="105"/>
      <c r="G4" s="105"/>
      <c r="H4" s="105"/>
      <c r="I4" s="105"/>
      <c r="J4" s="105"/>
      <c r="K4" s="105"/>
      <c r="L4" s="105"/>
      <c r="M4" s="105"/>
      <c r="N4" s="105"/>
      <c r="O4" s="105"/>
      <c r="P4" s="105"/>
      <c r="Q4" s="105"/>
      <c r="R4" s="105"/>
      <c r="S4" s="105"/>
      <c r="T4" s="105"/>
      <c r="U4" s="105"/>
      <c r="V4" s="104"/>
      <c r="W4" s="104"/>
      <c r="X4" s="104"/>
      <c r="Y4" s="104"/>
      <c r="Z4" s="244">
        <v>43881</v>
      </c>
      <c r="AA4" s="245" t="s">
        <v>377</v>
      </c>
      <c r="AB4" s="246" t="s">
        <v>328</v>
      </c>
      <c r="AC4" s="247">
        <v>1545</v>
      </c>
      <c r="AD4" s="246" t="s">
        <v>378</v>
      </c>
      <c r="AE4" s="104"/>
      <c r="AF4" s="104"/>
      <c r="AG4" s="104"/>
      <c r="AH4" s="104"/>
      <c r="AI4" s="104"/>
      <c r="AJ4" s="104"/>
    </row>
    <row r="5" spans="1:36" ht="15.75" thickBot="1" x14ac:dyDescent="0.25">
      <c r="A5" s="104"/>
      <c r="B5" s="104"/>
      <c r="C5" s="104"/>
      <c r="D5" s="105"/>
      <c r="E5" s="105"/>
      <c r="F5" s="105"/>
      <c r="G5" s="105"/>
      <c r="H5" s="105"/>
      <c r="I5" s="105"/>
      <c r="J5" s="105"/>
      <c r="K5" s="105"/>
      <c r="L5" s="105"/>
      <c r="M5" s="105" t="s">
        <v>290</v>
      </c>
      <c r="N5" s="105"/>
      <c r="O5" s="105"/>
      <c r="P5" s="105"/>
      <c r="Q5" s="105"/>
      <c r="R5" s="105"/>
      <c r="S5" s="105"/>
      <c r="T5" s="105"/>
      <c r="U5" s="105"/>
      <c r="V5" s="104"/>
      <c r="W5" s="104"/>
      <c r="X5" s="104"/>
      <c r="Y5" s="104"/>
      <c r="Z5" s="244">
        <v>43881</v>
      </c>
      <c r="AA5" s="245">
        <v>2019</v>
      </c>
      <c r="AB5" s="246" t="s">
        <v>379</v>
      </c>
      <c r="AC5" s="247">
        <v>115</v>
      </c>
      <c r="AD5" s="246" t="s">
        <v>378</v>
      </c>
      <c r="AE5" s="104"/>
      <c r="AF5" s="104"/>
      <c r="AG5" s="104"/>
      <c r="AH5" s="104"/>
      <c r="AI5" s="104"/>
      <c r="AJ5" s="104"/>
    </row>
    <row r="6" spans="1:36" ht="16.5" thickBot="1" x14ac:dyDescent="0.3">
      <c r="A6" s="106"/>
      <c r="B6" s="107" t="s">
        <v>0</v>
      </c>
      <c r="C6" s="108"/>
      <c r="D6" s="108"/>
      <c r="E6" s="170"/>
      <c r="F6" s="170"/>
      <c r="G6" s="170"/>
      <c r="H6" s="170"/>
      <c r="I6" s="170"/>
      <c r="J6" s="170"/>
      <c r="K6" s="170"/>
      <c r="L6" s="170"/>
      <c r="M6" s="170"/>
      <c r="N6" s="170"/>
      <c r="O6" s="170"/>
      <c r="P6" s="170"/>
      <c r="Q6" s="170"/>
      <c r="R6" s="170"/>
      <c r="S6" s="170"/>
      <c r="T6" s="170"/>
      <c r="U6" s="151"/>
      <c r="V6" s="107" t="s">
        <v>0</v>
      </c>
      <c r="W6" s="108"/>
      <c r="X6" s="104"/>
      <c r="Y6" s="104"/>
      <c r="Z6" s="244">
        <v>43934</v>
      </c>
      <c r="AA6" s="245">
        <v>2019</v>
      </c>
      <c r="AB6" s="246" t="s">
        <v>46</v>
      </c>
      <c r="AC6" s="247">
        <v>189</v>
      </c>
      <c r="AD6" s="246" t="s">
        <v>378</v>
      </c>
      <c r="AE6" s="104"/>
      <c r="AF6" s="104"/>
      <c r="AG6" s="104"/>
      <c r="AH6" s="104"/>
      <c r="AI6" s="104"/>
      <c r="AJ6" s="104"/>
    </row>
    <row r="7" spans="1:36" ht="48" thickBot="1" x14ac:dyDescent="0.3">
      <c r="A7" s="248" t="s">
        <v>60</v>
      </c>
      <c r="B7" s="83" t="s">
        <v>3</v>
      </c>
      <c r="C7" s="55" t="s">
        <v>2</v>
      </c>
      <c r="D7" s="56" t="s">
        <v>380</v>
      </c>
      <c r="E7" s="57" t="s">
        <v>381</v>
      </c>
      <c r="F7" s="103" t="s">
        <v>4</v>
      </c>
      <c r="G7" s="58" t="s">
        <v>5</v>
      </c>
      <c r="H7" s="58" t="s">
        <v>6</v>
      </c>
      <c r="I7" s="58" t="s">
        <v>7</v>
      </c>
      <c r="J7" s="58" t="s">
        <v>8</v>
      </c>
      <c r="K7" s="58" t="s">
        <v>9</v>
      </c>
      <c r="L7" s="58" t="s">
        <v>10</v>
      </c>
      <c r="M7" s="58" t="s">
        <v>11</v>
      </c>
      <c r="N7" s="58" t="s">
        <v>12</v>
      </c>
      <c r="O7" s="58" t="s">
        <v>13</v>
      </c>
      <c r="P7" s="58" t="s">
        <v>14</v>
      </c>
      <c r="Q7" s="58" t="s">
        <v>15</v>
      </c>
      <c r="R7" s="59" t="s">
        <v>16</v>
      </c>
      <c r="S7" s="60" t="s">
        <v>382</v>
      </c>
      <c r="T7" s="57" t="s">
        <v>19</v>
      </c>
      <c r="U7" s="61" t="s">
        <v>41</v>
      </c>
      <c r="V7" s="83" t="s">
        <v>3</v>
      </c>
      <c r="W7" s="55" t="s">
        <v>2</v>
      </c>
      <c r="X7" s="104"/>
      <c r="Y7" s="104"/>
      <c r="Z7" s="244">
        <v>43934</v>
      </c>
      <c r="AA7" s="245">
        <v>2019</v>
      </c>
      <c r="AB7" s="246" t="s">
        <v>330</v>
      </c>
      <c r="AC7" s="247">
        <v>491</v>
      </c>
      <c r="AD7" s="246" t="s">
        <v>378</v>
      </c>
      <c r="AE7" s="104"/>
      <c r="AF7" s="104"/>
      <c r="AG7" s="104"/>
      <c r="AH7" s="104"/>
      <c r="AI7" s="104"/>
      <c r="AJ7" s="104"/>
    </row>
    <row r="8" spans="1:36" x14ac:dyDescent="0.2">
      <c r="A8" s="249"/>
      <c r="B8" s="110"/>
      <c r="C8" s="435"/>
      <c r="D8" s="435"/>
      <c r="E8" s="436"/>
      <c r="F8" s="436">
        <v>1</v>
      </c>
      <c r="G8" s="436"/>
      <c r="H8" s="436"/>
      <c r="I8" s="436"/>
      <c r="J8" s="436"/>
      <c r="K8" s="436"/>
      <c r="L8" s="436"/>
      <c r="M8" s="436"/>
      <c r="N8" s="436"/>
      <c r="O8" s="436"/>
      <c r="P8" s="436"/>
      <c r="Q8" s="436"/>
      <c r="R8" s="436"/>
      <c r="S8" s="250"/>
      <c r="T8" s="465"/>
      <c r="U8" s="153"/>
      <c r="V8" s="110"/>
      <c r="W8" s="435"/>
      <c r="X8" s="104"/>
      <c r="Y8" s="104"/>
      <c r="Z8" s="244">
        <v>43934</v>
      </c>
      <c r="AA8" s="245">
        <v>2019</v>
      </c>
      <c r="AB8" s="246" t="s">
        <v>383</v>
      </c>
      <c r="AC8" s="247">
        <v>105</v>
      </c>
      <c r="AD8" s="246" t="s">
        <v>378</v>
      </c>
      <c r="AE8" s="104"/>
      <c r="AF8" s="104"/>
      <c r="AG8" s="104"/>
      <c r="AH8" s="104"/>
      <c r="AI8" s="104"/>
      <c r="AJ8" s="104"/>
    </row>
    <row r="9" spans="1:36" x14ac:dyDescent="0.2">
      <c r="A9" s="252">
        <v>115264</v>
      </c>
      <c r="B9" s="253">
        <v>2014</v>
      </c>
      <c r="C9" s="252" t="s">
        <v>225</v>
      </c>
      <c r="D9" s="254">
        <v>9</v>
      </c>
      <c r="E9" s="255">
        <v>15</v>
      </c>
      <c r="F9" s="255">
        <v>7</v>
      </c>
      <c r="G9" s="255">
        <v>8</v>
      </c>
      <c r="H9" s="260"/>
      <c r="I9" s="260"/>
      <c r="J9" s="260"/>
      <c r="K9" s="260"/>
      <c r="L9" s="260"/>
      <c r="M9" s="260"/>
      <c r="N9" s="260"/>
      <c r="O9" s="260"/>
      <c r="P9" s="260"/>
      <c r="Q9" s="260"/>
      <c r="R9" s="466">
        <f>SUM(F9:Q9)</f>
        <v>15</v>
      </c>
      <c r="S9" s="359">
        <f t="shared" ref="S9" si="0">IFERROR((AVERAGE(F9:Q9)),0)</f>
        <v>7.5</v>
      </c>
      <c r="T9" s="360">
        <f>IFERROR((U9/S9),0)</f>
        <v>0</v>
      </c>
      <c r="U9" s="461">
        <f>SUM(E9-R9)</f>
        <v>0</v>
      </c>
      <c r="V9" s="253">
        <f>+B9</f>
        <v>2014</v>
      </c>
      <c r="W9" s="252" t="s">
        <v>225</v>
      </c>
      <c r="X9" s="104"/>
      <c r="Y9" s="104"/>
      <c r="Z9" s="244">
        <v>43934</v>
      </c>
      <c r="AA9" s="245">
        <v>2019</v>
      </c>
      <c r="AB9" s="246" t="s">
        <v>291</v>
      </c>
      <c r="AC9" s="247">
        <v>50</v>
      </c>
      <c r="AD9" s="246" t="s">
        <v>378</v>
      </c>
      <c r="AE9" s="104"/>
      <c r="AF9" s="104"/>
      <c r="AG9" s="104"/>
      <c r="AH9" s="104"/>
      <c r="AI9" s="104"/>
      <c r="AJ9" s="104"/>
    </row>
    <row r="10" spans="1:36" x14ac:dyDescent="0.2">
      <c r="A10" s="249"/>
      <c r="B10" s="249"/>
      <c r="C10" s="249"/>
      <c r="D10" s="250"/>
      <c r="E10" s="251"/>
      <c r="F10" s="251"/>
      <c r="G10" s="251"/>
      <c r="H10" s="251"/>
      <c r="I10" s="251"/>
      <c r="J10" s="251"/>
      <c r="K10" s="251"/>
      <c r="L10" s="251"/>
      <c r="M10" s="251"/>
      <c r="N10" s="251"/>
      <c r="O10" s="251"/>
      <c r="P10" s="251"/>
      <c r="Q10" s="251"/>
      <c r="R10" s="356"/>
      <c r="S10" s="357"/>
      <c r="T10" s="358"/>
      <c r="U10" s="462"/>
      <c r="V10" s="249"/>
      <c r="W10" s="249"/>
      <c r="X10" s="104"/>
      <c r="Y10" s="104"/>
      <c r="Z10" s="244">
        <v>43934</v>
      </c>
      <c r="AA10" s="245">
        <v>2019</v>
      </c>
      <c r="AB10" s="246" t="s">
        <v>295</v>
      </c>
      <c r="AC10" s="247">
        <v>100</v>
      </c>
      <c r="AD10" s="246" t="s">
        <v>378</v>
      </c>
      <c r="AE10" s="104"/>
      <c r="AF10" s="104"/>
      <c r="AG10" s="104"/>
      <c r="AH10" s="104"/>
      <c r="AI10" s="104"/>
      <c r="AJ10" s="104"/>
    </row>
    <row r="11" spans="1:36" x14ac:dyDescent="0.2">
      <c r="A11" s="252">
        <v>30306</v>
      </c>
      <c r="B11" s="253">
        <v>2015</v>
      </c>
      <c r="C11" s="252" t="s">
        <v>244</v>
      </c>
      <c r="D11" s="254">
        <v>2</v>
      </c>
      <c r="E11" s="255">
        <v>195</v>
      </c>
      <c r="F11" s="255">
        <v>0</v>
      </c>
      <c r="G11" s="255">
        <v>17</v>
      </c>
      <c r="H11" s="255">
        <v>2</v>
      </c>
      <c r="I11" s="255">
        <v>1</v>
      </c>
      <c r="J11" s="255">
        <v>0</v>
      </c>
      <c r="K11" s="255">
        <v>0</v>
      </c>
      <c r="L11" s="255">
        <v>0</v>
      </c>
      <c r="M11" s="255">
        <v>0</v>
      </c>
      <c r="N11" s="255">
        <v>0</v>
      </c>
      <c r="O11" s="255">
        <v>0</v>
      </c>
      <c r="P11" s="255">
        <v>0</v>
      </c>
      <c r="Q11" s="255">
        <v>0</v>
      </c>
      <c r="R11" s="256">
        <f>SUM(F11:Q11)</f>
        <v>20</v>
      </c>
      <c r="S11" s="359">
        <f>IFERROR((AVERAGE(F11:Q11)),0)</f>
        <v>1.6666666666666667</v>
      </c>
      <c r="T11" s="360">
        <f t="shared" ref="T11:T12" si="1">IFERROR((U11/S11),0)</f>
        <v>105</v>
      </c>
      <c r="U11" s="461">
        <f>SUM(E11-R11)</f>
        <v>175</v>
      </c>
      <c r="V11" s="253">
        <v>2015</v>
      </c>
      <c r="W11" s="252" t="s">
        <v>73</v>
      </c>
      <c r="X11" s="104"/>
      <c r="Y11" s="104"/>
      <c r="Z11" s="244">
        <v>43934</v>
      </c>
      <c r="AA11" s="245">
        <v>2019</v>
      </c>
      <c r="AB11" s="246" t="s">
        <v>384</v>
      </c>
      <c r="AC11" s="247">
        <v>75</v>
      </c>
      <c r="AD11" s="246" t="s">
        <v>378</v>
      </c>
      <c r="AE11" s="104"/>
      <c r="AF11" s="104"/>
      <c r="AG11" s="104"/>
      <c r="AH11" s="104"/>
      <c r="AI11" s="104"/>
      <c r="AJ11" s="104"/>
    </row>
    <row r="12" spans="1:36" x14ac:dyDescent="0.2">
      <c r="A12" s="252">
        <v>84802</v>
      </c>
      <c r="B12" s="253">
        <v>2015</v>
      </c>
      <c r="C12" s="252" t="s">
        <v>93</v>
      </c>
      <c r="D12" s="254">
        <v>10</v>
      </c>
      <c r="E12" s="255">
        <v>34</v>
      </c>
      <c r="F12" s="255">
        <v>19</v>
      </c>
      <c r="G12" s="255">
        <v>9</v>
      </c>
      <c r="H12" s="255">
        <v>6</v>
      </c>
      <c r="I12" s="255">
        <v>0</v>
      </c>
      <c r="J12" s="260"/>
      <c r="K12" s="260"/>
      <c r="L12" s="260"/>
      <c r="M12" s="260"/>
      <c r="N12" s="260"/>
      <c r="O12" s="260"/>
      <c r="P12" s="260"/>
      <c r="Q12" s="260"/>
      <c r="R12" s="256">
        <f t="shared" ref="R12" si="2">SUM(F12:Q12)</f>
        <v>34</v>
      </c>
      <c r="S12" s="359">
        <f t="shared" ref="S12" si="3">IFERROR((AVERAGE(F12:Q12)),0)</f>
        <v>8.5</v>
      </c>
      <c r="T12" s="360">
        <f t="shared" si="1"/>
        <v>0</v>
      </c>
      <c r="U12" s="461">
        <f t="shared" ref="U12" si="4">SUM(E12-R12)</f>
        <v>0</v>
      </c>
      <c r="V12" s="253">
        <v>2015</v>
      </c>
      <c r="W12" s="252" t="s">
        <v>93</v>
      </c>
      <c r="X12" s="104"/>
      <c r="Y12" s="104"/>
      <c r="Z12" s="244">
        <v>43934</v>
      </c>
      <c r="AA12" s="245">
        <v>2019</v>
      </c>
      <c r="AB12" s="246" t="s">
        <v>297</v>
      </c>
      <c r="AC12" s="247">
        <v>383</v>
      </c>
      <c r="AD12" s="246" t="s">
        <v>378</v>
      </c>
      <c r="AE12" s="104"/>
      <c r="AF12" s="104"/>
      <c r="AG12" s="104"/>
      <c r="AH12" s="104"/>
      <c r="AI12" s="104"/>
      <c r="AJ12" s="104"/>
    </row>
    <row r="13" spans="1:36" x14ac:dyDescent="0.2">
      <c r="A13" s="249"/>
      <c r="B13" s="249"/>
      <c r="C13" s="249"/>
      <c r="D13" s="251"/>
      <c r="E13" s="251"/>
      <c r="F13" s="251"/>
      <c r="G13" s="251"/>
      <c r="H13" s="251"/>
      <c r="I13" s="251"/>
      <c r="J13" s="251"/>
      <c r="K13" s="251"/>
      <c r="L13" s="251"/>
      <c r="M13" s="251"/>
      <c r="N13" s="251"/>
      <c r="O13" s="251"/>
      <c r="P13" s="251"/>
      <c r="Q13" s="251"/>
      <c r="R13" s="251"/>
      <c r="S13" s="251"/>
      <c r="T13" s="251"/>
      <c r="U13" s="251"/>
      <c r="V13" s="249"/>
      <c r="W13" s="249"/>
      <c r="X13" s="104"/>
      <c r="Y13" s="104"/>
      <c r="Z13" s="244">
        <v>43992</v>
      </c>
      <c r="AA13" s="245">
        <v>2019</v>
      </c>
      <c r="AB13" s="246" t="s">
        <v>385</v>
      </c>
      <c r="AC13" s="247">
        <v>502</v>
      </c>
      <c r="AD13" s="246" t="s">
        <v>378</v>
      </c>
      <c r="AE13" s="104"/>
      <c r="AF13" s="104"/>
      <c r="AG13" s="104"/>
      <c r="AH13" s="104"/>
      <c r="AI13" s="104"/>
      <c r="AJ13" s="104"/>
    </row>
    <row r="14" spans="1:36" ht="16.350000000000001" customHeight="1" x14ac:dyDescent="0.2">
      <c r="A14" s="252">
        <v>57630</v>
      </c>
      <c r="B14" s="253">
        <v>2016</v>
      </c>
      <c r="C14" s="252" t="s">
        <v>25</v>
      </c>
      <c r="D14" s="254">
        <v>32</v>
      </c>
      <c r="E14" s="255">
        <v>15</v>
      </c>
      <c r="F14" s="255">
        <v>2</v>
      </c>
      <c r="G14" s="255">
        <v>1</v>
      </c>
      <c r="H14" s="255">
        <v>1</v>
      </c>
      <c r="I14" s="255">
        <v>1</v>
      </c>
      <c r="J14" s="255">
        <v>1</v>
      </c>
      <c r="K14" s="260" t="s">
        <v>35</v>
      </c>
      <c r="L14" s="260"/>
      <c r="M14" s="260"/>
      <c r="N14" s="260"/>
      <c r="O14" s="260"/>
      <c r="P14" s="260"/>
      <c r="Q14" s="260"/>
      <c r="R14" s="256">
        <f>SUM(F14:Q14)</f>
        <v>6</v>
      </c>
      <c r="S14" s="359">
        <f t="shared" ref="S14:S19" si="5">IFERROR((AVERAGE(F14:Q14)),0)</f>
        <v>1.2</v>
      </c>
      <c r="T14" s="360">
        <f t="shared" ref="T14:T19" si="6">IFERROR((U14/S14),0)</f>
        <v>0</v>
      </c>
      <c r="U14" s="461">
        <v>0</v>
      </c>
      <c r="V14" s="112">
        <f>+B14</f>
        <v>2016</v>
      </c>
      <c r="W14" s="252" t="str">
        <f>+C14</f>
        <v>Chardonnay</v>
      </c>
      <c r="X14" s="104"/>
      <c r="Y14" s="104"/>
      <c r="Z14" s="244">
        <v>43992</v>
      </c>
      <c r="AA14" s="245">
        <v>2019</v>
      </c>
      <c r="AB14" s="246" t="s">
        <v>386</v>
      </c>
      <c r="AC14" s="247">
        <v>297</v>
      </c>
      <c r="AD14" s="246" t="s">
        <v>378</v>
      </c>
      <c r="AE14" s="104"/>
      <c r="AF14" s="104"/>
      <c r="AG14" s="104"/>
      <c r="AH14" s="104"/>
      <c r="AI14" s="104"/>
      <c r="AJ14" s="104"/>
    </row>
    <row r="15" spans="1:36" x14ac:dyDescent="0.2">
      <c r="A15" s="252">
        <v>133687</v>
      </c>
      <c r="B15" s="253">
        <v>2016</v>
      </c>
      <c r="C15" s="252" t="s">
        <v>93</v>
      </c>
      <c r="D15" s="254">
        <v>10</v>
      </c>
      <c r="E15" s="255">
        <v>112</v>
      </c>
      <c r="F15" s="255">
        <v>0</v>
      </c>
      <c r="G15" s="255">
        <v>1</v>
      </c>
      <c r="H15" s="255">
        <v>5</v>
      </c>
      <c r="I15" s="255">
        <v>5</v>
      </c>
      <c r="J15" s="255">
        <v>12</v>
      </c>
      <c r="K15" s="255">
        <v>9</v>
      </c>
      <c r="L15" s="255">
        <v>10</v>
      </c>
      <c r="M15" s="255">
        <v>8</v>
      </c>
      <c r="N15" s="255">
        <v>13</v>
      </c>
      <c r="O15" s="255">
        <v>16</v>
      </c>
      <c r="P15" s="255">
        <v>16</v>
      </c>
      <c r="Q15" s="255">
        <v>17</v>
      </c>
      <c r="R15" s="256">
        <f t="shared" ref="R15:R19" si="7">SUM(F15:Q15)</f>
        <v>112</v>
      </c>
      <c r="S15" s="359">
        <f t="shared" si="5"/>
        <v>9.3333333333333339</v>
      </c>
      <c r="T15" s="360">
        <f t="shared" si="6"/>
        <v>0</v>
      </c>
      <c r="U15" s="461">
        <f t="shared" ref="U15:U19" si="8">SUM(E15-R15)</f>
        <v>0</v>
      </c>
      <c r="V15" s="112">
        <f t="shared" ref="V15:V19" si="9">+B15</f>
        <v>2016</v>
      </c>
      <c r="W15" s="252" t="str">
        <f t="shared" ref="W15:W19" si="10">+C15</f>
        <v>Cab Franc Res</v>
      </c>
      <c r="X15" s="104"/>
      <c r="Y15" s="104"/>
      <c r="Z15" s="244">
        <v>43992</v>
      </c>
      <c r="AA15" s="245">
        <v>2019</v>
      </c>
      <c r="AB15" s="246" t="s">
        <v>387</v>
      </c>
      <c r="AC15" s="247">
        <v>412</v>
      </c>
      <c r="AD15" s="246" t="s">
        <v>378</v>
      </c>
      <c r="AE15" s="104"/>
      <c r="AF15" s="104"/>
      <c r="AG15" s="104"/>
      <c r="AH15" s="104"/>
      <c r="AI15" s="104"/>
      <c r="AJ15" s="104"/>
    </row>
    <row r="16" spans="1:36" x14ac:dyDescent="0.2">
      <c r="A16" s="361">
        <v>28361</v>
      </c>
      <c r="B16" s="253">
        <v>2016</v>
      </c>
      <c r="C16" s="361" t="s">
        <v>24</v>
      </c>
      <c r="D16" s="257"/>
      <c r="E16" s="255">
        <v>6</v>
      </c>
      <c r="F16" s="255">
        <v>6</v>
      </c>
      <c r="G16" s="260"/>
      <c r="H16" s="260"/>
      <c r="I16" s="260"/>
      <c r="J16" s="260"/>
      <c r="K16" s="260"/>
      <c r="L16" s="260"/>
      <c r="M16" s="260"/>
      <c r="N16" s="260"/>
      <c r="O16" s="260"/>
      <c r="P16" s="260"/>
      <c r="Q16" s="260"/>
      <c r="R16" s="256">
        <f t="shared" ref="R16" si="11">SUM(F16:Q16)</f>
        <v>6</v>
      </c>
      <c r="S16" s="359">
        <f t="shared" ref="S16" si="12">IFERROR((AVERAGE(F16:Q16)),0)</f>
        <v>6</v>
      </c>
      <c r="T16" s="360">
        <f t="shared" ref="T16" si="13">IFERROR((U16/S16),0)</f>
        <v>0</v>
      </c>
      <c r="U16" s="461">
        <f t="shared" ref="U16" si="14">SUM(E16-R16)</f>
        <v>0</v>
      </c>
      <c r="V16" s="112">
        <f t="shared" si="9"/>
        <v>2016</v>
      </c>
      <c r="W16" s="252" t="str">
        <f t="shared" si="10"/>
        <v>Cab Sauv</v>
      </c>
      <c r="X16" s="104"/>
      <c r="Y16" s="104"/>
      <c r="Z16" s="244">
        <v>43992</v>
      </c>
      <c r="AA16" s="245">
        <v>2019</v>
      </c>
      <c r="AB16" s="246" t="s">
        <v>388</v>
      </c>
      <c r="AC16" s="247">
        <v>14</v>
      </c>
      <c r="AD16" s="246" t="s">
        <v>378</v>
      </c>
      <c r="AE16" s="104"/>
      <c r="AF16" s="104"/>
      <c r="AG16" s="104"/>
      <c r="AH16" s="104"/>
      <c r="AI16" s="104"/>
      <c r="AJ16" s="104"/>
    </row>
    <row r="17" spans="1:39" x14ac:dyDescent="0.2">
      <c r="A17" s="252">
        <v>22921</v>
      </c>
      <c r="B17" s="253">
        <v>2016</v>
      </c>
      <c r="C17" s="252" t="s">
        <v>221</v>
      </c>
      <c r="D17" s="254"/>
      <c r="E17" s="255">
        <v>144</v>
      </c>
      <c r="F17" s="255">
        <v>57</v>
      </c>
      <c r="G17" s="255">
        <v>70</v>
      </c>
      <c r="H17" s="255">
        <v>11</v>
      </c>
      <c r="I17" s="255">
        <v>1</v>
      </c>
      <c r="J17" s="255">
        <v>2</v>
      </c>
      <c r="K17" s="260">
        <v>0</v>
      </c>
      <c r="L17" s="260"/>
      <c r="M17" s="260"/>
      <c r="N17" s="260"/>
      <c r="O17" s="260"/>
      <c r="P17" s="260"/>
      <c r="Q17" s="260"/>
      <c r="R17" s="256">
        <f>SUM(F17:Q17)</f>
        <v>141</v>
      </c>
      <c r="S17" s="359">
        <f>IFERROR((AVERAGE(F17:Q17)),0)</f>
        <v>23.5</v>
      </c>
      <c r="T17" s="360">
        <f>IFERROR((U17/S17),0)</f>
        <v>0</v>
      </c>
      <c r="U17" s="461">
        <v>0</v>
      </c>
      <c r="V17" s="112">
        <f t="shared" si="9"/>
        <v>2016</v>
      </c>
      <c r="W17" s="252" t="s">
        <v>22</v>
      </c>
      <c r="X17" s="104"/>
      <c r="Y17" s="104"/>
      <c r="Z17" s="244">
        <v>44172</v>
      </c>
      <c r="AA17" s="245">
        <v>2019</v>
      </c>
      <c r="AB17" s="246" t="s">
        <v>389</v>
      </c>
      <c r="AC17" s="247">
        <v>50</v>
      </c>
      <c r="AD17" s="246" t="s">
        <v>378</v>
      </c>
      <c r="AE17" s="104"/>
      <c r="AF17" s="104"/>
      <c r="AG17" s="104"/>
      <c r="AH17" s="104"/>
      <c r="AI17" s="104"/>
      <c r="AJ17" s="104"/>
      <c r="AK17" s="104"/>
      <c r="AL17" s="104"/>
      <c r="AM17" s="104"/>
    </row>
    <row r="18" spans="1:39" x14ac:dyDescent="0.2">
      <c r="A18" s="361">
        <v>133685</v>
      </c>
      <c r="B18" s="253">
        <v>2016</v>
      </c>
      <c r="C18" s="361" t="s">
        <v>66</v>
      </c>
      <c r="D18" s="257"/>
      <c r="E18" s="255">
        <v>232</v>
      </c>
      <c r="F18" s="255">
        <v>30</v>
      </c>
      <c r="G18" s="255">
        <v>24</v>
      </c>
      <c r="H18" s="255">
        <v>22</v>
      </c>
      <c r="I18" s="255">
        <v>16</v>
      </c>
      <c r="J18" s="255">
        <v>14</v>
      </c>
      <c r="K18" s="255">
        <v>15</v>
      </c>
      <c r="L18" s="255">
        <v>11</v>
      </c>
      <c r="M18" s="255">
        <v>23</v>
      </c>
      <c r="N18" s="255">
        <v>20</v>
      </c>
      <c r="O18" s="255">
        <v>26</v>
      </c>
      <c r="P18" s="255">
        <v>27</v>
      </c>
      <c r="Q18" s="255">
        <v>4</v>
      </c>
      <c r="R18" s="256">
        <f>SUM(F18:Q18)</f>
        <v>232</v>
      </c>
      <c r="S18" s="359">
        <f>IFERROR((AVERAGE(F18:Q18)),0)</f>
        <v>19.333333333333332</v>
      </c>
      <c r="T18" s="360">
        <f>IFERROR((U18/S18),0)</f>
        <v>0</v>
      </c>
      <c r="U18" s="461">
        <f>SUM(E18-R18)</f>
        <v>0</v>
      </c>
      <c r="V18" s="112">
        <f t="shared" si="9"/>
        <v>2016</v>
      </c>
      <c r="W18" s="252" t="str">
        <f t="shared" si="10"/>
        <v>Ameritage Res</v>
      </c>
      <c r="X18" s="104"/>
      <c r="Y18" s="104"/>
      <c r="Z18" s="244">
        <v>44172</v>
      </c>
      <c r="AA18" s="245">
        <v>2019</v>
      </c>
      <c r="AB18" s="246" t="s">
        <v>390</v>
      </c>
      <c r="AC18" s="247">
        <v>25</v>
      </c>
      <c r="AD18" s="246" t="s">
        <v>378</v>
      </c>
      <c r="AE18" s="104"/>
      <c r="AF18" s="104"/>
      <c r="AG18" s="104"/>
      <c r="AH18" s="104"/>
      <c r="AI18" s="104"/>
      <c r="AJ18" s="104"/>
      <c r="AK18" s="104"/>
      <c r="AL18" s="104"/>
      <c r="AM18" s="104"/>
    </row>
    <row r="19" spans="1:39" ht="14.25" customHeight="1" x14ac:dyDescent="0.2">
      <c r="A19" s="252">
        <v>135370</v>
      </c>
      <c r="B19" s="253">
        <v>2016</v>
      </c>
      <c r="C19" s="252" t="s">
        <v>217</v>
      </c>
      <c r="D19" s="257"/>
      <c r="E19" s="255">
        <v>202</v>
      </c>
      <c r="F19" s="258">
        <v>20</v>
      </c>
      <c r="G19" s="258">
        <v>8</v>
      </c>
      <c r="H19" s="258">
        <v>2</v>
      </c>
      <c r="I19" s="258">
        <v>9</v>
      </c>
      <c r="J19" s="258">
        <v>21</v>
      </c>
      <c r="K19" s="258">
        <v>7</v>
      </c>
      <c r="L19" s="258">
        <v>8</v>
      </c>
      <c r="M19" s="258">
        <v>8</v>
      </c>
      <c r="N19" s="258">
        <v>10</v>
      </c>
      <c r="O19" s="258">
        <v>14</v>
      </c>
      <c r="P19" s="258">
        <v>14</v>
      </c>
      <c r="Q19" s="255">
        <v>11</v>
      </c>
      <c r="R19" s="256">
        <f t="shared" si="7"/>
        <v>132</v>
      </c>
      <c r="S19" s="359">
        <f t="shared" si="5"/>
        <v>11</v>
      </c>
      <c r="T19" s="360">
        <f t="shared" si="6"/>
        <v>6.3636363636363633</v>
      </c>
      <c r="U19" s="461">
        <f t="shared" si="8"/>
        <v>70</v>
      </c>
      <c r="V19" s="112">
        <f t="shared" si="9"/>
        <v>2016</v>
      </c>
      <c r="W19" s="252" t="str">
        <f t="shared" si="10"/>
        <v>Petit Verdot Reserve</v>
      </c>
      <c r="X19" s="104"/>
      <c r="Y19" s="104"/>
      <c r="Z19" s="244">
        <v>44172</v>
      </c>
      <c r="AA19" s="245">
        <v>2019</v>
      </c>
      <c r="AB19" s="246" t="s">
        <v>391</v>
      </c>
      <c r="AC19" s="247">
        <v>36</v>
      </c>
      <c r="AD19" s="246" t="s">
        <v>378</v>
      </c>
      <c r="AE19" s="104"/>
      <c r="AF19" s="104"/>
      <c r="AG19" s="104"/>
      <c r="AH19" s="104"/>
      <c r="AI19" s="104"/>
      <c r="AJ19" s="104"/>
      <c r="AK19" s="104"/>
      <c r="AL19" s="104"/>
      <c r="AM19" s="104"/>
    </row>
    <row r="20" spans="1:39" x14ac:dyDescent="0.2">
      <c r="A20" s="249"/>
      <c r="B20" s="249"/>
      <c r="C20" s="249"/>
      <c r="D20" s="251"/>
      <c r="E20" s="251"/>
      <c r="F20" s="251"/>
      <c r="G20" s="251"/>
      <c r="H20" s="251"/>
      <c r="I20" s="251"/>
      <c r="J20" s="251"/>
      <c r="K20" s="251"/>
      <c r="L20" s="251"/>
      <c r="M20" s="251"/>
      <c r="N20" s="251"/>
      <c r="O20" s="251"/>
      <c r="P20" s="251"/>
      <c r="Q20" s="251"/>
      <c r="R20" s="251"/>
      <c r="S20" s="251"/>
      <c r="T20" s="251"/>
      <c r="U20" s="251"/>
      <c r="V20" s="249"/>
      <c r="W20" s="249"/>
      <c r="X20" s="104"/>
      <c r="Y20" s="104"/>
      <c r="Z20" s="244">
        <v>44172</v>
      </c>
      <c r="AA20" s="245">
        <v>2019</v>
      </c>
      <c r="AB20" s="246" t="s">
        <v>392</v>
      </c>
      <c r="AC20" s="247">
        <v>164</v>
      </c>
      <c r="AD20" s="246" t="s">
        <v>378</v>
      </c>
      <c r="AE20" s="104"/>
      <c r="AF20" s="104"/>
      <c r="AG20" s="104"/>
      <c r="AH20" s="104"/>
      <c r="AI20" s="104"/>
      <c r="AJ20" s="104"/>
      <c r="AK20" s="104"/>
      <c r="AL20" s="104"/>
      <c r="AM20" s="104"/>
    </row>
    <row r="21" spans="1:39" ht="15" customHeight="1" x14ac:dyDescent="0.2">
      <c r="A21" s="252">
        <v>11198</v>
      </c>
      <c r="B21" s="112">
        <v>2017</v>
      </c>
      <c r="C21" s="252" t="s">
        <v>46</v>
      </c>
      <c r="D21" s="257">
        <v>26</v>
      </c>
      <c r="E21" s="445">
        <v>53</v>
      </c>
      <c r="F21" s="445">
        <v>19</v>
      </c>
      <c r="G21" s="445">
        <v>21</v>
      </c>
      <c r="H21" s="445">
        <v>9</v>
      </c>
      <c r="I21" s="445">
        <v>4</v>
      </c>
      <c r="J21" s="460"/>
      <c r="K21" s="460"/>
      <c r="L21" s="460"/>
      <c r="M21" s="460"/>
      <c r="N21" s="460"/>
      <c r="O21" s="460"/>
      <c r="P21" s="460"/>
      <c r="Q21" s="460"/>
      <c r="R21" s="256">
        <f t="shared" ref="R21:R24" si="15">SUM(F21:Q21)</f>
        <v>53</v>
      </c>
      <c r="S21" s="359">
        <f t="shared" ref="S21:S22" si="16">IFERROR((AVERAGE(F21:Q21)),0)</f>
        <v>13.25</v>
      </c>
      <c r="T21" s="360">
        <f>IFERROR((U21/S21),0)</f>
        <v>0</v>
      </c>
      <c r="U21" s="461">
        <f t="shared" ref="U21:U47" si="17">SUM(E21-R21)</f>
        <v>0</v>
      </c>
      <c r="V21" s="112">
        <v>2017</v>
      </c>
      <c r="W21" s="252" t="s">
        <v>46</v>
      </c>
      <c r="X21" s="104"/>
      <c r="Y21" s="104"/>
      <c r="Z21" s="244">
        <v>44172</v>
      </c>
      <c r="AA21" s="245">
        <v>2019</v>
      </c>
      <c r="AB21" s="246" t="s">
        <v>25</v>
      </c>
      <c r="AC21" s="247">
        <v>400</v>
      </c>
      <c r="AD21" s="246" t="s">
        <v>378</v>
      </c>
      <c r="AE21" s="104"/>
      <c r="AF21" s="104"/>
      <c r="AG21" s="104"/>
      <c r="AH21" s="104"/>
      <c r="AI21" s="104"/>
      <c r="AJ21" s="104"/>
      <c r="AK21" s="104"/>
      <c r="AL21" s="104"/>
      <c r="AM21" s="104"/>
    </row>
    <row r="22" spans="1:39" ht="15" customHeight="1" x14ac:dyDescent="0.2">
      <c r="A22" s="252">
        <v>28384</v>
      </c>
      <c r="B22" s="112">
        <v>2017</v>
      </c>
      <c r="C22" s="252" t="s">
        <v>271</v>
      </c>
      <c r="D22" s="257" t="s">
        <v>35</v>
      </c>
      <c r="E22" s="445">
        <v>46</v>
      </c>
      <c r="F22" s="445">
        <v>4</v>
      </c>
      <c r="G22" s="445">
        <v>1</v>
      </c>
      <c r="H22" s="445">
        <v>6</v>
      </c>
      <c r="I22" s="445">
        <v>15</v>
      </c>
      <c r="J22" s="445">
        <v>18</v>
      </c>
      <c r="K22" s="445">
        <v>2</v>
      </c>
      <c r="L22" s="460"/>
      <c r="M22" s="460"/>
      <c r="N22" s="460"/>
      <c r="O22" s="460"/>
      <c r="P22" s="460"/>
      <c r="Q22" s="460"/>
      <c r="R22" s="256">
        <f t="shared" si="15"/>
        <v>46</v>
      </c>
      <c r="S22" s="359">
        <f t="shared" si="16"/>
        <v>7.666666666666667</v>
      </c>
      <c r="T22" s="360">
        <f>IFERROR((U22/S22),0)</f>
        <v>0</v>
      </c>
      <c r="U22" s="461">
        <f t="shared" si="17"/>
        <v>0</v>
      </c>
      <c r="V22" s="112">
        <v>2017</v>
      </c>
      <c r="W22" s="252" t="s">
        <v>272</v>
      </c>
      <c r="X22" s="104"/>
      <c r="Y22" s="104"/>
      <c r="Z22" s="244">
        <v>44172</v>
      </c>
      <c r="AA22" s="245">
        <v>2019</v>
      </c>
      <c r="AB22" s="246" t="s">
        <v>26</v>
      </c>
      <c r="AC22" s="247">
        <v>227</v>
      </c>
      <c r="AD22" s="246" t="s">
        <v>378</v>
      </c>
      <c r="AE22" s="104"/>
      <c r="AF22" s="104"/>
      <c r="AG22" s="104"/>
      <c r="AH22" s="104"/>
      <c r="AI22" s="104"/>
      <c r="AJ22" s="104"/>
      <c r="AK22" s="104"/>
      <c r="AL22" s="104"/>
      <c r="AM22" s="104"/>
    </row>
    <row r="23" spans="1:39" ht="15" customHeight="1" x14ac:dyDescent="0.2">
      <c r="A23" s="252">
        <v>57632</v>
      </c>
      <c r="B23" s="112">
        <v>2017</v>
      </c>
      <c r="C23" s="252" t="s">
        <v>31</v>
      </c>
      <c r="D23" s="257">
        <v>35</v>
      </c>
      <c r="E23" s="445">
        <v>113</v>
      </c>
      <c r="F23" s="470">
        <v>17</v>
      </c>
      <c r="G23" s="470">
        <v>15</v>
      </c>
      <c r="H23" s="470">
        <v>16</v>
      </c>
      <c r="I23" s="470">
        <v>44</v>
      </c>
      <c r="J23" s="470">
        <v>21</v>
      </c>
      <c r="K23" s="460"/>
      <c r="L23" s="460"/>
      <c r="M23" s="460"/>
      <c r="N23" s="460"/>
      <c r="O23" s="460"/>
      <c r="P23" s="460"/>
      <c r="Q23" s="460"/>
      <c r="R23" s="256">
        <f>SUM(F23:Q23)</f>
        <v>113</v>
      </c>
      <c r="S23" s="359">
        <f>IFERROR((AVERAGE(F23:Q23)),0)</f>
        <v>22.6</v>
      </c>
      <c r="T23" s="360">
        <f>IFERROR((U23/S23),0)</f>
        <v>0</v>
      </c>
      <c r="U23" s="461">
        <f>SUM(E23-R23)</f>
        <v>0</v>
      </c>
      <c r="V23" s="112">
        <v>2017</v>
      </c>
      <c r="W23" s="252" t="s">
        <v>31</v>
      </c>
      <c r="X23" s="104"/>
      <c r="Y23" s="104"/>
      <c r="Z23" s="244">
        <v>44172</v>
      </c>
      <c r="AA23" s="245">
        <v>2019</v>
      </c>
      <c r="AB23" s="246" t="s">
        <v>23</v>
      </c>
      <c r="AC23" s="247">
        <v>676</v>
      </c>
      <c r="AD23" s="246" t="s">
        <v>378</v>
      </c>
      <c r="AE23" s="104"/>
      <c r="AF23" s="104"/>
      <c r="AG23" s="104"/>
      <c r="AH23" s="104"/>
      <c r="AI23" s="104"/>
      <c r="AJ23" s="104"/>
      <c r="AK23" s="104"/>
      <c r="AL23" s="104"/>
      <c r="AM23" s="104"/>
    </row>
    <row r="24" spans="1:39" ht="15" customHeight="1" x14ac:dyDescent="0.2">
      <c r="A24" s="252">
        <v>57630</v>
      </c>
      <c r="B24" s="112">
        <v>2017</v>
      </c>
      <c r="C24" s="252" t="s">
        <v>25</v>
      </c>
      <c r="D24" s="257">
        <v>32</v>
      </c>
      <c r="E24" s="445">
        <v>854</v>
      </c>
      <c r="F24" s="470">
        <v>29</v>
      </c>
      <c r="G24" s="470">
        <v>19</v>
      </c>
      <c r="H24" s="470">
        <v>16</v>
      </c>
      <c r="I24" s="470">
        <v>16</v>
      </c>
      <c r="J24" s="470">
        <v>30</v>
      </c>
      <c r="K24" s="470">
        <v>23</v>
      </c>
      <c r="L24" s="470">
        <v>28</v>
      </c>
      <c r="M24" s="470">
        <v>33</v>
      </c>
      <c r="N24" s="470">
        <v>32</v>
      </c>
      <c r="O24" s="470">
        <v>38</v>
      </c>
      <c r="P24" s="470">
        <v>58</v>
      </c>
      <c r="Q24" s="470">
        <v>40</v>
      </c>
      <c r="R24" s="256">
        <f t="shared" si="15"/>
        <v>362</v>
      </c>
      <c r="S24" s="359">
        <f t="shared" ref="S24:S47" si="18">IFERROR((AVERAGE(F24:Q24)),0)</f>
        <v>30.166666666666668</v>
      </c>
      <c r="T24" s="360">
        <f t="shared" ref="T24:T47" si="19">IFERROR((U24/S24),0)</f>
        <v>16.30939226519337</v>
      </c>
      <c r="U24" s="461">
        <f t="shared" si="17"/>
        <v>492</v>
      </c>
      <c r="V24" s="112">
        <v>2017</v>
      </c>
      <c r="W24" s="252" t="s">
        <v>25</v>
      </c>
      <c r="X24" s="104"/>
      <c r="Y24" s="104"/>
      <c r="Z24" s="244">
        <v>44173</v>
      </c>
      <c r="AA24" s="245">
        <v>2019</v>
      </c>
      <c r="AB24" s="246" t="s">
        <v>393</v>
      </c>
      <c r="AC24" s="247">
        <v>298</v>
      </c>
      <c r="AD24" s="246" t="s">
        <v>378</v>
      </c>
      <c r="AE24" s="104"/>
      <c r="AF24" s="104"/>
      <c r="AG24" s="104"/>
      <c r="AH24" s="104"/>
      <c r="AI24" s="104"/>
      <c r="AJ24" s="104"/>
      <c r="AK24" s="104"/>
      <c r="AL24" s="104"/>
      <c r="AM24" s="104"/>
    </row>
    <row r="25" spans="1:39" ht="15" customHeight="1" x14ac:dyDescent="0.2">
      <c r="A25" s="252">
        <v>133688</v>
      </c>
      <c r="B25" s="112">
        <v>2017</v>
      </c>
      <c r="C25" s="252" t="s">
        <v>23</v>
      </c>
      <c r="D25" s="257" t="s">
        <v>35</v>
      </c>
      <c r="E25" s="445">
        <v>348</v>
      </c>
      <c r="F25" s="470">
        <v>32</v>
      </c>
      <c r="G25" s="470">
        <v>32</v>
      </c>
      <c r="H25" s="470">
        <v>27</v>
      </c>
      <c r="I25" s="470">
        <v>28</v>
      </c>
      <c r="J25" s="470">
        <v>41</v>
      </c>
      <c r="K25" s="470">
        <v>21</v>
      </c>
      <c r="L25" s="470">
        <v>27</v>
      </c>
      <c r="M25" s="470">
        <v>69</v>
      </c>
      <c r="N25" s="470">
        <v>41</v>
      </c>
      <c r="O25" s="470">
        <v>30</v>
      </c>
      <c r="P25" s="460"/>
      <c r="Q25" s="460"/>
      <c r="R25" s="256">
        <f t="shared" ref="R25:R31" si="20">SUM(F25:Q25)</f>
        <v>348</v>
      </c>
      <c r="S25" s="359">
        <f t="shared" si="18"/>
        <v>34.799999999999997</v>
      </c>
      <c r="T25" s="360">
        <f t="shared" si="19"/>
        <v>0</v>
      </c>
      <c r="U25" s="461">
        <f t="shared" si="17"/>
        <v>0</v>
      </c>
      <c r="V25" s="112">
        <v>2017</v>
      </c>
      <c r="W25" s="252" t="s">
        <v>23</v>
      </c>
      <c r="X25" s="104"/>
      <c r="Y25" s="104"/>
      <c r="Z25" s="244">
        <v>44173</v>
      </c>
      <c r="AA25" s="245">
        <v>2019</v>
      </c>
      <c r="AB25" s="246" t="s">
        <v>307</v>
      </c>
      <c r="AC25" s="247">
        <v>116</v>
      </c>
      <c r="AD25" s="246" t="s">
        <v>378</v>
      </c>
      <c r="AE25" s="104"/>
      <c r="AF25" s="104"/>
      <c r="AG25" s="104"/>
      <c r="AH25" s="104"/>
      <c r="AI25" s="104"/>
      <c r="AJ25" s="104"/>
      <c r="AK25" s="104"/>
      <c r="AL25" s="104"/>
      <c r="AM25" s="104"/>
    </row>
    <row r="26" spans="1:39" ht="15" customHeight="1" x14ac:dyDescent="0.2">
      <c r="A26" s="252">
        <v>133687</v>
      </c>
      <c r="B26" s="112">
        <v>2017</v>
      </c>
      <c r="C26" s="252" t="s">
        <v>93</v>
      </c>
      <c r="D26" s="257">
        <v>15</v>
      </c>
      <c r="E26" s="445">
        <v>134</v>
      </c>
      <c r="F26" s="445">
        <v>0</v>
      </c>
      <c r="G26" s="445">
        <v>0</v>
      </c>
      <c r="H26" s="445">
        <v>0</v>
      </c>
      <c r="I26" s="445">
        <v>0</v>
      </c>
      <c r="J26" s="445">
        <v>0</v>
      </c>
      <c r="K26" s="445">
        <v>0</v>
      </c>
      <c r="L26" s="445">
        <v>0</v>
      </c>
      <c r="M26" s="445">
        <v>0</v>
      </c>
      <c r="N26" s="445">
        <v>5</v>
      </c>
      <c r="O26" s="445">
        <v>11</v>
      </c>
      <c r="P26" s="445">
        <v>4</v>
      </c>
      <c r="Q26" s="445">
        <v>14</v>
      </c>
      <c r="R26" s="256">
        <f t="shared" si="20"/>
        <v>34</v>
      </c>
      <c r="S26" s="359">
        <f t="shared" si="18"/>
        <v>2.8333333333333335</v>
      </c>
      <c r="T26" s="360">
        <f t="shared" si="19"/>
        <v>35.294117647058819</v>
      </c>
      <c r="U26" s="461">
        <f t="shared" si="17"/>
        <v>100</v>
      </c>
      <c r="V26" s="112">
        <v>2017</v>
      </c>
      <c r="W26" s="252" t="s">
        <v>93</v>
      </c>
      <c r="X26" s="104"/>
      <c r="Y26" s="104"/>
      <c r="Z26" s="244">
        <v>44173</v>
      </c>
      <c r="AA26" s="245">
        <v>2019</v>
      </c>
      <c r="AB26" s="246" t="s">
        <v>70</v>
      </c>
      <c r="AC26" s="247">
        <v>391</v>
      </c>
      <c r="AD26" s="246" t="s">
        <v>378</v>
      </c>
      <c r="AE26" s="104"/>
      <c r="AF26" s="104"/>
      <c r="AG26" s="104"/>
      <c r="AH26" s="104"/>
      <c r="AI26" s="104"/>
      <c r="AJ26" s="104"/>
      <c r="AK26" s="104"/>
      <c r="AL26" s="104"/>
      <c r="AM26" s="104"/>
    </row>
    <row r="27" spans="1:39" ht="15" customHeight="1" x14ac:dyDescent="0.2">
      <c r="A27" s="252">
        <v>27736</v>
      </c>
      <c r="B27" s="112">
        <v>2017</v>
      </c>
      <c r="C27" s="252" t="s">
        <v>70</v>
      </c>
      <c r="D27" s="257"/>
      <c r="E27" s="445">
        <v>384</v>
      </c>
      <c r="F27" s="445">
        <v>27</v>
      </c>
      <c r="G27" s="445">
        <v>17</v>
      </c>
      <c r="H27" s="445">
        <v>19</v>
      </c>
      <c r="I27" s="445">
        <v>52</v>
      </c>
      <c r="J27" s="445">
        <v>52</v>
      </c>
      <c r="K27" s="445">
        <v>22</v>
      </c>
      <c r="L27" s="445">
        <v>16</v>
      </c>
      <c r="M27" s="445">
        <v>16</v>
      </c>
      <c r="N27" s="445">
        <v>32</v>
      </c>
      <c r="O27" s="445">
        <v>24</v>
      </c>
      <c r="P27" s="445">
        <v>23</v>
      </c>
      <c r="Q27" s="445">
        <v>23</v>
      </c>
      <c r="R27" s="256">
        <f t="shared" si="20"/>
        <v>323</v>
      </c>
      <c r="S27" s="359">
        <f t="shared" si="18"/>
        <v>26.916666666666668</v>
      </c>
      <c r="T27" s="360">
        <f t="shared" si="19"/>
        <v>2.2662538699690402</v>
      </c>
      <c r="U27" s="461">
        <f t="shared" si="17"/>
        <v>61</v>
      </c>
      <c r="V27" s="112">
        <v>2017</v>
      </c>
      <c r="W27" s="252" t="s">
        <v>70</v>
      </c>
      <c r="X27" s="104"/>
      <c r="Y27" s="104"/>
      <c r="Z27" s="244">
        <v>44173</v>
      </c>
      <c r="AA27" s="245">
        <v>2019</v>
      </c>
      <c r="AB27" s="246" t="s">
        <v>22</v>
      </c>
      <c r="AC27" s="247">
        <v>566</v>
      </c>
      <c r="AD27" s="246" t="s">
        <v>378</v>
      </c>
      <c r="AE27" s="104"/>
      <c r="AF27" s="104"/>
      <c r="AG27" s="104"/>
      <c r="AH27" s="104"/>
      <c r="AI27" s="104"/>
      <c r="AJ27" s="104"/>
      <c r="AK27" s="104"/>
      <c r="AL27" s="104"/>
      <c r="AM27" s="104"/>
    </row>
    <row r="28" spans="1:39" ht="15" customHeight="1" x14ac:dyDescent="0.2">
      <c r="A28" s="252">
        <v>135371</v>
      </c>
      <c r="B28" s="112">
        <v>2017</v>
      </c>
      <c r="C28" s="252" t="s">
        <v>307</v>
      </c>
      <c r="D28" s="257"/>
      <c r="E28" s="445">
        <v>236</v>
      </c>
      <c r="F28" s="445">
        <v>12</v>
      </c>
      <c r="G28" s="445">
        <v>4</v>
      </c>
      <c r="H28" s="445">
        <v>5</v>
      </c>
      <c r="I28" s="445">
        <v>10</v>
      </c>
      <c r="J28" s="445">
        <v>14</v>
      </c>
      <c r="K28" s="445">
        <v>7</v>
      </c>
      <c r="L28" s="445">
        <v>6</v>
      </c>
      <c r="M28" s="445">
        <v>6</v>
      </c>
      <c r="N28" s="445">
        <v>7</v>
      </c>
      <c r="O28" s="445">
        <v>12</v>
      </c>
      <c r="P28" s="445">
        <v>15</v>
      </c>
      <c r="Q28" s="445">
        <v>24</v>
      </c>
      <c r="R28" s="256">
        <f t="shared" si="20"/>
        <v>122</v>
      </c>
      <c r="S28" s="359">
        <f t="shared" si="18"/>
        <v>10.166666666666666</v>
      </c>
      <c r="T28" s="360">
        <f t="shared" si="19"/>
        <v>11.213114754098362</v>
      </c>
      <c r="U28" s="461">
        <f t="shared" si="17"/>
        <v>114</v>
      </c>
      <c r="V28" s="112">
        <v>2017</v>
      </c>
      <c r="W28" s="252" t="s">
        <v>307</v>
      </c>
      <c r="X28" s="104"/>
      <c r="Y28" s="104"/>
      <c r="Z28" s="244"/>
      <c r="AA28" s="245"/>
      <c r="AB28" s="246"/>
      <c r="AC28" s="247"/>
      <c r="AD28" s="246"/>
      <c r="AE28" s="104"/>
      <c r="AF28" s="104"/>
      <c r="AG28" s="104"/>
      <c r="AH28" s="104"/>
      <c r="AI28" s="104"/>
      <c r="AJ28" s="104"/>
      <c r="AK28" s="104"/>
      <c r="AL28" s="104"/>
      <c r="AM28" s="104"/>
    </row>
    <row r="29" spans="1:39" ht="15" customHeight="1" x14ac:dyDescent="0.2">
      <c r="A29" s="252">
        <v>22921</v>
      </c>
      <c r="B29" s="112">
        <v>2017</v>
      </c>
      <c r="C29" s="252" t="s">
        <v>278</v>
      </c>
      <c r="D29" s="261"/>
      <c r="E29" s="445">
        <v>738</v>
      </c>
      <c r="F29" s="445">
        <v>9</v>
      </c>
      <c r="G29" s="445">
        <v>78</v>
      </c>
      <c r="H29" s="445">
        <v>45</v>
      </c>
      <c r="I29" s="445">
        <v>51</v>
      </c>
      <c r="J29" s="445">
        <v>49</v>
      </c>
      <c r="K29" s="445">
        <v>45</v>
      </c>
      <c r="L29" s="445">
        <v>27</v>
      </c>
      <c r="M29" s="445">
        <v>46</v>
      </c>
      <c r="N29" s="445">
        <v>52</v>
      </c>
      <c r="O29" s="445">
        <v>49</v>
      </c>
      <c r="P29" s="445">
        <v>37</v>
      </c>
      <c r="Q29" s="445">
        <v>57</v>
      </c>
      <c r="R29" s="256">
        <f t="shared" si="20"/>
        <v>545</v>
      </c>
      <c r="S29" s="359">
        <f t="shared" si="18"/>
        <v>45.416666666666664</v>
      </c>
      <c r="T29" s="360">
        <f t="shared" si="19"/>
        <v>4.2495412844036702</v>
      </c>
      <c r="U29" s="461">
        <f t="shared" si="17"/>
        <v>193</v>
      </c>
      <c r="V29" s="112">
        <v>2017</v>
      </c>
      <c r="W29" s="252" t="s">
        <v>278</v>
      </c>
      <c r="X29" s="104"/>
      <c r="Y29" s="104"/>
      <c r="Z29" s="244"/>
      <c r="AA29" s="245"/>
      <c r="AB29" s="246"/>
      <c r="AC29" s="247"/>
      <c r="AD29" s="246"/>
      <c r="AE29" s="104"/>
      <c r="AF29" s="104"/>
      <c r="AG29" s="104"/>
      <c r="AH29" s="104"/>
      <c r="AI29" s="104"/>
      <c r="AJ29" s="104"/>
      <c r="AK29" s="104"/>
      <c r="AL29" s="104"/>
      <c r="AM29" s="104"/>
    </row>
    <row r="30" spans="1:39" ht="15" customHeight="1" x14ac:dyDescent="0.2">
      <c r="A30" s="252">
        <v>135370</v>
      </c>
      <c r="B30" s="112">
        <v>2017</v>
      </c>
      <c r="C30" s="252" t="s">
        <v>217</v>
      </c>
      <c r="D30" s="261"/>
      <c r="E30" s="445">
        <v>160</v>
      </c>
      <c r="F30" s="445">
        <v>0</v>
      </c>
      <c r="G30" s="445">
        <v>2</v>
      </c>
      <c r="H30" s="445">
        <v>0</v>
      </c>
      <c r="I30" s="445">
        <v>0</v>
      </c>
      <c r="J30" s="445">
        <v>0</v>
      </c>
      <c r="K30" s="445">
        <v>0</v>
      </c>
      <c r="L30" s="445">
        <v>2</v>
      </c>
      <c r="M30" s="445">
        <v>0</v>
      </c>
      <c r="N30" s="445">
        <v>0</v>
      </c>
      <c r="O30" s="445">
        <v>0</v>
      </c>
      <c r="P30" s="445">
        <v>0</v>
      </c>
      <c r="Q30" s="445">
        <v>0</v>
      </c>
      <c r="R30" s="256">
        <f t="shared" si="20"/>
        <v>4</v>
      </c>
      <c r="S30" s="359">
        <f t="shared" si="18"/>
        <v>0.33333333333333331</v>
      </c>
      <c r="T30" s="360">
        <f t="shared" si="19"/>
        <v>468</v>
      </c>
      <c r="U30" s="461">
        <f t="shared" si="17"/>
        <v>156</v>
      </c>
      <c r="V30" s="112">
        <v>2017</v>
      </c>
      <c r="W30" s="252" t="s">
        <v>217</v>
      </c>
      <c r="X30" s="104"/>
      <c r="Y30" s="104"/>
      <c r="Z30" s="105"/>
      <c r="AA30" s="104"/>
      <c r="AB30" s="104"/>
      <c r="AC30" s="104"/>
      <c r="AD30" s="104"/>
      <c r="AE30" s="104"/>
      <c r="AF30" s="104"/>
      <c r="AG30" s="104"/>
      <c r="AH30" s="104"/>
      <c r="AI30" s="104"/>
      <c r="AJ30" s="104"/>
      <c r="AK30" s="104"/>
      <c r="AL30" s="104"/>
      <c r="AM30" s="104"/>
    </row>
    <row r="31" spans="1:39" ht="15" customHeight="1" x14ac:dyDescent="0.2">
      <c r="A31" s="252">
        <v>137519</v>
      </c>
      <c r="B31" s="112" t="s">
        <v>281</v>
      </c>
      <c r="C31" s="252" t="s">
        <v>94</v>
      </c>
      <c r="D31" s="261"/>
      <c r="E31" s="445">
        <v>175</v>
      </c>
      <c r="F31" s="445">
        <v>49</v>
      </c>
      <c r="G31" s="445">
        <v>29</v>
      </c>
      <c r="H31" s="445">
        <v>22</v>
      </c>
      <c r="I31" s="445">
        <v>29</v>
      </c>
      <c r="J31" s="445">
        <v>46</v>
      </c>
      <c r="K31" s="460"/>
      <c r="L31" s="460"/>
      <c r="M31" s="460"/>
      <c r="N31" s="460"/>
      <c r="O31" s="460"/>
      <c r="P31" s="460"/>
      <c r="Q31" s="460"/>
      <c r="R31" s="256">
        <f t="shared" si="20"/>
        <v>175</v>
      </c>
      <c r="S31" s="359">
        <f t="shared" si="18"/>
        <v>35</v>
      </c>
      <c r="T31" s="360">
        <f t="shared" si="19"/>
        <v>0</v>
      </c>
      <c r="U31" s="461">
        <f t="shared" si="17"/>
        <v>0</v>
      </c>
      <c r="V31" s="112">
        <v>2017</v>
      </c>
      <c r="W31" s="252" t="s">
        <v>94</v>
      </c>
      <c r="X31" s="104"/>
      <c r="Y31" s="104"/>
      <c r="Z31" s="105"/>
      <c r="AA31" s="104"/>
      <c r="AB31" s="104"/>
      <c r="AC31" s="104"/>
      <c r="AD31" s="104"/>
      <c r="AE31" s="104"/>
      <c r="AF31" s="104"/>
      <c r="AG31" s="104"/>
      <c r="AH31" s="104"/>
      <c r="AI31" s="104"/>
      <c r="AJ31" s="104"/>
      <c r="AK31" s="104"/>
      <c r="AL31" s="104"/>
      <c r="AM31" s="104"/>
    </row>
    <row r="32" spans="1:39" ht="15" customHeight="1" x14ac:dyDescent="0.25">
      <c r="A32" s="252">
        <v>137517</v>
      </c>
      <c r="B32" s="112">
        <v>2017</v>
      </c>
      <c r="C32" s="252" t="s">
        <v>311</v>
      </c>
      <c r="D32" s="261">
        <v>4</v>
      </c>
      <c r="E32" s="445">
        <v>116</v>
      </c>
      <c r="F32" s="445">
        <v>0</v>
      </c>
      <c r="G32" s="445">
        <v>6</v>
      </c>
      <c r="H32" s="445">
        <v>4</v>
      </c>
      <c r="I32" s="445">
        <v>1</v>
      </c>
      <c r="J32" s="445">
        <v>1</v>
      </c>
      <c r="K32" s="445">
        <v>0</v>
      </c>
      <c r="L32" s="445">
        <v>1</v>
      </c>
      <c r="M32" s="445">
        <v>0</v>
      </c>
      <c r="N32" s="445">
        <v>0</v>
      </c>
      <c r="O32" s="445">
        <v>0</v>
      </c>
      <c r="P32" s="445">
        <v>3</v>
      </c>
      <c r="Q32" s="445">
        <v>0</v>
      </c>
      <c r="R32" s="256">
        <f t="shared" ref="R32" si="21">SUM(F32:Q32)</f>
        <v>16</v>
      </c>
      <c r="S32" s="359">
        <f t="shared" si="18"/>
        <v>1.3333333333333333</v>
      </c>
      <c r="T32" s="360">
        <f t="shared" si="19"/>
        <v>75</v>
      </c>
      <c r="U32" s="461">
        <f t="shared" si="17"/>
        <v>100</v>
      </c>
      <c r="V32" s="112">
        <v>2017</v>
      </c>
      <c r="W32" s="252" t="s">
        <v>311</v>
      </c>
      <c r="X32" s="104"/>
      <c r="Y32" s="104"/>
      <c r="Z32" s="580" t="s">
        <v>394</v>
      </c>
      <c r="AA32" s="580"/>
      <c r="AB32" s="580"/>
      <c r="AC32" s="580"/>
      <c r="AD32" s="580"/>
      <c r="AE32" s="104"/>
      <c r="AF32" s="104"/>
      <c r="AG32" s="104"/>
      <c r="AH32" s="104"/>
      <c r="AI32" s="104"/>
      <c r="AJ32" s="104"/>
      <c r="AK32" s="104"/>
      <c r="AL32" s="104"/>
      <c r="AM32" s="104"/>
    </row>
    <row r="33" spans="1:39" ht="15" customHeight="1" x14ac:dyDescent="0.2">
      <c r="A33" s="252">
        <v>116508</v>
      </c>
      <c r="B33" s="112" t="s">
        <v>273</v>
      </c>
      <c r="C33" s="252" t="s">
        <v>274</v>
      </c>
      <c r="D33" s="262">
        <v>21</v>
      </c>
      <c r="E33" s="445">
        <v>191</v>
      </c>
      <c r="F33" s="445">
        <v>0</v>
      </c>
      <c r="G33" s="445">
        <v>0</v>
      </c>
      <c r="H33" s="445">
        <v>0</v>
      </c>
      <c r="I33" s="445">
        <v>2</v>
      </c>
      <c r="J33" s="445">
        <v>3</v>
      </c>
      <c r="K33" s="445">
        <v>0</v>
      </c>
      <c r="L33" s="445">
        <v>2</v>
      </c>
      <c r="M33" s="445">
        <v>4</v>
      </c>
      <c r="N33" s="445">
        <v>2</v>
      </c>
      <c r="O33" s="445">
        <v>17</v>
      </c>
      <c r="P33" s="445">
        <v>45</v>
      </c>
      <c r="Q33" s="445">
        <v>20</v>
      </c>
      <c r="R33" s="256">
        <f t="shared" ref="R33:R45" si="22">SUM(F33:Q33)</f>
        <v>95</v>
      </c>
      <c r="S33" s="359">
        <f t="shared" si="18"/>
        <v>7.916666666666667</v>
      </c>
      <c r="T33" s="360">
        <f t="shared" si="19"/>
        <v>12.126315789473685</v>
      </c>
      <c r="U33" s="461">
        <f t="shared" si="17"/>
        <v>96</v>
      </c>
      <c r="V33" s="112" t="s">
        <v>273</v>
      </c>
      <c r="W33" s="252" t="s">
        <v>274</v>
      </c>
      <c r="X33" s="104"/>
      <c r="Y33" s="104"/>
      <c r="Z33" s="265" t="s">
        <v>395</v>
      </c>
      <c r="AA33" s="266" t="s">
        <v>396</v>
      </c>
      <c r="AB33" s="267" t="s">
        <v>397</v>
      </c>
      <c r="AC33" s="267" t="s">
        <v>398</v>
      </c>
      <c r="AD33" s="267" t="s">
        <v>399</v>
      </c>
      <c r="AE33" s="104"/>
      <c r="AF33" s="104"/>
      <c r="AG33" s="104"/>
      <c r="AH33" s="104"/>
      <c r="AI33" s="104"/>
      <c r="AJ33" s="104"/>
      <c r="AK33" s="104"/>
      <c r="AL33" s="104"/>
      <c r="AM33" s="104"/>
    </row>
    <row r="34" spans="1:39" x14ac:dyDescent="0.2">
      <c r="A34" s="249"/>
      <c r="B34" s="165"/>
      <c r="C34" s="249"/>
      <c r="D34" s="264"/>
      <c r="E34" s="356" t="e">
        <v>#VALUE!</v>
      </c>
      <c r="F34" s="356"/>
      <c r="G34" s="356"/>
      <c r="H34" s="356"/>
      <c r="I34" s="356"/>
      <c r="J34" s="356"/>
      <c r="K34" s="356"/>
      <c r="L34" s="356"/>
      <c r="M34" s="356"/>
      <c r="N34" s="356"/>
      <c r="O34" s="356"/>
      <c r="P34" s="356"/>
      <c r="Q34" s="356"/>
      <c r="R34" s="251" t="s">
        <v>35</v>
      </c>
      <c r="S34" s="357">
        <f t="shared" si="18"/>
        <v>0</v>
      </c>
      <c r="T34" s="358">
        <f t="shared" si="19"/>
        <v>0</v>
      </c>
      <c r="U34" s="462" t="e">
        <f t="shared" si="17"/>
        <v>#VALUE!</v>
      </c>
      <c r="V34" s="165"/>
      <c r="W34" s="249"/>
      <c r="X34" s="104"/>
      <c r="Y34" s="104"/>
      <c r="Z34" s="265">
        <v>43846</v>
      </c>
      <c r="AA34" s="268" t="s">
        <v>400</v>
      </c>
      <c r="AB34" s="265" t="s">
        <v>401</v>
      </c>
      <c r="AC34" s="269">
        <v>75</v>
      </c>
      <c r="AD34" s="265" t="s">
        <v>104</v>
      </c>
      <c r="AE34" s="104"/>
      <c r="AF34" s="104"/>
      <c r="AG34" s="104"/>
      <c r="AH34" s="104"/>
      <c r="AI34" s="104"/>
      <c r="AJ34" s="104"/>
      <c r="AK34" s="104"/>
      <c r="AL34" s="104"/>
      <c r="AM34" s="104"/>
    </row>
    <row r="35" spans="1:39" ht="15" customHeight="1" x14ac:dyDescent="0.2">
      <c r="A35" s="252">
        <v>111575</v>
      </c>
      <c r="B35" s="112">
        <v>2018</v>
      </c>
      <c r="C35" s="252" t="s">
        <v>159</v>
      </c>
      <c r="D35" s="262">
        <v>35</v>
      </c>
      <c r="E35" s="445">
        <v>229</v>
      </c>
      <c r="F35" s="470">
        <v>31</v>
      </c>
      <c r="G35" s="470">
        <v>36</v>
      </c>
      <c r="H35" s="470">
        <v>29</v>
      </c>
      <c r="I35" s="470">
        <v>19</v>
      </c>
      <c r="J35" s="470">
        <v>57</v>
      </c>
      <c r="K35" s="470">
        <v>57</v>
      </c>
      <c r="L35" s="460"/>
      <c r="M35" s="460"/>
      <c r="N35" s="460"/>
      <c r="O35" s="460"/>
      <c r="P35" s="460"/>
      <c r="Q35" s="460"/>
      <c r="R35" s="256">
        <f t="shared" si="22"/>
        <v>229</v>
      </c>
      <c r="S35" s="359">
        <f t="shared" si="18"/>
        <v>38.166666666666664</v>
      </c>
      <c r="T35" s="360">
        <f t="shared" si="19"/>
        <v>0</v>
      </c>
      <c r="U35" s="461">
        <f t="shared" si="17"/>
        <v>0</v>
      </c>
      <c r="V35" s="112">
        <v>2018</v>
      </c>
      <c r="W35" s="252" t="s">
        <v>159</v>
      </c>
      <c r="X35" s="104"/>
      <c r="Y35" s="104"/>
      <c r="Z35" s="265">
        <v>43915</v>
      </c>
      <c r="AA35" s="268" t="s">
        <v>402</v>
      </c>
      <c r="AB35" s="265" t="s">
        <v>403</v>
      </c>
      <c r="AC35" s="269">
        <v>95</v>
      </c>
      <c r="AD35" s="265" t="s">
        <v>104</v>
      </c>
      <c r="AE35" s="104"/>
      <c r="AF35" s="104"/>
      <c r="AG35" s="104"/>
      <c r="AH35" s="104"/>
      <c r="AI35" s="104"/>
      <c r="AJ35" s="104"/>
      <c r="AK35" s="104"/>
      <c r="AL35" s="104"/>
      <c r="AM35" s="104"/>
    </row>
    <row r="36" spans="1:39" ht="15" customHeight="1" x14ac:dyDescent="0.2">
      <c r="A36" s="252">
        <v>111575</v>
      </c>
      <c r="B36" s="112">
        <v>2018</v>
      </c>
      <c r="C36" s="252" t="s">
        <v>404</v>
      </c>
      <c r="D36" s="262">
        <v>0</v>
      </c>
      <c r="E36" s="445">
        <v>52</v>
      </c>
      <c r="F36" s="470">
        <v>0</v>
      </c>
      <c r="G36" s="470">
        <v>7</v>
      </c>
      <c r="H36" s="470">
        <v>12</v>
      </c>
      <c r="I36" s="470">
        <v>7</v>
      </c>
      <c r="J36" s="470">
        <v>15</v>
      </c>
      <c r="K36" s="470">
        <v>11</v>
      </c>
      <c r="L36" s="460"/>
      <c r="M36" s="460"/>
      <c r="N36" s="460"/>
      <c r="O36" s="460"/>
      <c r="P36" s="460"/>
      <c r="Q36" s="460"/>
      <c r="R36" s="256">
        <f t="shared" ref="R36" si="23">SUM(F36:Q36)</f>
        <v>52</v>
      </c>
      <c r="S36" s="359">
        <f t="shared" ref="S36" si="24">IFERROR((AVERAGE(F36:Q36)),0)</f>
        <v>8.6666666666666661</v>
      </c>
      <c r="T36" s="360">
        <f t="shared" ref="T36" si="25">IFERROR((U36/S36),0)</f>
        <v>0</v>
      </c>
      <c r="U36" s="461">
        <f t="shared" ref="U36" si="26">SUM(E36-R36)</f>
        <v>0</v>
      </c>
      <c r="V36" s="112">
        <v>2018</v>
      </c>
      <c r="W36" s="252" t="s">
        <v>159</v>
      </c>
      <c r="X36" s="104"/>
      <c r="Y36" s="104"/>
      <c r="Z36" s="265">
        <v>43881</v>
      </c>
      <c r="AA36" s="268" t="s">
        <v>402</v>
      </c>
      <c r="AB36" s="265" t="s">
        <v>405</v>
      </c>
      <c r="AC36" s="269">
        <v>115</v>
      </c>
      <c r="AD36" s="265" t="s">
        <v>378</v>
      </c>
      <c r="AE36" s="104"/>
      <c r="AF36" s="104"/>
      <c r="AG36" s="104"/>
      <c r="AH36" s="104"/>
      <c r="AI36" s="104"/>
      <c r="AJ36" s="104"/>
      <c r="AK36" s="104"/>
      <c r="AL36" s="104"/>
      <c r="AM36" s="104"/>
    </row>
    <row r="37" spans="1:39" ht="15" customHeight="1" x14ac:dyDescent="0.2">
      <c r="A37" s="252">
        <v>11198</v>
      </c>
      <c r="B37" s="112">
        <v>2018</v>
      </c>
      <c r="C37" s="252" t="s">
        <v>46</v>
      </c>
      <c r="D37" s="262">
        <v>26</v>
      </c>
      <c r="E37" s="445">
        <v>302</v>
      </c>
      <c r="F37" s="445">
        <v>0</v>
      </c>
      <c r="G37" s="445">
        <v>1</v>
      </c>
      <c r="H37" s="445">
        <v>1</v>
      </c>
      <c r="I37" s="445">
        <v>29</v>
      </c>
      <c r="J37" s="445">
        <v>59</v>
      </c>
      <c r="K37" s="445">
        <v>32</v>
      </c>
      <c r="L37" s="445">
        <v>17</v>
      </c>
      <c r="M37" s="445">
        <v>17</v>
      </c>
      <c r="N37" s="445">
        <v>24</v>
      </c>
      <c r="O37" s="445">
        <v>14</v>
      </c>
      <c r="P37" s="445">
        <v>24</v>
      </c>
      <c r="Q37" s="445">
        <v>18</v>
      </c>
      <c r="R37" s="256">
        <f t="shared" si="22"/>
        <v>236</v>
      </c>
      <c r="S37" s="359">
        <f t="shared" si="18"/>
        <v>19.666666666666668</v>
      </c>
      <c r="T37" s="360">
        <f t="shared" si="19"/>
        <v>3.3559322033898304</v>
      </c>
      <c r="U37" s="461">
        <f t="shared" si="17"/>
        <v>66</v>
      </c>
      <c r="V37" s="112">
        <v>2018</v>
      </c>
      <c r="W37" s="252" t="s">
        <v>46</v>
      </c>
      <c r="X37" s="104"/>
      <c r="Y37" s="104"/>
      <c r="Z37" s="265">
        <v>43934</v>
      </c>
      <c r="AA37" s="268" t="s">
        <v>402</v>
      </c>
      <c r="AB37" s="265" t="s">
        <v>406</v>
      </c>
      <c r="AC37" s="269">
        <v>105</v>
      </c>
      <c r="AD37" s="265" t="s">
        <v>378</v>
      </c>
      <c r="AE37" s="104"/>
      <c r="AF37" s="104"/>
      <c r="AG37" s="104"/>
      <c r="AH37" s="104"/>
      <c r="AI37" s="104"/>
      <c r="AJ37" s="104"/>
      <c r="AK37" s="104"/>
      <c r="AL37" s="104"/>
      <c r="AM37" s="104"/>
    </row>
    <row r="38" spans="1:39" ht="15" customHeight="1" x14ac:dyDescent="0.2">
      <c r="A38" s="252">
        <v>57632</v>
      </c>
      <c r="B38" s="112">
        <v>2018</v>
      </c>
      <c r="C38" s="252" t="s">
        <v>31</v>
      </c>
      <c r="D38" s="262">
        <v>35</v>
      </c>
      <c r="E38" s="445">
        <v>522</v>
      </c>
      <c r="F38" s="445">
        <v>0</v>
      </c>
      <c r="G38" s="445">
        <v>5</v>
      </c>
      <c r="H38" s="445">
        <v>0</v>
      </c>
      <c r="I38" s="445">
        <v>0</v>
      </c>
      <c r="J38" s="445">
        <v>47</v>
      </c>
      <c r="K38" s="445">
        <v>39</v>
      </c>
      <c r="L38" s="445">
        <v>40</v>
      </c>
      <c r="M38" s="445">
        <v>33</v>
      </c>
      <c r="N38" s="445">
        <v>41</v>
      </c>
      <c r="O38" s="445">
        <v>33</v>
      </c>
      <c r="P38" s="445">
        <v>27</v>
      </c>
      <c r="Q38" s="445">
        <v>22</v>
      </c>
      <c r="R38" s="256">
        <f t="shared" si="22"/>
        <v>287</v>
      </c>
      <c r="S38" s="359">
        <f t="shared" si="18"/>
        <v>23.916666666666668</v>
      </c>
      <c r="T38" s="360">
        <f t="shared" si="19"/>
        <v>9.8257839721254356</v>
      </c>
      <c r="U38" s="461">
        <f t="shared" si="17"/>
        <v>235</v>
      </c>
      <c r="V38" s="112">
        <v>2018</v>
      </c>
      <c r="W38" s="252" t="s">
        <v>31</v>
      </c>
      <c r="X38" s="104"/>
      <c r="Y38" s="104"/>
      <c r="Z38" s="265">
        <v>43934</v>
      </c>
      <c r="AA38" s="268" t="s">
        <v>402</v>
      </c>
      <c r="AB38" s="265" t="s">
        <v>407</v>
      </c>
      <c r="AC38" s="269">
        <v>50</v>
      </c>
      <c r="AD38" s="265" t="s">
        <v>378</v>
      </c>
      <c r="AE38" s="104"/>
      <c r="AF38" s="104"/>
      <c r="AG38" s="104"/>
      <c r="AH38" s="104"/>
      <c r="AI38" s="104"/>
      <c r="AJ38" s="104"/>
      <c r="AK38" s="104"/>
      <c r="AL38" s="104"/>
      <c r="AM38" s="104"/>
    </row>
    <row r="39" spans="1:39" ht="15" customHeight="1" x14ac:dyDescent="0.2">
      <c r="A39" s="252">
        <v>57630</v>
      </c>
      <c r="B39" s="112">
        <v>2018</v>
      </c>
      <c r="C39" s="252" t="s">
        <v>25</v>
      </c>
      <c r="D39" s="262">
        <v>32</v>
      </c>
      <c r="E39" s="445">
        <v>367</v>
      </c>
      <c r="F39" s="445">
        <v>0</v>
      </c>
      <c r="G39" s="445">
        <v>7</v>
      </c>
      <c r="H39" s="445">
        <v>0</v>
      </c>
      <c r="I39" s="445">
        <v>0</v>
      </c>
      <c r="J39" s="445">
        <v>0</v>
      </c>
      <c r="K39" s="445">
        <v>0</v>
      </c>
      <c r="L39" s="445">
        <v>0</v>
      </c>
      <c r="M39" s="445">
        <v>0</v>
      </c>
      <c r="N39" s="445">
        <v>0</v>
      </c>
      <c r="O39" s="445">
        <v>0</v>
      </c>
      <c r="P39" s="445">
        <v>0</v>
      </c>
      <c r="Q39" s="445">
        <v>0</v>
      </c>
      <c r="R39" s="256">
        <f t="shared" si="22"/>
        <v>7</v>
      </c>
      <c r="S39" s="359">
        <f t="shared" si="18"/>
        <v>0.58333333333333337</v>
      </c>
      <c r="T39" s="360">
        <f t="shared" si="19"/>
        <v>617.14285714285711</v>
      </c>
      <c r="U39" s="461">
        <f t="shared" si="17"/>
        <v>360</v>
      </c>
      <c r="V39" s="112">
        <v>2018</v>
      </c>
      <c r="W39" s="252" t="s">
        <v>25</v>
      </c>
      <c r="X39" s="104"/>
      <c r="Y39" s="104"/>
      <c r="Z39" s="265">
        <v>43934</v>
      </c>
      <c r="AA39" s="268" t="s">
        <v>402</v>
      </c>
      <c r="AB39" s="265" t="s">
        <v>408</v>
      </c>
      <c r="AC39" s="269">
        <v>100</v>
      </c>
      <c r="AD39" s="265" t="s">
        <v>378</v>
      </c>
      <c r="AE39" s="104"/>
      <c r="AF39" s="104"/>
      <c r="AG39" s="104"/>
      <c r="AH39" s="104"/>
      <c r="AI39" s="104"/>
      <c r="AJ39" s="104"/>
      <c r="AK39" s="104"/>
      <c r="AL39" s="104"/>
      <c r="AM39" s="104"/>
    </row>
    <row r="40" spans="1:39" ht="15" customHeight="1" x14ac:dyDescent="0.2">
      <c r="A40" s="252">
        <v>137518</v>
      </c>
      <c r="B40" s="112">
        <v>2018</v>
      </c>
      <c r="C40" s="252" t="s">
        <v>108</v>
      </c>
      <c r="D40" s="262">
        <v>21</v>
      </c>
      <c r="E40" s="445">
        <v>64</v>
      </c>
      <c r="F40" s="445">
        <v>19</v>
      </c>
      <c r="G40" s="445">
        <v>19</v>
      </c>
      <c r="H40" s="445">
        <v>9</v>
      </c>
      <c r="I40" s="445">
        <v>5</v>
      </c>
      <c r="J40" s="445">
        <v>12</v>
      </c>
      <c r="K40" s="460"/>
      <c r="L40" s="460"/>
      <c r="M40" s="460"/>
      <c r="N40" s="460"/>
      <c r="O40" s="460"/>
      <c r="P40" s="460"/>
      <c r="Q40" s="460"/>
      <c r="R40" s="256">
        <f t="shared" si="22"/>
        <v>64</v>
      </c>
      <c r="S40" s="359">
        <f t="shared" si="18"/>
        <v>12.8</v>
      </c>
      <c r="T40" s="360">
        <f t="shared" si="19"/>
        <v>0</v>
      </c>
      <c r="U40" s="461">
        <f>SUM(E40-R40)</f>
        <v>0</v>
      </c>
      <c r="V40" s="112">
        <v>2018</v>
      </c>
      <c r="W40" s="252" t="s">
        <v>108</v>
      </c>
      <c r="X40" s="104"/>
      <c r="Y40" s="104"/>
      <c r="Z40" s="265">
        <v>43934</v>
      </c>
      <c r="AA40" s="268" t="s">
        <v>402</v>
      </c>
      <c r="AB40" s="265" t="s">
        <v>409</v>
      </c>
      <c r="AC40" s="269">
        <v>75</v>
      </c>
      <c r="AD40" s="265" t="s">
        <v>378</v>
      </c>
      <c r="AE40" s="104"/>
      <c r="AF40" s="104"/>
      <c r="AG40" s="104"/>
      <c r="AH40" s="104"/>
      <c r="AI40" s="104"/>
      <c r="AJ40" s="104"/>
      <c r="AK40" s="104"/>
      <c r="AL40" s="104"/>
      <c r="AM40" s="104"/>
    </row>
    <row r="41" spans="1:39" ht="15" customHeight="1" x14ac:dyDescent="0.2">
      <c r="A41" s="252">
        <v>133688</v>
      </c>
      <c r="B41" s="112">
        <v>2018</v>
      </c>
      <c r="C41" s="252" t="s">
        <v>23</v>
      </c>
      <c r="D41" s="262">
        <v>39</v>
      </c>
      <c r="E41" s="445">
        <v>644</v>
      </c>
      <c r="F41" s="445">
        <v>1</v>
      </c>
      <c r="G41" s="445">
        <v>5</v>
      </c>
      <c r="H41" s="445">
        <v>0</v>
      </c>
      <c r="I41" s="445">
        <v>0</v>
      </c>
      <c r="J41" s="445">
        <v>1</v>
      </c>
      <c r="K41" s="445">
        <v>4</v>
      </c>
      <c r="L41" s="445">
        <v>3</v>
      </c>
      <c r="M41" s="445">
        <v>3</v>
      </c>
      <c r="N41" s="445">
        <v>4</v>
      </c>
      <c r="O41" s="445">
        <v>21</v>
      </c>
      <c r="P41" s="445">
        <v>34</v>
      </c>
      <c r="Q41" s="445">
        <v>32</v>
      </c>
      <c r="R41" s="256">
        <f t="shared" si="22"/>
        <v>108</v>
      </c>
      <c r="S41" s="359">
        <f t="shared" si="18"/>
        <v>9</v>
      </c>
      <c r="T41" s="360">
        <f t="shared" si="19"/>
        <v>59.555555555555557</v>
      </c>
      <c r="U41" s="461">
        <f t="shared" si="17"/>
        <v>536</v>
      </c>
      <c r="V41" s="112">
        <v>2018</v>
      </c>
      <c r="W41" s="252" t="s">
        <v>23</v>
      </c>
      <c r="X41" s="104"/>
      <c r="Y41" s="104"/>
      <c r="Z41" s="265">
        <v>43934</v>
      </c>
      <c r="AA41" s="268" t="s">
        <v>402</v>
      </c>
      <c r="AB41" s="265" t="s">
        <v>410</v>
      </c>
      <c r="AC41" s="269">
        <v>383</v>
      </c>
      <c r="AD41" s="265" t="s">
        <v>378</v>
      </c>
      <c r="AE41" s="104"/>
      <c r="AF41" s="104"/>
      <c r="AG41" s="104"/>
      <c r="AH41" s="104"/>
      <c r="AI41" s="104"/>
      <c r="AJ41" s="104"/>
      <c r="AK41" s="104"/>
      <c r="AL41" s="104"/>
      <c r="AM41" s="104"/>
    </row>
    <row r="42" spans="1:39" ht="15" customHeight="1" x14ac:dyDescent="0.2">
      <c r="A42" s="252">
        <v>27736</v>
      </c>
      <c r="B42" s="112">
        <v>2018</v>
      </c>
      <c r="C42" s="252" t="s">
        <v>70</v>
      </c>
      <c r="D42" s="262">
        <v>29</v>
      </c>
      <c r="E42" s="445">
        <v>470</v>
      </c>
      <c r="F42" s="445">
        <v>5</v>
      </c>
      <c r="G42" s="445">
        <v>3</v>
      </c>
      <c r="H42" s="445">
        <v>1</v>
      </c>
      <c r="I42" s="445">
        <v>1</v>
      </c>
      <c r="J42" s="445">
        <v>7</v>
      </c>
      <c r="K42" s="445">
        <v>0</v>
      </c>
      <c r="L42" s="445">
        <v>5</v>
      </c>
      <c r="M42" s="445">
        <v>0</v>
      </c>
      <c r="N42" s="445">
        <v>0</v>
      </c>
      <c r="O42" s="445">
        <v>0</v>
      </c>
      <c r="P42" s="445">
        <v>0</v>
      </c>
      <c r="Q42" s="445">
        <v>0</v>
      </c>
      <c r="R42" s="256">
        <f t="shared" si="22"/>
        <v>22</v>
      </c>
      <c r="S42" s="359">
        <f t="shared" si="18"/>
        <v>1.8333333333333333</v>
      </c>
      <c r="T42" s="360">
        <f t="shared" si="19"/>
        <v>244.36363636363637</v>
      </c>
      <c r="U42" s="461">
        <f t="shared" si="17"/>
        <v>448</v>
      </c>
      <c r="V42" s="112">
        <v>2018</v>
      </c>
      <c r="W42" s="252" t="s">
        <v>70</v>
      </c>
      <c r="X42" s="104"/>
      <c r="Y42" s="104"/>
      <c r="Z42" s="265">
        <v>43992</v>
      </c>
      <c r="AA42" s="268" t="s">
        <v>402</v>
      </c>
      <c r="AB42" s="265" t="s">
        <v>411</v>
      </c>
      <c r="AC42" s="269">
        <v>297</v>
      </c>
      <c r="AD42" s="265" t="s">
        <v>378</v>
      </c>
      <c r="AE42" s="104"/>
      <c r="AF42" s="104"/>
      <c r="AG42" s="104"/>
      <c r="AH42" s="104"/>
      <c r="AI42" s="104"/>
      <c r="AJ42" s="104"/>
      <c r="AK42" s="104"/>
      <c r="AL42" s="104"/>
      <c r="AM42" s="104"/>
    </row>
    <row r="43" spans="1:39" ht="15" customHeight="1" x14ac:dyDescent="0.2">
      <c r="A43" s="252">
        <v>135371</v>
      </c>
      <c r="B43" s="112">
        <v>2018</v>
      </c>
      <c r="C43" s="252" t="s">
        <v>307</v>
      </c>
      <c r="D43" s="262"/>
      <c r="E43" s="445">
        <v>344</v>
      </c>
      <c r="F43" s="445">
        <v>0</v>
      </c>
      <c r="G43" s="445">
        <v>6</v>
      </c>
      <c r="H43" s="445">
        <v>3</v>
      </c>
      <c r="I43" s="445">
        <v>0</v>
      </c>
      <c r="J43" s="445">
        <v>3</v>
      </c>
      <c r="K43" s="445">
        <v>0</v>
      </c>
      <c r="L43" s="445">
        <v>2</v>
      </c>
      <c r="M43" s="445">
        <v>0</v>
      </c>
      <c r="N43" s="445">
        <v>0</v>
      </c>
      <c r="O43" s="445">
        <v>0</v>
      </c>
      <c r="P43" s="445">
        <v>0</v>
      </c>
      <c r="Q43" s="445">
        <v>0</v>
      </c>
      <c r="R43" s="256">
        <f t="shared" si="22"/>
        <v>14</v>
      </c>
      <c r="S43" s="359">
        <f t="shared" si="18"/>
        <v>1.1666666666666667</v>
      </c>
      <c r="T43" s="360">
        <f t="shared" si="19"/>
        <v>282.85714285714283</v>
      </c>
      <c r="U43" s="461">
        <f t="shared" si="17"/>
        <v>330</v>
      </c>
      <c r="V43" s="112">
        <v>2018</v>
      </c>
      <c r="W43" s="252" t="s">
        <v>307</v>
      </c>
      <c r="X43" s="104"/>
      <c r="Y43" s="104"/>
      <c r="Z43" s="265">
        <v>43992</v>
      </c>
      <c r="AA43" s="268" t="s">
        <v>402</v>
      </c>
      <c r="AB43" s="265" t="s">
        <v>412</v>
      </c>
      <c r="AC43" s="269">
        <v>412</v>
      </c>
      <c r="AD43" s="265" t="s">
        <v>378</v>
      </c>
      <c r="AE43" s="104"/>
      <c r="AF43" s="104"/>
      <c r="AG43" s="104"/>
      <c r="AH43" s="104"/>
      <c r="AI43" s="104"/>
      <c r="AJ43" s="104"/>
      <c r="AK43" s="104"/>
      <c r="AL43" s="104"/>
      <c r="AM43" s="104"/>
    </row>
    <row r="44" spans="1:39" ht="15" customHeight="1" x14ac:dyDescent="0.2">
      <c r="A44" s="252">
        <v>22921</v>
      </c>
      <c r="B44" s="112">
        <v>2018</v>
      </c>
      <c r="C44" s="252" t="s">
        <v>278</v>
      </c>
      <c r="D44" s="262">
        <v>54</v>
      </c>
      <c r="E44" s="445">
        <v>994</v>
      </c>
      <c r="F44" s="445">
        <v>0</v>
      </c>
      <c r="G44" s="445">
        <v>3</v>
      </c>
      <c r="H44" s="445">
        <v>0</v>
      </c>
      <c r="I44" s="445">
        <v>0</v>
      </c>
      <c r="J44" s="445">
        <v>0</v>
      </c>
      <c r="K44" s="445">
        <v>1</v>
      </c>
      <c r="L44" s="445">
        <v>4</v>
      </c>
      <c r="M44" s="445">
        <v>0</v>
      </c>
      <c r="N44" s="445">
        <v>0</v>
      </c>
      <c r="O44" s="445">
        <v>0</v>
      </c>
      <c r="P44" s="445">
        <v>0</v>
      </c>
      <c r="Q44" s="445">
        <v>0</v>
      </c>
      <c r="R44" s="256">
        <f t="shared" si="22"/>
        <v>8</v>
      </c>
      <c r="S44" s="359">
        <f t="shared" si="18"/>
        <v>0.66666666666666663</v>
      </c>
      <c r="T44" s="360">
        <f t="shared" si="19"/>
        <v>1479</v>
      </c>
      <c r="U44" s="461">
        <f t="shared" si="17"/>
        <v>986</v>
      </c>
      <c r="V44" s="112">
        <v>2018</v>
      </c>
      <c r="W44" s="252" t="s">
        <v>278</v>
      </c>
      <c r="X44" s="104"/>
      <c r="Y44" s="104"/>
      <c r="Z44" s="265">
        <v>44053</v>
      </c>
      <c r="AA44" s="471">
        <v>2017</v>
      </c>
      <c r="AB44" s="265" t="s">
        <v>413</v>
      </c>
      <c r="AC44" s="269">
        <v>42</v>
      </c>
      <c r="AD44" s="265" t="s">
        <v>378</v>
      </c>
      <c r="AE44" s="104"/>
      <c r="AF44" s="104"/>
      <c r="AG44" s="104"/>
      <c r="AH44" s="104"/>
      <c r="AI44" s="104"/>
      <c r="AJ44" s="104"/>
      <c r="AK44" s="104"/>
      <c r="AL44" s="104"/>
      <c r="AM44" s="104"/>
    </row>
    <row r="45" spans="1:39" ht="15" customHeight="1" x14ac:dyDescent="0.2">
      <c r="A45" s="252">
        <v>137519</v>
      </c>
      <c r="B45" s="112" t="s">
        <v>306</v>
      </c>
      <c r="C45" s="252" t="s">
        <v>94</v>
      </c>
      <c r="D45" s="262"/>
      <c r="E45" s="445">
        <v>1150</v>
      </c>
      <c r="F45" s="445">
        <v>7</v>
      </c>
      <c r="G45" s="445">
        <v>1</v>
      </c>
      <c r="H45" s="445">
        <v>4</v>
      </c>
      <c r="I45" s="445">
        <v>0</v>
      </c>
      <c r="J45" s="445">
        <v>7</v>
      </c>
      <c r="K45" s="445">
        <v>25</v>
      </c>
      <c r="L45" s="445">
        <v>34</v>
      </c>
      <c r="M45" s="445">
        <v>39</v>
      </c>
      <c r="N45" s="445">
        <v>43</v>
      </c>
      <c r="O45" s="445">
        <v>28</v>
      </c>
      <c r="P45" s="445">
        <v>117</v>
      </c>
      <c r="Q45" s="445">
        <v>26</v>
      </c>
      <c r="R45" s="256">
        <f t="shared" si="22"/>
        <v>331</v>
      </c>
      <c r="S45" s="359">
        <f t="shared" si="18"/>
        <v>27.583333333333332</v>
      </c>
      <c r="T45" s="360">
        <f t="shared" si="19"/>
        <v>29.691842900302117</v>
      </c>
      <c r="U45" s="461">
        <f t="shared" si="17"/>
        <v>819</v>
      </c>
      <c r="V45" s="112" t="s">
        <v>306</v>
      </c>
      <c r="W45" s="252" t="s">
        <v>94</v>
      </c>
      <c r="X45" s="104"/>
      <c r="Y45" s="104"/>
      <c r="Z45" s="265">
        <v>44068</v>
      </c>
      <c r="AA45" s="268" t="s">
        <v>402</v>
      </c>
      <c r="AB45" s="265" t="s">
        <v>414</v>
      </c>
      <c r="AC45" s="269">
        <v>112</v>
      </c>
      <c r="AD45" s="265" t="s">
        <v>378</v>
      </c>
      <c r="AE45" s="104"/>
      <c r="AF45" s="104"/>
      <c r="AG45" s="104"/>
      <c r="AH45" s="104"/>
      <c r="AI45" s="104"/>
      <c r="AJ45" s="104"/>
      <c r="AK45" s="104"/>
      <c r="AL45" s="104"/>
      <c r="AM45" s="104"/>
    </row>
    <row r="46" spans="1:39" ht="15" customHeight="1" x14ac:dyDescent="0.2">
      <c r="A46" s="252">
        <v>22384</v>
      </c>
      <c r="B46" s="112">
        <v>2018</v>
      </c>
      <c r="C46" s="252" t="s">
        <v>26</v>
      </c>
      <c r="D46" s="257"/>
      <c r="E46" s="445">
        <v>345</v>
      </c>
      <c r="F46" s="445">
        <v>10</v>
      </c>
      <c r="G46" s="445">
        <v>6</v>
      </c>
      <c r="H46" s="445">
        <v>3</v>
      </c>
      <c r="I46" s="445">
        <v>24</v>
      </c>
      <c r="J46" s="445">
        <v>0</v>
      </c>
      <c r="K46" s="445">
        <v>1</v>
      </c>
      <c r="L46" s="445">
        <v>12</v>
      </c>
      <c r="M46" s="445">
        <v>16</v>
      </c>
      <c r="N46" s="445">
        <v>15</v>
      </c>
      <c r="O46" s="445">
        <v>30</v>
      </c>
      <c r="P46" s="445">
        <v>53</v>
      </c>
      <c r="Q46" s="445">
        <v>26</v>
      </c>
      <c r="R46" s="256">
        <f t="shared" ref="R46:R47" si="27">SUM(F46:Q46)</f>
        <v>196</v>
      </c>
      <c r="S46" s="359">
        <f t="shared" si="18"/>
        <v>16.333333333333332</v>
      </c>
      <c r="T46" s="360">
        <f t="shared" si="19"/>
        <v>9.1224489795918373</v>
      </c>
      <c r="U46" s="461">
        <f t="shared" si="17"/>
        <v>149</v>
      </c>
      <c r="V46" s="112">
        <v>2018</v>
      </c>
      <c r="W46" s="252" t="str">
        <f>+C46</f>
        <v>Merlot</v>
      </c>
      <c r="X46" s="104"/>
      <c r="Y46" s="104"/>
      <c r="Z46" s="265">
        <v>44089</v>
      </c>
      <c r="AA46" s="268" t="s">
        <v>415</v>
      </c>
      <c r="AB46" s="265" t="s">
        <v>416</v>
      </c>
      <c r="AC46" s="269">
        <v>330</v>
      </c>
      <c r="AD46" s="265" t="s">
        <v>104</v>
      </c>
      <c r="AE46" s="104"/>
      <c r="AF46" s="104"/>
      <c r="AG46" s="104"/>
      <c r="AH46" s="104"/>
      <c r="AI46" s="104"/>
      <c r="AJ46" s="104"/>
      <c r="AK46" s="104"/>
      <c r="AL46" s="104"/>
      <c r="AM46" s="104"/>
    </row>
    <row r="47" spans="1:39" ht="15" customHeight="1" x14ac:dyDescent="0.2">
      <c r="A47" s="252">
        <v>14826</v>
      </c>
      <c r="B47" s="116" t="s">
        <v>133</v>
      </c>
      <c r="C47" s="252" t="s">
        <v>417</v>
      </c>
      <c r="D47" s="270"/>
      <c r="E47" s="445">
        <v>132</v>
      </c>
      <c r="F47" s="445">
        <v>9</v>
      </c>
      <c r="G47" s="445">
        <v>60</v>
      </c>
      <c r="H47" s="445">
        <v>12</v>
      </c>
      <c r="I47" s="445">
        <v>3</v>
      </c>
      <c r="J47" s="445">
        <v>33</v>
      </c>
      <c r="K47" s="445">
        <v>0</v>
      </c>
      <c r="L47" s="445">
        <v>5</v>
      </c>
      <c r="M47" s="445">
        <v>7</v>
      </c>
      <c r="N47" s="445">
        <v>3</v>
      </c>
      <c r="O47" s="445">
        <v>0</v>
      </c>
      <c r="P47" s="445">
        <v>0</v>
      </c>
      <c r="Q47" s="445">
        <v>0</v>
      </c>
      <c r="R47" s="255">
        <f t="shared" si="27"/>
        <v>132</v>
      </c>
      <c r="S47" s="367">
        <f t="shared" si="18"/>
        <v>11</v>
      </c>
      <c r="T47" s="360">
        <f t="shared" si="19"/>
        <v>0</v>
      </c>
      <c r="U47" s="461">
        <f t="shared" si="17"/>
        <v>0</v>
      </c>
      <c r="V47" s="116" t="s">
        <v>133</v>
      </c>
      <c r="W47" s="252" t="s">
        <v>325</v>
      </c>
      <c r="X47" s="104"/>
      <c r="Y47" s="104"/>
      <c r="Z47" s="265">
        <v>44089</v>
      </c>
      <c r="AA47" s="268" t="s">
        <v>415</v>
      </c>
      <c r="AB47" s="265" t="s">
        <v>418</v>
      </c>
      <c r="AC47" s="269">
        <v>90</v>
      </c>
      <c r="AD47" s="265" t="s">
        <v>104</v>
      </c>
      <c r="AE47" s="104"/>
      <c r="AF47" s="104"/>
      <c r="AG47" s="104"/>
      <c r="AH47" s="104"/>
      <c r="AI47" s="104"/>
      <c r="AJ47" s="104"/>
      <c r="AK47" s="104"/>
      <c r="AL47" s="104"/>
      <c r="AM47" s="104"/>
    </row>
    <row r="48" spans="1:39" ht="15" customHeight="1" x14ac:dyDescent="0.2">
      <c r="A48" s="252"/>
      <c r="B48" s="112"/>
      <c r="C48" s="252"/>
      <c r="D48" s="270"/>
      <c r="E48" s="445"/>
      <c r="F48" s="445"/>
      <c r="G48" s="445"/>
      <c r="H48" s="445"/>
      <c r="I48" s="445"/>
      <c r="J48" s="445"/>
      <c r="K48" s="445"/>
      <c r="L48" s="445"/>
      <c r="M48" s="445"/>
      <c r="N48" s="445"/>
      <c r="O48" s="445"/>
      <c r="P48" s="445"/>
      <c r="Q48" s="445"/>
      <c r="R48" s="255"/>
      <c r="S48" s="367"/>
      <c r="T48" s="360"/>
      <c r="U48" s="461"/>
      <c r="V48" s="112"/>
      <c r="W48" s="252"/>
      <c r="X48" s="104"/>
      <c r="Y48" s="104"/>
      <c r="Z48" s="265">
        <v>44091</v>
      </c>
      <c r="AA48" s="268" t="s">
        <v>415</v>
      </c>
      <c r="AB48" s="265" t="s">
        <v>419</v>
      </c>
      <c r="AC48" s="269">
        <v>130</v>
      </c>
      <c r="AD48" s="265" t="s">
        <v>104</v>
      </c>
      <c r="AE48" s="104"/>
      <c r="AF48" s="104"/>
      <c r="AG48" s="104"/>
      <c r="AH48" s="104"/>
      <c r="AI48" s="104"/>
      <c r="AJ48" s="104"/>
      <c r="AK48" s="104"/>
      <c r="AL48" s="104"/>
      <c r="AM48" s="104"/>
    </row>
    <row r="49" spans="1:39" x14ac:dyDescent="0.2">
      <c r="A49" s="249"/>
      <c r="B49" s="165"/>
      <c r="C49" s="249"/>
      <c r="D49" s="271"/>
      <c r="E49" s="356"/>
      <c r="F49" s="356"/>
      <c r="G49" s="356"/>
      <c r="H49" s="356"/>
      <c r="I49" s="356"/>
      <c r="J49" s="356"/>
      <c r="K49" s="356"/>
      <c r="L49" s="356"/>
      <c r="M49" s="356"/>
      <c r="N49" s="356"/>
      <c r="O49" s="356"/>
      <c r="P49" s="356"/>
      <c r="Q49" s="356"/>
      <c r="R49" s="251"/>
      <c r="S49" s="357"/>
      <c r="T49" s="358"/>
      <c r="U49" s="462"/>
      <c r="V49" s="165"/>
      <c r="W49" s="249"/>
      <c r="X49" s="104"/>
      <c r="Y49" s="104"/>
      <c r="Z49" s="265">
        <v>44091</v>
      </c>
      <c r="AA49" s="268" t="s">
        <v>415</v>
      </c>
      <c r="AB49" s="265" t="s">
        <v>420</v>
      </c>
      <c r="AC49" s="269">
        <v>175</v>
      </c>
      <c r="AD49" s="265" t="s">
        <v>104</v>
      </c>
      <c r="AE49" s="104"/>
      <c r="AF49" s="104"/>
      <c r="AG49" s="104"/>
      <c r="AH49" s="104"/>
      <c r="AI49" s="104"/>
      <c r="AJ49" s="104"/>
      <c r="AK49" s="104"/>
      <c r="AL49" s="104"/>
      <c r="AM49" s="104"/>
    </row>
    <row r="50" spans="1:39" ht="15.75" customHeight="1" x14ac:dyDescent="0.2">
      <c r="A50" s="252">
        <v>152192</v>
      </c>
      <c r="B50" s="116" t="s">
        <v>133</v>
      </c>
      <c r="C50" s="252" t="s">
        <v>328</v>
      </c>
      <c r="D50" s="270" t="s">
        <v>35</v>
      </c>
      <c r="E50" s="445">
        <v>1545</v>
      </c>
      <c r="F50" s="445">
        <v>0</v>
      </c>
      <c r="G50" s="445">
        <v>0</v>
      </c>
      <c r="H50" s="445">
        <v>226</v>
      </c>
      <c r="I50" s="445">
        <v>92</v>
      </c>
      <c r="J50" s="445">
        <v>32</v>
      </c>
      <c r="K50" s="445">
        <v>26</v>
      </c>
      <c r="L50" s="445">
        <v>65</v>
      </c>
      <c r="M50" s="445">
        <v>210</v>
      </c>
      <c r="N50" s="445">
        <v>67</v>
      </c>
      <c r="O50" s="445">
        <v>22</v>
      </c>
      <c r="P50" s="445">
        <v>32</v>
      </c>
      <c r="Q50" s="445">
        <v>27</v>
      </c>
      <c r="R50" s="256">
        <f t="shared" ref="R50:R61" si="28">SUM(F50:Q50)</f>
        <v>799</v>
      </c>
      <c r="S50" s="359">
        <f t="shared" ref="S50:S61" si="29">IFERROR((AVERAGE(F50:Q50)),0)</f>
        <v>66.583333333333329</v>
      </c>
      <c r="T50" s="360">
        <f t="shared" ref="T50:T61" si="30">IFERROR((U50/S50),0)</f>
        <v>11.204005006257823</v>
      </c>
      <c r="U50" s="461">
        <f t="shared" ref="U50:U61" si="31">SUM(E50-R50)</f>
        <v>746</v>
      </c>
      <c r="V50" s="112">
        <v>2019</v>
      </c>
      <c r="W50" s="252" t="s">
        <v>328</v>
      </c>
      <c r="X50" s="104"/>
      <c r="Y50" s="104"/>
      <c r="Z50" s="265">
        <v>44103</v>
      </c>
      <c r="AA50" s="268" t="s">
        <v>415</v>
      </c>
      <c r="AB50" s="265" t="s">
        <v>421</v>
      </c>
      <c r="AC50" s="269">
        <v>260</v>
      </c>
      <c r="AD50" s="265" t="s">
        <v>104</v>
      </c>
      <c r="AE50" s="104"/>
      <c r="AF50" s="104"/>
      <c r="AG50" s="104"/>
      <c r="AH50" s="104"/>
      <c r="AI50" s="104"/>
      <c r="AJ50" s="104"/>
      <c r="AK50" s="104"/>
      <c r="AL50" s="104"/>
      <c r="AM50" s="104"/>
    </row>
    <row r="51" spans="1:39" ht="15.75" customHeight="1" x14ac:dyDescent="0.2">
      <c r="A51" s="252">
        <v>11198</v>
      </c>
      <c r="B51" s="112">
        <v>2019</v>
      </c>
      <c r="C51" s="252" t="s">
        <v>46</v>
      </c>
      <c r="D51" s="270">
        <v>26</v>
      </c>
      <c r="E51" s="445">
        <v>189</v>
      </c>
      <c r="F51" s="445"/>
      <c r="G51" s="445"/>
      <c r="H51" s="445" t="s">
        <v>35</v>
      </c>
      <c r="I51" s="445">
        <v>6</v>
      </c>
      <c r="J51" s="445">
        <v>0</v>
      </c>
      <c r="K51" s="445">
        <v>3</v>
      </c>
      <c r="L51" s="445">
        <v>0</v>
      </c>
      <c r="M51" s="445">
        <v>0</v>
      </c>
      <c r="N51" s="445">
        <v>7</v>
      </c>
      <c r="O51" s="445">
        <v>2</v>
      </c>
      <c r="P51" s="445">
        <v>0</v>
      </c>
      <c r="Q51" s="445">
        <v>11</v>
      </c>
      <c r="R51" s="256">
        <f t="shared" si="28"/>
        <v>29</v>
      </c>
      <c r="S51" s="359">
        <f t="shared" si="29"/>
        <v>3.2222222222222223</v>
      </c>
      <c r="T51" s="360">
        <f t="shared" si="30"/>
        <v>49.655172413793103</v>
      </c>
      <c r="U51" s="461">
        <f t="shared" si="31"/>
        <v>160</v>
      </c>
      <c r="V51" s="112">
        <v>2019</v>
      </c>
      <c r="W51" s="252" t="s">
        <v>46</v>
      </c>
      <c r="X51" s="104"/>
      <c r="Y51" s="104"/>
      <c r="Z51" s="265">
        <v>44103</v>
      </c>
      <c r="AA51" s="268" t="s">
        <v>415</v>
      </c>
      <c r="AB51" s="265" t="s">
        <v>422</v>
      </c>
      <c r="AC51" s="269">
        <v>190</v>
      </c>
      <c r="AD51" s="265" t="s">
        <v>104</v>
      </c>
      <c r="AE51" s="104"/>
      <c r="AF51" s="104"/>
      <c r="AG51" s="104"/>
      <c r="AH51" s="104"/>
      <c r="AI51" s="104"/>
      <c r="AJ51" s="104"/>
      <c r="AK51" s="104"/>
      <c r="AL51" s="104"/>
      <c r="AM51" s="104"/>
    </row>
    <row r="52" spans="1:39" ht="15.75" customHeight="1" x14ac:dyDescent="0.2">
      <c r="A52" s="252">
        <v>151516</v>
      </c>
      <c r="B52" s="112">
        <v>2019</v>
      </c>
      <c r="C52" s="252" t="s">
        <v>330</v>
      </c>
      <c r="D52" s="190">
        <v>19</v>
      </c>
      <c r="E52" s="445">
        <v>491</v>
      </c>
      <c r="F52" s="445"/>
      <c r="G52" s="445"/>
      <c r="H52" s="445"/>
      <c r="I52" s="445">
        <v>2</v>
      </c>
      <c r="J52" s="445">
        <v>9</v>
      </c>
      <c r="K52" s="445">
        <v>34</v>
      </c>
      <c r="L52" s="445">
        <v>17</v>
      </c>
      <c r="M52" s="445">
        <v>23</v>
      </c>
      <c r="N52" s="445">
        <v>24</v>
      </c>
      <c r="O52" s="445">
        <v>13</v>
      </c>
      <c r="P52" s="445">
        <v>15</v>
      </c>
      <c r="Q52" s="445">
        <v>12</v>
      </c>
      <c r="R52" s="256">
        <f t="shared" si="28"/>
        <v>149</v>
      </c>
      <c r="S52" s="359">
        <f t="shared" si="29"/>
        <v>16.555555555555557</v>
      </c>
      <c r="T52" s="360">
        <f t="shared" si="30"/>
        <v>20.657718120805367</v>
      </c>
      <c r="U52" s="461">
        <f t="shared" si="31"/>
        <v>342</v>
      </c>
      <c r="V52" s="112">
        <v>2019</v>
      </c>
      <c r="W52" s="252" t="s">
        <v>330</v>
      </c>
      <c r="X52" s="104"/>
      <c r="Y52" s="104"/>
      <c r="Z52" s="265">
        <v>44103</v>
      </c>
      <c r="AA52" s="268" t="s">
        <v>415</v>
      </c>
      <c r="AB52" s="265" t="s">
        <v>423</v>
      </c>
      <c r="AC52" s="269">
        <v>150</v>
      </c>
      <c r="AD52" s="265" t="s">
        <v>104</v>
      </c>
      <c r="AE52" s="104"/>
      <c r="AF52" s="104"/>
      <c r="AG52" s="104"/>
      <c r="AH52" s="104"/>
      <c r="AI52" s="104"/>
      <c r="AJ52" s="104"/>
      <c r="AK52" s="104"/>
      <c r="AL52" s="104"/>
      <c r="AM52" s="104"/>
    </row>
    <row r="53" spans="1:39" ht="15.75" customHeight="1" x14ac:dyDescent="0.2">
      <c r="A53" s="252">
        <v>57632</v>
      </c>
      <c r="B53" s="112">
        <v>2019</v>
      </c>
      <c r="C53" s="252" t="s">
        <v>31</v>
      </c>
      <c r="D53" s="191">
        <v>36</v>
      </c>
      <c r="E53" s="445">
        <v>502</v>
      </c>
      <c r="F53" s="445"/>
      <c r="G53" s="445"/>
      <c r="H53" s="445"/>
      <c r="I53" s="445"/>
      <c r="J53" s="445"/>
      <c r="K53" s="445">
        <v>1</v>
      </c>
      <c r="L53" s="445">
        <v>2</v>
      </c>
      <c r="M53" s="445">
        <v>3</v>
      </c>
      <c r="N53" s="445">
        <v>8</v>
      </c>
      <c r="O53" s="445">
        <v>3</v>
      </c>
      <c r="P53" s="445">
        <v>0</v>
      </c>
      <c r="Q53" s="445">
        <v>1</v>
      </c>
      <c r="R53" s="256">
        <f t="shared" si="28"/>
        <v>18</v>
      </c>
      <c r="S53" s="359">
        <f t="shared" si="29"/>
        <v>2.5714285714285716</v>
      </c>
      <c r="T53" s="360">
        <f t="shared" si="30"/>
        <v>188.2222222222222</v>
      </c>
      <c r="U53" s="461">
        <f t="shared" si="31"/>
        <v>484</v>
      </c>
      <c r="V53" s="112">
        <v>2019</v>
      </c>
      <c r="W53" s="252" t="s">
        <v>31</v>
      </c>
      <c r="X53" s="104"/>
      <c r="Y53" s="104"/>
      <c r="Z53" s="265">
        <v>44116</v>
      </c>
      <c r="AA53" s="268" t="s">
        <v>415</v>
      </c>
      <c r="AB53" s="265" t="s">
        <v>424</v>
      </c>
      <c r="AC53" s="269">
        <v>240</v>
      </c>
      <c r="AD53" s="265" t="s">
        <v>104</v>
      </c>
      <c r="AE53" s="104"/>
      <c r="AF53" s="104"/>
      <c r="AG53" s="104"/>
      <c r="AH53" s="104"/>
      <c r="AI53" s="104"/>
      <c r="AJ53" s="104"/>
      <c r="AK53" s="104"/>
      <c r="AL53" s="104"/>
      <c r="AM53" s="104"/>
    </row>
    <row r="54" spans="1:39" ht="15.75" customHeight="1" x14ac:dyDescent="0.2">
      <c r="A54" s="252">
        <v>57630</v>
      </c>
      <c r="B54" s="112">
        <v>2019</v>
      </c>
      <c r="C54" s="252" t="s">
        <v>25</v>
      </c>
      <c r="D54" s="270">
        <v>30</v>
      </c>
      <c r="E54" s="445">
        <v>400</v>
      </c>
      <c r="F54" s="446"/>
      <c r="G54" s="446"/>
      <c r="H54" s="446"/>
      <c r="I54" s="446"/>
      <c r="J54" s="446"/>
      <c r="K54" s="446"/>
      <c r="L54" s="446" t="s">
        <v>35</v>
      </c>
      <c r="M54" s="446" t="s">
        <v>35</v>
      </c>
      <c r="N54" s="446" t="s">
        <v>35</v>
      </c>
      <c r="O54" s="446" t="s">
        <v>35</v>
      </c>
      <c r="P54" s="446" t="s">
        <v>35</v>
      </c>
      <c r="Q54" s="446">
        <v>12</v>
      </c>
      <c r="R54" s="256">
        <f t="shared" si="28"/>
        <v>12</v>
      </c>
      <c r="S54" s="359">
        <f t="shared" si="29"/>
        <v>12</v>
      </c>
      <c r="T54" s="360">
        <f t="shared" si="30"/>
        <v>32.333333333333336</v>
      </c>
      <c r="U54" s="461">
        <f t="shared" si="31"/>
        <v>388</v>
      </c>
      <c r="V54" s="112">
        <v>2019</v>
      </c>
      <c r="W54" s="252" t="s">
        <v>25</v>
      </c>
      <c r="X54" s="104"/>
      <c r="Y54" s="104"/>
      <c r="Z54" s="265">
        <v>44116</v>
      </c>
      <c r="AA54" s="268" t="s">
        <v>415</v>
      </c>
      <c r="AB54" s="265" t="s">
        <v>425</v>
      </c>
      <c r="AC54" s="269">
        <v>120</v>
      </c>
      <c r="AD54" s="265" t="s">
        <v>104</v>
      </c>
      <c r="AE54" s="104"/>
      <c r="AF54" s="104"/>
      <c r="AG54" s="104"/>
      <c r="AH54" s="104"/>
      <c r="AI54" s="104"/>
      <c r="AJ54" s="104"/>
      <c r="AK54" s="104"/>
      <c r="AL54" s="104"/>
      <c r="AM54" s="104"/>
    </row>
    <row r="55" spans="1:39" ht="15.75" customHeight="1" x14ac:dyDescent="0.2">
      <c r="A55" s="252">
        <v>22384</v>
      </c>
      <c r="B55" s="112">
        <v>2019</v>
      </c>
      <c r="C55" s="252" t="s">
        <v>26</v>
      </c>
      <c r="D55" s="191">
        <v>0</v>
      </c>
      <c r="E55" s="445">
        <v>227</v>
      </c>
      <c r="F55" s="446"/>
      <c r="G55" s="446"/>
      <c r="H55" s="446" t="s">
        <v>35</v>
      </c>
      <c r="I55" s="446" t="s">
        <v>35</v>
      </c>
      <c r="J55" s="446" t="s">
        <v>35</v>
      </c>
      <c r="K55" s="446" t="s">
        <v>35</v>
      </c>
      <c r="L55" s="446" t="s">
        <v>35</v>
      </c>
      <c r="M55" s="446" t="s">
        <v>35</v>
      </c>
      <c r="N55" s="446" t="s">
        <v>35</v>
      </c>
      <c r="O55" s="446" t="s">
        <v>35</v>
      </c>
      <c r="P55" s="446" t="s">
        <v>35</v>
      </c>
      <c r="Q55" s="446">
        <v>0</v>
      </c>
      <c r="R55" s="256">
        <f t="shared" si="28"/>
        <v>0</v>
      </c>
      <c r="S55" s="359">
        <f t="shared" si="29"/>
        <v>0</v>
      </c>
      <c r="T55" s="360">
        <f t="shared" si="30"/>
        <v>0</v>
      </c>
      <c r="U55" s="461">
        <f t="shared" si="31"/>
        <v>227</v>
      </c>
      <c r="V55" s="112">
        <v>2019</v>
      </c>
      <c r="W55" s="252" t="s">
        <v>26</v>
      </c>
      <c r="X55" s="104"/>
      <c r="Y55" s="104"/>
      <c r="Z55" s="265">
        <v>44116</v>
      </c>
      <c r="AA55" s="268" t="s">
        <v>415</v>
      </c>
      <c r="AB55" s="265" t="s">
        <v>426</v>
      </c>
      <c r="AC55" s="269">
        <v>110</v>
      </c>
      <c r="AD55" s="265" t="s">
        <v>104</v>
      </c>
      <c r="AE55" s="104"/>
      <c r="AF55" s="104"/>
      <c r="AG55" s="104"/>
      <c r="AH55" s="104"/>
      <c r="AI55" s="104"/>
      <c r="AJ55" s="104"/>
      <c r="AK55" s="104"/>
      <c r="AL55" s="104"/>
      <c r="AM55" s="104"/>
    </row>
    <row r="56" spans="1:39" ht="15.75" customHeight="1" x14ac:dyDescent="0.2">
      <c r="A56" s="252">
        <v>133688</v>
      </c>
      <c r="B56" s="112">
        <v>2019</v>
      </c>
      <c r="C56" s="252" t="s">
        <v>23</v>
      </c>
      <c r="D56" s="257">
        <v>39</v>
      </c>
      <c r="E56" s="445">
        <v>676</v>
      </c>
      <c r="F56" s="446"/>
      <c r="G56" s="446"/>
      <c r="H56" s="446"/>
      <c r="I56" s="446"/>
      <c r="J56" s="446"/>
      <c r="K56" s="446"/>
      <c r="L56" s="446" t="s">
        <v>35</v>
      </c>
      <c r="M56" s="446" t="s">
        <v>35</v>
      </c>
      <c r="N56" s="446" t="s">
        <v>35</v>
      </c>
      <c r="O56" s="446" t="s">
        <v>35</v>
      </c>
      <c r="P56" s="446" t="s">
        <v>35</v>
      </c>
      <c r="Q56" s="446">
        <v>19</v>
      </c>
      <c r="R56" s="256">
        <f t="shared" si="28"/>
        <v>19</v>
      </c>
      <c r="S56" s="359">
        <f t="shared" si="29"/>
        <v>19</v>
      </c>
      <c r="T56" s="360">
        <f t="shared" si="30"/>
        <v>34.578947368421055</v>
      </c>
      <c r="U56" s="461">
        <f t="shared" si="31"/>
        <v>657</v>
      </c>
      <c r="V56" s="112">
        <v>2019</v>
      </c>
      <c r="W56" s="252" t="s">
        <v>23</v>
      </c>
      <c r="X56" s="104"/>
      <c r="Y56" s="104"/>
      <c r="Z56" s="265">
        <v>44116</v>
      </c>
      <c r="AA56" s="268" t="s">
        <v>415</v>
      </c>
      <c r="AB56" s="265" t="s">
        <v>418</v>
      </c>
      <c r="AC56" s="269">
        <v>160</v>
      </c>
      <c r="AD56" s="265" t="s">
        <v>104</v>
      </c>
      <c r="AE56" s="104"/>
      <c r="AF56" s="104"/>
      <c r="AG56" s="104"/>
      <c r="AH56" s="104"/>
      <c r="AI56" s="104"/>
      <c r="AJ56" s="104"/>
      <c r="AK56" s="104"/>
      <c r="AL56" s="104"/>
      <c r="AM56" s="104"/>
    </row>
    <row r="57" spans="1:39" ht="15.75" customHeight="1" x14ac:dyDescent="0.2">
      <c r="A57" s="252">
        <v>133687</v>
      </c>
      <c r="B57" s="112">
        <v>2019</v>
      </c>
      <c r="C57" s="252" t="s">
        <v>93</v>
      </c>
      <c r="D57" s="257" t="s">
        <v>35</v>
      </c>
      <c r="E57" s="445">
        <v>298</v>
      </c>
      <c r="F57" s="446"/>
      <c r="G57" s="446"/>
      <c r="H57" s="446"/>
      <c r="I57" s="446"/>
      <c r="J57" s="446"/>
      <c r="K57" s="446"/>
      <c r="L57" s="446"/>
      <c r="M57" s="446"/>
      <c r="N57" s="446"/>
      <c r="O57" s="446"/>
      <c r="P57" s="446"/>
      <c r="Q57" s="446">
        <v>0</v>
      </c>
      <c r="R57" s="256"/>
      <c r="S57" s="359"/>
      <c r="T57" s="360"/>
      <c r="U57" s="461">
        <f>SUM(E57-R57)</f>
        <v>298</v>
      </c>
      <c r="V57" s="112">
        <v>2019</v>
      </c>
      <c r="W57" s="252" t="s">
        <v>427</v>
      </c>
      <c r="X57" s="104"/>
      <c r="Y57" s="104"/>
      <c r="Z57" s="265">
        <v>44134</v>
      </c>
      <c r="AA57" s="268" t="s">
        <v>415</v>
      </c>
      <c r="AB57" s="265" t="s">
        <v>425</v>
      </c>
      <c r="AC57" s="269">
        <v>330</v>
      </c>
      <c r="AD57" s="265" t="s">
        <v>104</v>
      </c>
      <c r="AE57" s="104"/>
      <c r="AF57" s="104"/>
      <c r="AG57" s="104"/>
      <c r="AH57" s="104"/>
      <c r="AI57" s="104"/>
      <c r="AJ57" s="104"/>
      <c r="AK57" s="104"/>
      <c r="AL57" s="104"/>
      <c r="AM57" s="104"/>
    </row>
    <row r="58" spans="1:39" ht="15.75" customHeight="1" x14ac:dyDescent="0.2">
      <c r="A58" s="252">
        <v>27736</v>
      </c>
      <c r="B58" s="112">
        <v>2019</v>
      </c>
      <c r="C58" s="252" t="s">
        <v>70</v>
      </c>
      <c r="D58" s="257">
        <v>29</v>
      </c>
      <c r="E58" s="445">
        <v>391</v>
      </c>
      <c r="F58" s="446"/>
      <c r="G58" s="446"/>
      <c r="H58" s="446"/>
      <c r="I58" s="446"/>
      <c r="J58" s="446"/>
      <c r="K58" s="446"/>
      <c r="L58" s="446"/>
      <c r="M58" s="446"/>
      <c r="N58" s="446"/>
      <c r="O58" s="446"/>
      <c r="P58" s="446"/>
      <c r="Q58" s="446"/>
      <c r="R58" s="256">
        <f t="shared" si="28"/>
        <v>0</v>
      </c>
      <c r="S58" s="359">
        <f t="shared" si="29"/>
        <v>0</v>
      </c>
      <c r="T58" s="360">
        <f t="shared" si="30"/>
        <v>0</v>
      </c>
      <c r="U58" s="461">
        <f t="shared" si="31"/>
        <v>391</v>
      </c>
      <c r="V58" s="112">
        <v>2019</v>
      </c>
      <c r="W58" s="252" t="s">
        <v>70</v>
      </c>
      <c r="X58" s="104"/>
      <c r="Y58" s="104"/>
      <c r="Z58" s="265">
        <v>44134</v>
      </c>
      <c r="AA58" s="268" t="s">
        <v>415</v>
      </c>
      <c r="AB58" s="265" t="s">
        <v>428</v>
      </c>
      <c r="AC58" s="269">
        <v>150</v>
      </c>
      <c r="AD58" s="265" t="s">
        <v>104</v>
      </c>
      <c r="AE58" s="104"/>
      <c r="AF58" s="104"/>
      <c r="AG58" s="104"/>
      <c r="AH58" s="104"/>
      <c r="AI58" s="104"/>
      <c r="AJ58" s="104"/>
      <c r="AK58" s="104"/>
      <c r="AL58" s="104"/>
      <c r="AM58" s="104"/>
    </row>
    <row r="59" spans="1:39" ht="15.75" customHeight="1" x14ac:dyDescent="0.2">
      <c r="A59" s="252">
        <v>135371</v>
      </c>
      <c r="B59" s="112">
        <v>2019</v>
      </c>
      <c r="C59" s="252" t="s">
        <v>307</v>
      </c>
      <c r="D59" s="254">
        <v>0</v>
      </c>
      <c r="E59" s="445">
        <v>116</v>
      </c>
      <c r="F59" s="446"/>
      <c r="G59" s="446"/>
      <c r="H59" s="446"/>
      <c r="I59" s="446"/>
      <c r="J59" s="446"/>
      <c r="K59" s="446"/>
      <c r="L59" s="446"/>
      <c r="M59" s="446"/>
      <c r="N59" s="446"/>
      <c r="O59" s="446"/>
      <c r="P59" s="446"/>
      <c r="Q59" s="446">
        <v>23</v>
      </c>
      <c r="R59" s="256">
        <f t="shared" si="28"/>
        <v>23</v>
      </c>
      <c r="S59" s="359">
        <f t="shared" si="29"/>
        <v>23</v>
      </c>
      <c r="T59" s="360">
        <f t="shared" si="30"/>
        <v>4.0434782608695654</v>
      </c>
      <c r="U59" s="461">
        <f t="shared" si="31"/>
        <v>93</v>
      </c>
      <c r="V59" s="112">
        <v>2019</v>
      </c>
      <c r="W59" s="252" t="s">
        <v>307</v>
      </c>
      <c r="X59" s="104"/>
      <c r="Y59" s="104"/>
      <c r="Z59" s="265">
        <v>44134</v>
      </c>
      <c r="AA59" s="268" t="s">
        <v>402</v>
      </c>
      <c r="AB59" s="265" t="s">
        <v>429</v>
      </c>
      <c r="AC59" s="269">
        <v>275</v>
      </c>
      <c r="AD59" s="265" t="s">
        <v>104</v>
      </c>
      <c r="AE59" s="104"/>
      <c r="AF59" s="104"/>
      <c r="AG59" s="104"/>
      <c r="AH59" s="104"/>
      <c r="AI59" s="104"/>
      <c r="AJ59" s="104"/>
      <c r="AK59" s="104"/>
      <c r="AL59" s="104"/>
      <c r="AM59" s="104"/>
    </row>
    <row r="60" spans="1:39" ht="15.75" customHeight="1" x14ac:dyDescent="0.2">
      <c r="A60" s="252">
        <v>22921</v>
      </c>
      <c r="B60" s="112">
        <v>2019</v>
      </c>
      <c r="C60" s="252" t="s">
        <v>278</v>
      </c>
      <c r="D60" s="257">
        <v>54</v>
      </c>
      <c r="E60" s="445">
        <v>566</v>
      </c>
      <c r="F60" s="446"/>
      <c r="G60" s="446"/>
      <c r="H60" s="446"/>
      <c r="I60" s="446"/>
      <c r="J60" s="446"/>
      <c r="K60" s="446"/>
      <c r="L60" s="446"/>
      <c r="M60" s="446"/>
      <c r="N60" s="446"/>
      <c r="O60" s="446"/>
      <c r="P60" s="446"/>
      <c r="Q60" s="446">
        <v>6</v>
      </c>
      <c r="R60" s="256">
        <f t="shared" si="28"/>
        <v>6</v>
      </c>
      <c r="S60" s="359">
        <f t="shared" si="29"/>
        <v>6</v>
      </c>
      <c r="T60" s="360">
        <f t="shared" si="30"/>
        <v>93.333333333333329</v>
      </c>
      <c r="U60" s="461">
        <f t="shared" si="31"/>
        <v>560</v>
      </c>
      <c r="V60" s="112">
        <v>2019</v>
      </c>
      <c r="W60" s="252" t="s">
        <v>278</v>
      </c>
      <c r="X60" s="104"/>
      <c r="Y60" s="104"/>
      <c r="Z60" s="265">
        <v>44138</v>
      </c>
      <c r="AA60" s="268" t="s">
        <v>415</v>
      </c>
      <c r="AB60" s="265" t="s">
        <v>430</v>
      </c>
      <c r="AC60" s="269">
        <v>330</v>
      </c>
      <c r="AD60" s="265" t="s">
        <v>104</v>
      </c>
      <c r="AE60" s="104"/>
      <c r="AF60" s="104"/>
      <c r="AG60" s="104"/>
      <c r="AH60" s="104"/>
      <c r="AI60" s="104"/>
      <c r="AJ60" s="104"/>
      <c r="AK60" s="104"/>
      <c r="AL60" s="104"/>
      <c r="AM60" s="104"/>
    </row>
    <row r="61" spans="1:39" ht="15.75" customHeight="1" x14ac:dyDescent="0.2">
      <c r="A61" s="252"/>
      <c r="B61" s="112" t="s">
        <v>338</v>
      </c>
      <c r="C61" s="252" t="s">
        <v>94</v>
      </c>
      <c r="D61" s="257">
        <v>0</v>
      </c>
      <c r="E61" s="445">
        <v>0</v>
      </c>
      <c r="F61" s="446"/>
      <c r="G61" s="446"/>
      <c r="H61" s="446"/>
      <c r="I61" s="446"/>
      <c r="J61" s="446"/>
      <c r="K61" s="446"/>
      <c r="L61" s="446"/>
      <c r="M61" s="446"/>
      <c r="N61" s="446"/>
      <c r="O61" s="446"/>
      <c r="P61" s="446"/>
      <c r="Q61" s="446"/>
      <c r="R61" s="256">
        <f t="shared" si="28"/>
        <v>0</v>
      </c>
      <c r="S61" s="359">
        <f t="shared" si="29"/>
        <v>0</v>
      </c>
      <c r="T61" s="360">
        <f t="shared" si="30"/>
        <v>0</v>
      </c>
      <c r="U61" s="461">
        <f t="shared" si="31"/>
        <v>0</v>
      </c>
      <c r="V61" s="112" t="s">
        <v>338</v>
      </c>
      <c r="W61" s="252" t="s">
        <v>94</v>
      </c>
      <c r="X61" s="104"/>
      <c r="Y61" s="104"/>
      <c r="Z61" s="265">
        <v>44138</v>
      </c>
      <c r="AA61" s="268" t="s">
        <v>415</v>
      </c>
      <c r="AB61" s="265" t="s">
        <v>431</v>
      </c>
      <c r="AC61" s="269">
        <v>330</v>
      </c>
      <c r="AD61" s="265" t="s">
        <v>104</v>
      </c>
      <c r="AE61" s="104"/>
      <c r="AF61" s="104"/>
      <c r="AG61" s="104"/>
      <c r="AH61" s="104"/>
      <c r="AI61" s="104"/>
      <c r="AJ61" s="104"/>
      <c r="AK61" s="104"/>
      <c r="AL61" s="104"/>
      <c r="AM61" s="104"/>
    </row>
    <row r="62" spans="1:39" ht="15.75" customHeight="1" x14ac:dyDescent="0.2">
      <c r="A62" s="252" t="s">
        <v>35</v>
      </c>
      <c r="B62" s="112">
        <v>2019</v>
      </c>
      <c r="C62" s="252" t="s">
        <v>432</v>
      </c>
      <c r="D62" s="257"/>
      <c r="E62" s="445">
        <v>120</v>
      </c>
      <c r="F62" s="445"/>
      <c r="G62" s="445"/>
      <c r="H62" s="445"/>
      <c r="I62" s="445"/>
      <c r="J62" s="445">
        <v>8</v>
      </c>
      <c r="K62" s="445">
        <v>12</v>
      </c>
      <c r="L62" s="445">
        <v>21</v>
      </c>
      <c r="M62" s="445">
        <v>60</v>
      </c>
      <c r="N62" s="445">
        <v>8</v>
      </c>
      <c r="O62" s="445">
        <v>3</v>
      </c>
      <c r="P62" s="445">
        <v>8</v>
      </c>
      <c r="Q62" s="445"/>
      <c r="R62" s="256">
        <f t="shared" ref="R62" si="32">SUM(F62:Q62)</f>
        <v>120</v>
      </c>
      <c r="S62" s="359">
        <f t="shared" ref="S62" si="33">IFERROR((AVERAGE(F62:Q62)),0)</f>
        <v>17.142857142857142</v>
      </c>
      <c r="T62" s="360">
        <f t="shared" ref="T62:T64" si="34">IFERROR((U62/S62),0)</f>
        <v>0</v>
      </c>
      <c r="U62" s="461">
        <f t="shared" ref="U62:U64" si="35">SUM(E62-R62)</f>
        <v>0</v>
      </c>
      <c r="V62" s="112" t="s">
        <v>35</v>
      </c>
      <c r="W62" s="252" t="str">
        <f>+C62</f>
        <v>Riesling - NO TAX TO PAY</v>
      </c>
      <c r="X62" s="104"/>
      <c r="Y62" s="104"/>
      <c r="Z62" s="265">
        <v>44147</v>
      </c>
      <c r="AA62" s="268" t="s">
        <v>415</v>
      </c>
      <c r="AB62" s="265" t="s">
        <v>426</v>
      </c>
      <c r="AC62" s="269">
        <v>275</v>
      </c>
      <c r="AD62" s="265" t="s">
        <v>104</v>
      </c>
      <c r="AE62" s="104"/>
      <c r="AF62" s="104"/>
      <c r="AG62" s="104"/>
      <c r="AH62" s="104"/>
      <c r="AI62" s="104"/>
      <c r="AJ62" s="104"/>
      <c r="AK62" s="104"/>
      <c r="AL62" s="104"/>
      <c r="AM62" s="104"/>
    </row>
    <row r="63" spans="1:39" ht="15.75" customHeight="1" x14ac:dyDescent="0.2">
      <c r="A63" s="252"/>
      <c r="B63" s="112"/>
      <c r="C63" s="252" t="s">
        <v>433</v>
      </c>
      <c r="D63" s="257" t="s">
        <v>35</v>
      </c>
      <c r="E63" s="445">
        <v>31</v>
      </c>
      <c r="F63" s="445"/>
      <c r="G63" s="445"/>
      <c r="H63" s="445"/>
      <c r="I63" s="445"/>
      <c r="J63" s="445"/>
      <c r="K63" s="445"/>
      <c r="L63" s="445"/>
      <c r="M63" s="445">
        <v>5</v>
      </c>
      <c r="N63" s="445">
        <v>7</v>
      </c>
      <c r="O63" s="445">
        <v>12</v>
      </c>
      <c r="P63" s="445">
        <v>7</v>
      </c>
      <c r="Q63" s="445"/>
      <c r="R63" s="256">
        <f t="shared" ref="R63:R64" si="36">SUM(F63:Q63)</f>
        <v>31</v>
      </c>
      <c r="S63" s="359">
        <f t="shared" ref="S63:S64" si="37">IFERROR((AVERAGE(F63:Q63)),0)</f>
        <v>7.75</v>
      </c>
      <c r="T63" s="360">
        <f t="shared" si="34"/>
        <v>0</v>
      </c>
      <c r="U63" s="461">
        <f t="shared" si="35"/>
        <v>0</v>
      </c>
      <c r="V63" s="112"/>
      <c r="W63" s="252" t="s">
        <v>434</v>
      </c>
      <c r="X63" s="104"/>
      <c r="Y63" s="104"/>
      <c r="Z63" s="265">
        <v>44147</v>
      </c>
      <c r="AA63" s="268" t="s">
        <v>415</v>
      </c>
      <c r="AB63" s="265" t="s">
        <v>435</v>
      </c>
      <c r="AC63" s="269">
        <v>275</v>
      </c>
      <c r="AD63" s="265" t="s">
        <v>104</v>
      </c>
      <c r="AE63" s="104"/>
      <c r="AF63" s="104"/>
      <c r="AG63" s="104"/>
      <c r="AH63" s="104"/>
      <c r="AI63" s="104"/>
      <c r="AJ63" s="104"/>
      <c r="AK63" s="104"/>
      <c r="AL63" s="104"/>
      <c r="AM63" s="104"/>
    </row>
    <row r="64" spans="1:39" ht="15.75" customHeight="1" x14ac:dyDescent="0.2">
      <c r="A64" s="252"/>
      <c r="B64" s="112"/>
      <c r="C64" s="252" t="s">
        <v>433</v>
      </c>
      <c r="D64" s="257"/>
      <c r="E64" s="445">
        <v>70</v>
      </c>
      <c r="F64" s="445"/>
      <c r="G64" s="445"/>
      <c r="H64" s="445"/>
      <c r="I64" s="445"/>
      <c r="J64" s="445"/>
      <c r="K64" s="445"/>
      <c r="L64" s="445"/>
      <c r="M64" s="445"/>
      <c r="N64" s="445"/>
      <c r="O64" s="445"/>
      <c r="P64" s="445">
        <v>14</v>
      </c>
      <c r="Q64" s="445">
        <v>8</v>
      </c>
      <c r="R64" s="256">
        <f t="shared" si="36"/>
        <v>22</v>
      </c>
      <c r="S64" s="359">
        <f t="shared" si="37"/>
        <v>11</v>
      </c>
      <c r="T64" s="360">
        <f t="shared" si="34"/>
        <v>4.3636363636363633</v>
      </c>
      <c r="U64" s="461">
        <f t="shared" si="35"/>
        <v>48</v>
      </c>
      <c r="V64" s="112"/>
      <c r="W64" s="252" t="s">
        <v>434</v>
      </c>
      <c r="X64" s="104"/>
      <c r="Y64" s="104"/>
      <c r="Z64" s="265">
        <v>44147</v>
      </c>
      <c r="AA64" s="268" t="s">
        <v>415</v>
      </c>
      <c r="AB64" s="265" t="s">
        <v>436</v>
      </c>
      <c r="AC64" s="269">
        <v>155</v>
      </c>
      <c r="AD64" s="265" t="s">
        <v>104</v>
      </c>
      <c r="AE64" s="104"/>
      <c r="AF64" s="104"/>
      <c r="AG64" s="104"/>
      <c r="AH64" s="104"/>
      <c r="AI64" s="104"/>
      <c r="AJ64" s="104"/>
      <c r="AK64" s="104"/>
      <c r="AL64" s="104"/>
      <c r="AM64" s="104"/>
    </row>
    <row r="65" spans="1:39" x14ac:dyDescent="0.2">
      <c r="A65" s="249"/>
      <c r="B65" s="165"/>
      <c r="C65" s="249"/>
      <c r="D65" s="249"/>
      <c r="E65" s="356"/>
      <c r="F65" s="356"/>
      <c r="G65" s="356"/>
      <c r="H65" s="356"/>
      <c r="I65" s="356"/>
      <c r="J65" s="356"/>
      <c r="K65" s="356"/>
      <c r="L65" s="356"/>
      <c r="M65" s="356"/>
      <c r="N65" s="356"/>
      <c r="O65" s="356"/>
      <c r="P65" s="356"/>
      <c r="Q65" s="356"/>
      <c r="R65" s="251"/>
      <c r="S65" s="357"/>
      <c r="T65" s="358"/>
      <c r="U65" s="462"/>
      <c r="V65" s="165"/>
      <c r="W65" s="249"/>
      <c r="X65" s="104"/>
      <c r="Y65" s="104"/>
      <c r="Z65" s="265">
        <v>44155</v>
      </c>
      <c r="AA65" s="268" t="s">
        <v>415</v>
      </c>
      <c r="AB65" s="265" t="s">
        <v>431</v>
      </c>
      <c r="AC65" s="269">
        <v>660</v>
      </c>
      <c r="AD65" s="265" t="s">
        <v>104</v>
      </c>
      <c r="AE65" s="104"/>
      <c r="AF65" s="104"/>
      <c r="AG65" s="104"/>
      <c r="AH65" s="104"/>
      <c r="AI65" s="104"/>
      <c r="AJ65" s="104"/>
      <c r="AK65" s="104"/>
      <c r="AL65" s="104"/>
      <c r="AM65" s="104"/>
    </row>
    <row r="66" spans="1:39" x14ac:dyDescent="0.2">
      <c r="A66" s="252"/>
      <c r="B66" s="112">
        <v>2014</v>
      </c>
      <c r="C66" s="252"/>
      <c r="D66" s="272"/>
      <c r="E66" s="359">
        <f t="shared" ref="E66:R66" si="38">SUM(E9:E9)</f>
        <v>15</v>
      </c>
      <c r="F66" s="359">
        <f t="shared" si="38"/>
        <v>7</v>
      </c>
      <c r="G66" s="359">
        <f t="shared" si="38"/>
        <v>8</v>
      </c>
      <c r="H66" s="359">
        <f t="shared" si="38"/>
        <v>0</v>
      </c>
      <c r="I66" s="359">
        <f t="shared" si="38"/>
        <v>0</v>
      </c>
      <c r="J66" s="359">
        <f t="shared" si="38"/>
        <v>0</v>
      </c>
      <c r="K66" s="359">
        <f t="shared" si="38"/>
        <v>0</v>
      </c>
      <c r="L66" s="359">
        <f t="shared" si="38"/>
        <v>0</v>
      </c>
      <c r="M66" s="359">
        <f t="shared" si="38"/>
        <v>0</v>
      </c>
      <c r="N66" s="359">
        <f t="shared" si="38"/>
        <v>0</v>
      </c>
      <c r="O66" s="359">
        <f t="shared" si="38"/>
        <v>0</v>
      </c>
      <c r="P66" s="359">
        <f t="shared" si="38"/>
        <v>0</v>
      </c>
      <c r="Q66" s="359">
        <f t="shared" si="38"/>
        <v>0</v>
      </c>
      <c r="R66" s="256">
        <f t="shared" si="38"/>
        <v>15</v>
      </c>
      <c r="S66" s="359">
        <f>AVERAGE(F66:Q66)</f>
        <v>1.25</v>
      </c>
      <c r="T66" s="360">
        <f>U66/S66</f>
        <v>0</v>
      </c>
      <c r="U66" s="461">
        <f>U8</f>
        <v>0</v>
      </c>
      <c r="V66" s="112">
        <v>2014</v>
      </c>
      <c r="W66" s="252"/>
      <c r="X66" s="104"/>
      <c r="Y66" s="104"/>
      <c r="Z66" s="265">
        <v>44155</v>
      </c>
      <c r="AA66" s="268" t="s">
        <v>415</v>
      </c>
      <c r="AB66" s="265" t="s">
        <v>437</v>
      </c>
      <c r="AC66" s="269">
        <v>330</v>
      </c>
      <c r="AD66" s="265" t="s">
        <v>104</v>
      </c>
      <c r="AE66" s="104"/>
      <c r="AF66" s="104"/>
      <c r="AG66" s="104"/>
      <c r="AH66" s="104"/>
      <c r="AI66" s="104"/>
      <c r="AJ66" s="104"/>
      <c r="AK66" s="104"/>
      <c r="AL66" s="104"/>
      <c r="AM66" s="104"/>
    </row>
    <row r="67" spans="1:39" x14ac:dyDescent="0.2">
      <c r="A67" s="252"/>
      <c r="B67" s="112">
        <v>2015</v>
      </c>
      <c r="C67" s="252"/>
      <c r="D67" s="272"/>
      <c r="E67" s="359">
        <f t="shared" ref="E67:R67" si="39">SUM(E11:E12)</f>
        <v>229</v>
      </c>
      <c r="F67" s="359">
        <f t="shared" si="39"/>
        <v>19</v>
      </c>
      <c r="G67" s="359">
        <f t="shared" si="39"/>
        <v>26</v>
      </c>
      <c r="H67" s="359">
        <f t="shared" si="39"/>
        <v>8</v>
      </c>
      <c r="I67" s="359">
        <f t="shared" si="39"/>
        <v>1</v>
      </c>
      <c r="J67" s="359">
        <f t="shared" si="39"/>
        <v>0</v>
      </c>
      <c r="K67" s="359">
        <f t="shared" si="39"/>
        <v>0</v>
      </c>
      <c r="L67" s="359">
        <f t="shared" si="39"/>
        <v>0</v>
      </c>
      <c r="M67" s="359">
        <f t="shared" si="39"/>
        <v>0</v>
      </c>
      <c r="N67" s="359">
        <f t="shared" si="39"/>
        <v>0</v>
      </c>
      <c r="O67" s="359">
        <f t="shared" si="39"/>
        <v>0</v>
      </c>
      <c r="P67" s="359">
        <f t="shared" si="39"/>
        <v>0</v>
      </c>
      <c r="Q67" s="359">
        <f t="shared" si="39"/>
        <v>0</v>
      </c>
      <c r="R67" s="256">
        <f t="shared" si="39"/>
        <v>54</v>
      </c>
      <c r="S67" s="359">
        <f>AVERAGE(F67:Q67)</f>
        <v>4.5</v>
      </c>
      <c r="T67" s="360">
        <f>U67/S67</f>
        <v>38.888888888888886</v>
      </c>
      <c r="U67" s="461">
        <f>SUM(U11+U12)</f>
        <v>175</v>
      </c>
      <c r="V67" s="112">
        <v>2015</v>
      </c>
      <c r="W67" s="252"/>
      <c r="X67" s="104"/>
      <c r="Y67" s="104"/>
      <c r="Z67" s="265">
        <v>44155</v>
      </c>
      <c r="AA67" s="268" t="s">
        <v>415</v>
      </c>
      <c r="AB67" s="265" t="s">
        <v>438</v>
      </c>
      <c r="AC67" s="269">
        <v>80</v>
      </c>
      <c r="AD67" s="265" t="s">
        <v>104</v>
      </c>
      <c r="AE67" s="104"/>
      <c r="AF67" s="104"/>
      <c r="AG67" s="104"/>
      <c r="AH67" s="104"/>
      <c r="AI67" s="104"/>
      <c r="AJ67" s="104"/>
      <c r="AK67" s="104"/>
      <c r="AL67" s="104"/>
      <c r="AM67" s="104"/>
    </row>
    <row r="68" spans="1:39" ht="14.25" customHeight="1" x14ac:dyDescent="0.2">
      <c r="A68" s="252"/>
      <c r="B68" s="112">
        <v>2016</v>
      </c>
      <c r="C68" s="252"/>
      <c r="D68" s="272"/>
      <c r="E68" s="359">
        <f t="shared" ref="E68:R68" si="40">SUM(E14:E19)</f>
        <v>711</v>
      </c>
      <c r="F68" s="359">
        <f t="shared" si="40"/>
        <v>115</v>
      </c>
      <c r="G68" s="359">
        <f t="shared" si="40"/>
        <v>104</v>
      </c>
      <c r="H68" s="359">
        <f t="shared" si="40"/>
        <v>41</v>
      </c>
      <c r="I68" s="359">
        <f t="shared" si="40"/>
        <v>32</v>
      </c>
      <c r="J68" s="359">
        <f t="shared" si="40"/>
        <v>50</v>
      </c>
      <c r="K68" s="359">
        <f t="shared" si="40"/>
        <v>31</v>
      </c>
      <c r="L68" s="359">
        <f t="shared" si="40"/>
        <v>29</v>
      </c>
      <c r="M68" s="359">
        <f t="shared" si="40"/>
        <v>39</v>
      </c>
      <c r="N68" s="359">
        <f t="shared" si="40"/>
        <v>43</v>
      </c>
      <c r="O68" s="359">
        <f t="shared" si="40"/>
        <v>56</v>
      </c>
      <c r="P68" s="359">
        <f t="shared" si="40"/>
        <v>57</v>
      </c>
      <c r="Q68" s="359">
        <f t="shared" si="40"/>
        <v>32</v>
      </c>
      <c r="R68" s="256">
        <f t="shared" si="40"/>
        <v>629</v>
      </c>
      <c r="S68" s="359">
        <f t="shared" ref="S68:S72" si="41">AVERAGE(F68:Q68)</f>
        <v>52.416666666666664</v>
      </c>
      <c r="T68" s="360">
        <f t="shared" ref="T68:T71" si="42">U68/S68</f>
        <v>1.3354531001589827</v>
      </c>
      <c r="U68" s="461">
        <f>SUM(U14:U19)</f>
        <v>70</v>
      </c>
      <c r="V68" s="112">
        <v>2016</v>
      </c>
      <c r="W68" s="252"/>
      <c r="X68" s="104"/>
      <c r="Y68" s="104"/>
      <c r="Z68" s="265">
        <v>44179</v>
      </c>
      <c r="AA68" s="268" t="s">
        <v>415</v>
      </c>
      <c r="AB68" s="265" t="s">
        <v>426</v>
      </c>
      <c r="AC68" s="269">
        <v>200</v>
      </c>
      <c r="AD68" s="265" t="s">
        <v>104</v>
      </c>
      <c r="AE68" s="104"/>
      <c r="AF68" s="104"/>
      <c r="AG68" s="104"/>
      <c r="AH68" s="104"/>
      <c r="AI68" s="104"/>
      <c r="AJ68" s="104"/>
      <c r="AK68" s="104"/>
      <c r="AL68" s="104"/>
      <c r="AM68" s="104"/>
    </row>
    <row r="69" spans="1:39" x14ac:dyDescent="0.2">
      <c r="A69" s="252"/>
      <c r="B69" s="112">
        <v>2017</v>
      </c>
      <c r="C69" s="252"/>
      <c r="D69" s="272"/>
      <c r="E69" s="359">
        <f t="shared" ref="E69:R69" si="43">SUM(E21:E33)</f>
        <v>3548</v>
      </c>
      <c r="F69" s="359">
        <f t="shared" si="43"/>
        <v>198</v>
      </c>
      <c r="G69" s="359">
        <f t="shared" si="43"/>
        <v>224</v>
      </c>
      <c r="H69" s="359">
        <f t="shared" si="43"/>
        <v>169</v>
      </c>
      <c r="I69" s="359">
        <f t="shared" si="43"/>
        <v>252</v>
      </c>
      <c r="J69" s="359">
        <f t="shared" si="43"/>
        <v>275</v>
      </c>
      <c r="K69" s="359">
        <f t="shared" si="43"/>
        <v>120</v>
      </c>
      <c r="L69" s="359">
        <f t="shared" si="43"/>
        <v>109</v>
      </c>
      <c r="M69" s="359">
        <f t="shared" si="43"/>
        <v>174</v>
      </c>
      <c r="N69" s="359">
        <f t="shared" si="43"/>
        <v>171</v>
      </c>
      <c r="O69" s="359">
        <f t="shared" si="43"/>
        <v>181</v>
      </c>
      <c r="P69" s="359">
        <f t="shared" si="43"/>
        <v>185</v>
      </c>
      <c r="Q69" s="359">
        <f t="shared" si="43"/>
        <v>178</v>
      </c>
      <c r="R69" s="256">
        <f t="shared" si="43"/>
        <v>2236</v>
      </c>
      <c r="S69" s="359">
        <f t="shared" si="41"/>
        <v>186.33333333333334</v>
      </c>
      <c r="T69" s="360">
        <f t="shared" si="42"/>
        <v>7.0411449016100178</v>
      </c>
      <c r="U69" s="461">
        <f>SUM(U21:U33)</f>
        <v>1312</v>
      </c>
      <c r="V69" s="112">
        <v>2017</v>
      </c>
      <c r="W69" s="252"/>
      <c r="X69" s="104"/>
      <c r="Y69" s="104"/>
      <c r="Z69" s="265">
        <v>44179</v>
      </c>
      <c r="AA69" s="268" t="s">
        <v>415</v>
      </c>
      <c r="AB69" s="265" t="s">
        <v>439</v>
      </c>
      <c r="AC69" s="269">
        <v>330</v>
      </c>
      <c r="AD69" s="265" t="s">
        <v>104</v>
      </c>
      <c r="AE69" s="104"/>
      <c r="AF69" s="104"/>
      <c r="AG69" s="104"/>
      <c r="AH69" s="104"/>
      <c r="AI69" s="104"/>
      <c r="AJ69" s="104"/>
      <c r="AK69" s="104"/>
      <c r="AL69" s="104"/>
      <c r="AM69" s="104"/>
    </row>
    <row r="70" spans="1:39" x14ac:dyDescent="0.2">
      <c r="A70" s="252"/>
      <c r="B70" s="112">
        <v>2018</v>
      </c>
      <c r="C70" s="252"/>
      <c r="D70" s="272"/>
      <c r="E70" s="359">
        <f t="shared" ref="E70:R70" si="44">SUM(E35:E48)</f>
        <v>5615</v>
      </c>
      <c r="F70" s="359">
        <f t="shared" si="44"/>
        <v>82</v>
      </c>
      <c r="G70" s="359">
        <f t="shared" si="44"/>
        <v>159</v>
      </c>
      <c r="H70" s="359">
        <f t="shared" si="44"/>
        <v>74</v>
      </c>
      <c r="I70" s="359">
        <f t="shared" si="44"/>
        <v>88</v>
      </c>
      <c r="J70" s="359">
        <f t="shared" si="44"/>
        <v>241</v>
      </c>
      <c r="K70" s="359">
        <f t="shared" si="44"/>
        <v>170</v>
      </c>
      <c r="L70" s="359">
        <f t="shared" si="44"/>
        <v>122</v>
      </c>
      <c r="M70" s="359">
        <f t="shared" si="44"/>
        <v>115</v>
      </c>
      <c r="N70" s="359">
        <f t="shared" si="44"/>
        <v>130</v>
      </c>
      <c r="O70" s="359">
        <f t="shared" si="44"/>
        <v>126</v>
      </c>
      <c r="P70" s="359">
        <f t="shared" si="44"/>
        <v>255</v>
      </c>
      <c r="Q70" s="359">
        <f t="shared" si="44"/>
        <v>124</v>
      </c>
      <c r="R70" s="366">
        <f t="shared" si="44"/>
        <v>1686</v>
      </c>
      <c r="S70" s="359">
        <f t="shared" si="41"/>
        <v>140.5</v>
      </c>
      <c r="T70" s="360">
        <f t="shared" si="42"/>
        <v>27.964412811387902</v>
      </c>
      <c r="U70" s="461">
        <f>SUM(U35:U48)</f>
        <v>3929</v>
      </c>
      <c r="V70" s="112">
        <v>2018</v>
      </c>
      <c r="W70" s="252"/>
      <c r="X70" s="104"/>
      <c r="Y70" s="104"/>
      <c r="Z70" s="265">
        <v>44180</v>
      </c>
      <c r="AA70" s="268" t="s">
        <v>415</v>
      </c>
      <c r="AB70" s="265" t="s">
        <v>431</v>
      </c>
      <c r="AC70" s="269">
        <v>330</v>
      </c>
      <c r="AD70" s="265" t="s">
        <v>104</v>
      </c>
      <c r="AE70" s="104"/>
      <c r="AF70" s="104"/>
      <c r="AG70" s="104"/>
      <c r="AH70" s="104"/>
      <c r="AI70" s="104"/>
      <c r="AJ70" s="104"/>
      <c r="AK70" s="104"/>
      <c r="AL70" s="104"/>
      <c r="AM70" s="104"/>
    </row>
    <row r="71" spans="1:39" ht="18" x14ac:dyDescent="0.25">
      <c r="A71" s="252"/>
      <c r="B71" s="112">
        <v>2019</v>
      </c>
      <c r="C71" s="252"/>
      <c r="D71" s="273"/>
      <c r="E71" s="359">
        <f>SUM(E50:E64)</f>
        <v>5622</v>
      </c>
      <c r="F71" s="359">
        <f t="shared" ref="F71:Q71" si="45">SUM(F50:F64)</f>
        <v>0</v>
      </c>
      <c r="G71" s="359">
        <f t="shared" si="45"/>
        <v>0</v>
      </c>
      <c r="H71" s="359">
        <f t="shared" si="45"/>
        <v>226</v>
      </c>
      <c r="I71" s="359">
        <f t="shared" si="45"/>
        <v>100</v>
      </c>
      <c r="J71" s="359">
        <f t="shared" si="45"/>
        <v>49</v>
      </c>
      <c r="K71" s="359">
        <f t="shared" si="45"/>
        <v>76</v>
      </c>
      <c r="L71" s="359">
        <f t="shared" si="45"/>
        <v>105</v>
      </c>
      <c r="M71" s="359">
        <f t="shared" si="45"/>
        <v>301</v>
      </c>
      <c r="N71" s="359">
        <f t="shared" si="45"/>
        <v>121</v>
      </c>
      <c r="O71" s="359">
        <f t="shared" si="45"/>
        <v>55</v>
      </c>
      <c r="P71" s="359">
        <f t="shared" si="45"/>
        <v>76</v>
      </c>
      <c r="Q71" s="359">
        <f t="shared" si="45"/>
        <v>119</v>
      </c>
      <c r="R71" s="366">
        <f>SUM(R50:R64)</f>
        <v>1228</v>
      </c>
      <c r="S71" s="359">
        <f t="shared" si="41"/>
        <v>102.33333333333333</v>
      </c>
      <c r="T71" s="360">
        <f t="shared" si="42"/>
        <v>42.938110749185668</v>
      </c>
      <c r="U71" s="461">
        <f>SUM(U50:U64)</f>
        <v>4394</v>
      </c>
      <c r="V71" s="112">
        <v>2019</v>
      </c>
      <c r="W71" s="252"/>
      <c r="X71" s="104"/>
      <c r="Y71" s="104"/>
      <c r="Z71" s="265">
        <v>44180</v>
      </c>
      <c r="AA71" s="268" t="s">
        <v>415</v>
      </c>
      <c r="AB71" s="276" t="s">
        <v>437</v>
      </c>
      <c r="AC71" s="269">
        <v>660</v>
      </c>
      <c r="AD71" s="277" t="s">
        <v>104</v>
      </c>
      <c r="AE71" s="104"/>
      <c r="AF71" s="104"/>
      <c r="AG71" s="104"/>
      <c r="AH71" s="104"/>
      <c r="AI71" s="104"/>
      <c r="AJ71" s="104"/>
      <c r="AK71" s="104"/>
      <c r="AL71" s="104"/>
      <c r="AM71" s="104"/>
    </row>
    <row r="72" spans="1:39" s="199" customFormat="1" ht="18" x14ac:dyDescent="0.25">
      <c r="A72" s="278"/>
      <c r="B72" s="202" t="s">
        <v>78</v>
      </c>
      <c r="C72" s="278"/>
      <c r="D72" s="203"/>
      <c r="E72" s="362">
        <f>SUM(E66:E71)</f>
        <v>15740</v>
      </c>
      <c r="F72" s="362">
        <f t="shared" ref="F72:Q72" si="46">SUM(F66:F71)</f>
        <v>421</v>
      </c>
      <c r="G72" s="362">
        <f t="shared" si="46"/>
        <v>521</v>
      </c>
      <c r="H72" s="362">
        <f t="shared" si="46"/>
        <v>518</v>
      </c>
      <c r="I72" s="362">
        <f t="shared" si="46"/>
        <v>473</v>
      </c>
      <c r="J72" s="362">
        <f t="shared" si="46"/>
        <v>615</v>
      </c>
      <c r="K72" s="362">
        <f t="shared" si="46"/>
        <v>397</v>
      </c>
      <c r="L72" s="362">
        <f t="shared" si="46"/>
        <v>365</v>
      </c>
      <c r="M72" s="362">
        <f t="shared" si="46"/>
        <v>629</v>
      </c>
      <c r="N72" s="362">
        <f t="shared" si="46"/>
        <v>465</v>
      </c>
      <c r="O72" s="362">
        <f t="shared" si="46"/>
        <v>418</v>
      </c>
      <c r="P72" s="362">
        <f t="shared" si="46"/>
        <v>573</v>
      </c>
      <c r="Q72" s="362">
        <f t="shared" si="46"/>
        <v>453</v>
      </c>
      <c r="R72" s="472">
        <f>SUM(R66:R71)</f>
        <v>5848</v>
      </c>
      <c r="S72" s="362">
        <f t="shared" si="41"/>
        <v>487.33333333333331</v>
      </c>
      <c r="T72" s="363">
        <f>U72/S72</f>
        <v>20.27359781121751</v>
      </c>
      <c r="U72" s="473">
        <f>SUM(U66+U67+U68+U69+U70+U71)</f>
        <v>9880</v>
      </c>
      <c r="V72" s="202" t="s">
        <v>78</v>
      </c>
      <c r="W72" s="278"/>
      <c r="Z72" s="265">
        <v>44180</v>
      </c>
      <c r="AA72" s="268" t="s">
        <v>415</v>
      </c>
      <c r="AB72" s="276" t="s">
        <v>440</v>
      </c>
      <c r="AC72" s="269">
        <v>330</v>
      </c>
      <c r="AD72" s="277" t="s">
        <v>104</v>
      </c>
    </row>
    <row r="73" spans="1:39" ht="18" x14ac:dyDescent="0.25">
      <c r="A73" s="249"/>
      <c r="B73" s="117"/>
      <c r="C73" s="117"/>
      <c r="D73" s="249"/>
      <c r="E73" s="119"/>
      <c r="F73" s="119"/>
      <c r="G73" s="119"/>
      <c r="H73" s="119"/>
      <c r="I73" s="119"/>
      <c r="J73" s="119"/>
      <c r="K73" s="120"/>
      <c r="L73" s="120"/>
      <c r="M73" s="120"/>
      <c r="N73" s="120"/>
      <c r="O73" s="120"/>
      <c r="P73" s="120"/>
      <c r="Q73" s="120"/>
      <c r="R73" s="120"/>
      <c r="S73" s="166"/>
      <c r="T73" s="167"/>
      <c r="U73" s="160"/>
      <c r="V73" s="117"/>
      <c r="W73" s="117"/>
      <c r="X73" s="104"/>
      <c r="Y73" s="104"/>
      <c r="Z73" s="265">
        <v>44193</v>
      </c>
      <c r="AA73" s="268" t="s">
        <v>402</v>
      </c>
      <c r="AB73" s="276" t="s">
        <v>441</v>
      </c>
      <c r="AC73" s="269">
        <v>180</v>
      </c>
      <c r="AD73" s="277" t="s">
        <v>104</v>
      </c>
      <c r="AE73" s="104"/>
      <c r="AF73" s="104"/>
      <c r="AG73" s="104"/>
      <c r="AH73" s="104"/>
      <c r="AI73" s="104"/>
      <c r="AJ73" s="104"/>
      <c r="AK73" s="104"/>
      <c r="AL73" s="104"/>
      <c r="AM73" s="104"/>
    </row>
    <row r="74" spans="1:39" ht="18" x14ac:dyDescent="0.25">
      <c r="A74" s="104"/>
      <c r="B74" s="104">
        <v>2017</v>
      </c>
      <c r="C74" s="104" t="s">
        <v>351</v>
      </c>
      <c r="D74" s="255">
        <v>168</v>
      </c>
      <c r="E74" s="124" t="s">
        <v>35</v>
      </c>
      <c r="F74" s="124">
        <v>1</v>
      </c>
      <c r="G74" s="124">
        <v>0</v>
      </c>
      <c r="H74" s="124">
        <v>0</v>
      </c>
      <c r="I74" s="124">
        <v>0</v>
      </c>
      <c r="J74" s="124"/>
      <c r="K74" s="105">
        <v>20</v>
      </c>
      <c r="L74" s="105">
        <v>35</v>
      </c>
      <c r="M74" s="105">
        <v>56</v>
      </c>
      <c r="N74" s="105">
        <v>19</v>
      </c>
      <c r="O74" s="105"/>
      <c r="P74" s="105"/>
      <c r="Q74" s="105"/>
      <c r="R74" s="105"/>
      <c r="S74" s="124"/>
      <c r="T74" s="168"/>
      <c r="U74" s="105">
        <v>0</v>
      </c>
      <c r="V74" s="104"/>
      <c r="W74" s="104"/>
      <c r="X74" s="104"/>
      <c r="Y74" s="104"/>
      <c r="Z74" s="274">
        <v>44193</v>
      </c>
      <c r="AA74" s="474" t="s">
        <v>415</v>
      </c>
      <c r="AB74" s="276" t="s">
        <v>437</v>
      </c>
      <c r="AC74" s="269">
        <v>660</v>
      </c>
      <c r="AD74" s="277" t="s">
        <v>104</v>
      </c>
      <c r="AE74" s="104"/>
      <c r="AF74" s="104"/>
      <c r="AG74" s="104"/>
      <c r="AH74" s="104"/>
      <c r="AI74" s="104"/>
      <c r="AJ74" s="104"/>
      <c r="AK74" s="104"/>
      <c r="AL74" s="104"/>
      <c r="AM74" s="104"/>
    </row>
    <row r="75" spans="1:39" ht="18" x14ac:dyDescent="0.25">
      <c r="A75" s="104"/>
      <c r="B75" s="104">
        <v>2018</v>
      </c>
      <c r="C75" s="104" t="s">
        <v>352</v>
      </c>
      <c r="D75" s="193">
        <v>112</v>
      </c>
      <c r="E75" s="124"/>
      <c r="F75" s="124">
        <v>112</v>
      </c>
      <c r="G75" s="124">
        <v>0</v>
      </c>
      <c r="H75" s="124">
        <v>0</v>
      </c>
      <c r="I75" s="124"/>
      <c r="J75" s="105"/>
      <c r="K75" s="105"/>
      <c r="L75" s="105"/>
      <c r="M75" s="105"/>
      <c r="N75" s="105"/>
      <c r="O75" s="105"/>
      <c r="P75" s="105"/>
      <c r="Q75" s="105"/>
      <c r="R75" s="124"/>
      <c r="S75" s="168"/>
      <c r="T75" s="105"/>
      <c r="U75" s="104">
        <v>0</v>
      </c>
      <c r="V75" s="104"/>
      <c r="W75" s="104"/>
      <c r="X75" s="104"/>
      <c r="Y75" s="104"/>
      <c r="Z75" s="274">
        <v>44193</v>
      </c>
      <c r="AA75" s="275">
        <v>2020</v>
      </c>
      <c r="AB75" s="276" t="s">
        <v>431</v>
      </c>
      <c r="AC75" s="269">
        <v>330</v>
      </c>
      <c r="AD75" s="277" t="s">
        <v>104</v>
      </c>
      <c r="AE75" s="104"/>
      <c r="AF75" s="104"/>
      <c r="AG75" s="104"/>
      <c r="AH75" s="104"/>
      <c r="AI75" s="104"/>
      <c r="AJ75" s="104"/>
      <c r="AK75" s="104"/>
      <c r="AL75" s="104"/>
      <c r="AM75" s="104"/>
    </row>
    <row r="76" spans="1:39" ht="18" x14ac:dyDescent="0.25">
      <c r="A76" s="104"/>
      <c r="B76" s="104">
        <v>2018</v>
      </c>
      <c r="C76" s="104" t="s">
        <v>442</v>
      </c>
      <c r="D76" s="124">
        <v>112</v>
      </c>
      <c r="E76" s="124"/>
      <c r="F76" s="124">
        <v>112</v>
      </c>
      <c r="G76" s="124">
        <v>0</v>
      </c>
      <c r="H76" s="124">
        <v>0</v>
      </c>
      <c r="I76" s="124"/>
      <c r="J76" s="105"/>
      <c r="K76" s="105">
        <v>14</v>
      </c>
      <c r="L76" s="105"/>
      <c r="M76" s="105"/>
      <c r="N76" s="105"/>
      <c r="O76" s="105"/>
      <c r="P76" s="105"/>
      <c r="Q76" s="105"/>
      <c r="R76" s="124"/>
      <c r="S76" s="168"/>
      <c r="T76" s="105"/>
      <c r="U76" s="104">
        <v>0</v>
      </c>
      <c r="V76" s="104"/>
      <c r="W76" s="104"/>
      <c r="X76" s="104"/>
      <c r="Y76" s="104"/>
      <c r="Z76" s="274">
        <v>44193</v>
      </c>
      <c r="AA76" s="275">
        <v>2020</v>
      </c>
      <c r="AB76" s="276" t="s">
        <v>440</v>
      </c>
      <c r="AC76" s="269">
        <v>275</v>
      </c>
      <c r="AD76" s="277" t="s">
        <v>104</v>
      </c>
      <c r="AE76" s="104"/>
      <c r="AF76" s="104"/>
      <c r="AG76" s="104"/>
      <c r="AH76" s="104"/>
      <c r="AI76" s="104"/>
      <c r="AJ76" s="104"/>
      <c r="AK76" s="104"/>
      <c r="AL76" s="104"/>
      <c r="AM76" s="104"/>
    </row>
    <row r="77" spans="1:39" ht="18" x14ac:dyDescent="0.25">
      <c r="A77" s="104"/>
      <c r="B77" s="104">
        <v>2019</v>
      </c>
      <c r="C77" s="104" t="s">
        <v>442</v>
      </c>
      <c r="D77" s="124">
        <v>14</v>
      </c>
      <c r="E77" s="124"/>
      <c r="F77" s="124"/>
      <c r="G77" s="124"/>
      <c r="H77" s="124"/>
      <c r="I77" s="124"/>
      <c r="J77" s="105"/>
      <c r="K77" s="105"/>
      <c r="L77" s="105"/>
      <c r="M77" s="105"/>
      <c r="N77" s="105"/>
      <c r="O77" s="105"/>
      <c r="P77" s="105"/>
      <c r="Q77" s="105"/>
      <c r="R77" s="124"/>
      <c r="S77" s="168"/>
      <c r="T77" s="105"/>
      <c r="U77" s="104">
        <v>14</v>
      </c>
      <c r="V77" s="104"/>
      <c r="W77" s="104"/>
      <c r="X77" s="104"/>
      <c r="Y77" s="104"/>
      <c r="Z77" s="274"/>
      <c r="AA77" s="275"/>
      <c r="AB77" s="276"/>
      <c r="AC77" s="269"/>
      <c r="AD77" s="277"/>
      <c r="AE77" s="104"/>
      <c r="AF77" s="104"/>
      <c r="AG77" s="104"/>
      <c r="AH77" s="104"/>
      <c r="AI77" s="104"/>
      <c r="AJ77" s="104"/>
      <c r="AK77" s="104"/>
      <c r="AL77" s="104"/>
      <c r="AM77" s="104"/>
    </row>
    <row r="78" spans="1:39" ht="18" x14ac:dyDescent="0.25">
      <c r="A78" s="104"/>
      <c r="B78" s="104">
        <v>2019</v>
      </c>
      <c r="C78" s="104" t="s">
        <v>388</v>
      </c>
      <c r="D78" s="105">
        <v>14</v>
      </c>
      <c r="E78" s="124"/>
      <c r="F78" s="124"/>
      <c r="G78" s="124"/>
      <c r="H78" s="124"/>
      <c r="I78" s="124"/>
      <c r="J78" s="105"/>
      <c r="K78" s="105"/>
      <c r="L78" s="105"/>
      <c r="M78" s="105"/>
      <c r="N78" s="105"/>
      <c r="O78" s="105"/>
      <c r="P78" s="105"/>
      <c r="Q78" s="105"/>
      <c r="R78" s="124"/>
      <c r="S78" s="168"/>
      <c r="T78" s="105"/>
      <c r="U78" s="104">
        <v>14</v>
      </c>
      <c r="V78" s="104"/>
      <c r="W78" s="104"/>
      <c r="X78" s="104"/>
      <c r="Y78" s="104"/>
      <c r="Z78" s="274"/>
      <c r="AA78" s="275"/>
      <c r="AB78" s="276"/>
      <c r="AC78" s="269"/>
      <c r="AD78" s="277"/>
      <c r="AE78" s="104"/>
      <c r="AF78" s="104"/>
      <c r="AG78" s="104"/>
      <c r="AH78" s="104"/>
      <c r="AI78" s="104"/>
      <c r="AJ78" s="104"/>
      <c r="AK78" s="104"/>
      <c r="AL78" s="104"/>
      <c r="AM78" s="104"/>
    </row>
    <row r="79" spans="1:39" ht="18" x14ac:dyDescent="0.25">
      <c r="A79" s="104"/>
      <c r="B79" s="104">
        <v>2019</v>
      </c>
      <c r="C79" s="104" t="s">
        <v>443</v>
      </c>
      <c r="D79" s="105">
        <v>37</v>
      </c>
      <c r="E79" s="124"/>
      <c r="F79" s="124"/>
      <c r="G79" s="124"/>
      <c r="H79" s="124"/>
      <c r="I79" s="124"/>
      <c r="J79" s="105"/>
      <c r="K79" s="105"/>
      <c r="L79" s="105"/>
      <c r="M79" s="105"/>
      <c r="N79" s="105"/>
      <c r="O79" s="105"/>
      <c r="P79" s="105"/>
      <c r="Q79" s="105"/>
      <c r="R79" s="124"/>
      <c r="S79" s="168"/>
      <c r="T79" s="105"/>
      <c r="U79" s="104">
        <v>37</v>
      </c>
      <c r="V79" s="104"/>
      <c r="W79" s="104"/>
      <c r="X79" s="104"/>
      <c r="Y79" s="104"/>
      <c r="Z79" s="274"/>
      <c r="AA79" s="275"/>
      <c r="AB79" s="276"/>
      <c r="AC79" s="269"/>
      <c r="AD79" s="277"/>
      <c r="AE79" s="104"/>
      <c r="AF79" s="104"/>
      <c r="AG79" s="104"/>
      <c r="AH79" s="104"/>
      <c r="AI79" s="104"/>
      <c r="AJ79" s="104"/>
      <c r="AK79" s="104"/>
      <c r="AL79" s="104"/>
      <c r="AM79" s="104"/>
    </row>
    <row r="80" spans="1:39" ht="18" x14ac:dyDescent="0.25">
      <c r="A80" s="104"/>
      <c r="B80" s="104">
        <v>2019</v>
      </c>
      <c r="C80" s="104" t="s">
        <v>444</v>
      </c>
      <c r="D80" s="105">
        <v>50</v>
      </c>
      <c r="E80" s="105"/>
      <c r="F80" s="105"/>
      <c r="G80" s="105"/>
      <c r="H80" s="105"/>
      <c r="I80" s="105"/>
      <c r="J80" s="105"/>
      <c r="K80" s="105"/>
      <c r="L80" s="105"/>
      <c r="M80" s="105"/>
      <c r="N80" s="105"/>
      <c r="O80" s="105"/>
      <c r="P80" s="105"/>
      <c r="Q80" s="105"/>
      <c r="R80" s="105"/>
      <c r="S80" s="105"/>
      <c r="T80" s="105"/>
      <c r="U80" s="104">
        <v>50</v>
      </c>
      <c r="V80" s="104"/>
      <c r="W80" s="104"/>
      <c r="X80" s="104"/>
      <c r="Y80" s="104"/>
      <c r="Z80" s="274"/>
      <c r="AA80" s="275"/>
      <c r="AB80" s="276"/>
      <c r="AC80" s="269"/>
      <c r="AD80" s="277"/>
      <c r="AE80" s="104"/>
      <c r="AF80" s="104"/>
      <c r="AG80" s="104"/>
      <c r="AH80" s="104"/>
      <c r="AI80" s="104"/>
      <c r="AJ80" s="104"/>
      <c r="AK80" s="104"/>
      <c r="AL80" s="104"/>
      <c r="AM80" s="104"/>
    </row>
    <row r="81" spans="1:38" ht="18" x14ac:dyDescent="0.25">
      <c r="A81" s="249"/>
      <c r="B81" s="117"/>
      <c r="C81" s="117"/>
      <c r="D81" s="192">
        <v>112</v>
      </c>
      <c r="E81" s="119"/>
      <c r="F81" s="119"/>
      <c r="G81" s="119"/>
      <c r="H81" s="119"/>
      <c r="I81" s="119"/>
      <c r="J81" s="120"/>
      <c r="K81" s="120"/>
      <c r="L81" s="120"/>
      <c r="M81" s="120"/>
      <c r="N81" s="120"/>
      <c r="O81" s="120"/>
      <c r="P81" s="120"/>
      <c r="Q81" s="120"/>
      <c r="R81" s="166"/>
      <c r="S81" s="167"/>
      <c r="T81" s="160"/>
      <c r="U81" s="117"/>
      <c r="V81" s="117"/>
      <c r="W81" s="104"/>
      <c r="X81" s="104"/>
      <c r="Y81" s="104"/>
      <c r="Z81" s="274"/>
      <c r="AA81" s="275"/>
      <c r="AB81" s="276"/>
      <c r="AC81" s="269"/>
      <c r="AD81" s="277"/>
      <c r="AE81" s="104"/>
      <c r="AF81" s="104"/>
      <c r="AG81" s="104"/>
      <c r="AH81" s="104"/>
      <c r="AI81" s="104"/>
      <c r="AJ81" s="104"/>
      <c r="AK81" s="104"/>
      <c r="AL81" s="104"/>
    </row>
    <row r="82" spans="1:38" ht="18" x14ac:dyDescent="0.25">
      <c r="A82" s="104"/>
      <c r="B82" s="104"/>
      <c r="C82" s="104"/>
      <c r="D82" s="105"/>
      <c r="E82" s="105"/>
      <c r="F82" s="105"/>
      <c r="G82" s="105"/>
      <c r="H82" s="105"/>
      <c r="I82" s="105"/>
      <c r="J82" s="105"/>
      <c r="K82" s="105"/>
      <c r="L82" s="105"/>
      <c r="M82" s="105"/>
      <c r="N82" s="105"/>
      <c r="O82" s="105"/>
      <c r="P82" s="105"/>
      <c r="Q82" s="105"/>
      <c r="R82" s="124"/>
      <c r="S82" s="168"/>
      <c r="T82" s="124"/>
      <c r="U82" s="104"/>
      <c r="V82" s="104"/>
      <c r="W82" s="104"/>
      <c r="X82" s="104"/>
      <c r="Y82" s="104"/>
      <c r="Z82" s="274"/>
      <c r="AA82" s="275"/>
      <c r="AB82" s="276"/>
      <c r="AC82" s="269"/>
      <c r="AD82" s="277"/>
      <c r="AE82" s="104"/>
      <c r="AF82" s="104"/>
      <c r="AG82" s="104"/>
      <c r="AH82" s="104"/>
      <c r="AI82" s="104"/>
      <c r="AJ82" s="104"/>
      <c r="AK82" s="104"/>
      <c r="AL82" s="104"/>
    </row>
    <row r="83" spans="1:38" ht="18" x14ac:dyDescent="0.25">
      <c r="A83" s="104"/>
      <c r="B83" s="104"/>
      <c r="C83" s="104"/>
      <c r="D83" s="105"/>
      <c r="E83" s="105"/>
      <c r="F83" s="105"/>
      <c r="G83" s="105"/>
      <c r="H83" s="105"/>
      <c r="I83" s="105"/>
      <c r="J83" s="105"/>
      <c r="K83" s="105"/>
      <c r="L83" s="105"/>
      <c r="M83" s="105"/>
      <c r="N83" s="105"/>
      <c r="O83" s="105"/>
      <c r="P83" s="105"/>
      <c r="Q83" s="105"/>
      <c r="R83" s="105"/>
      <c r="S83" s="105"/>
      <c r="T83" s="105"/>
      <c r="U83" s="104"/>
      <c r="V83" s="104"/>
      <c r="W83" s="104"/>
      <c r="X83" s="104"/>
      <c r="Y83" s="104"/>
      <c r="Z83" s="274"/>
      <c r="AA83" s="275"/>
      <c r="AB83" s="276"/>
      <c r="AC83" s="269"/>
      <c r="AD83" s="277"/>
      <c r="AE83" s="104"/>
      <c r="AF83" s="104"/>
      <c r="AG83" s="104"/>
      <c r="AH83" s="104"/>
      <c r="AI83" s="104"/>
      <c r="AJ83" s="104"/>
      <c r="AK83" s="104"/>
      <c r="AL83" s="104"/>
    </row>
    <row r="84" spans="1:38" ht="18" x14ac:dyDescent="0.25">
      <c r="A84" s="104"/>
      <c r="B84" s="104"/>
      <c r="C84" s="104"/>
      <c r="D84" s="105"/>
      <c r="E84" s="105"/>
      <c r="F84" s="105"/>
      <c r="G84" s="105"/>
      <c r="H84" s="105"/>
      <c r="I84" s="105"/>
      <c r="J84" s="105"/>
      <c r="K84" s="105"/>
      <c r="L84" s="105"/>
      <c r="M84" s="105"/>
      <c r="N84" s="105"/>
      <c r="O84" s="105"/>
      <c r="P84" s="105"/>
      <c r="Q84" s="105"/>
      <c r="R84" s="105"/>
      <c r="S84" s="105"/>
      <c r="T84" s="105"/>
      <c r="U84" s="104"/>
      <c r="V84" s="104"/>
      <c r="W84" s="104"/>
      <c r="X84" s="104"/>
      <c r="Y84" s="104"/>
      <c r="Z84" s="195"/>
      <c r="AA84" s="124"/>
      <c r="AB84" s="196"/>
      <c r="AC84" s="197"/>
      <c r="AD84" s="198"/>
      <c r="AE84" s="104"/>
      <c r="AF84" s="104"/>
      <c r="AG84" s="104"/>
      <c r="AH84" s="104"/>
      <c r="AI84" s="104"/>
      <c r="AJ84" s="104"/>
      <c r="AK84" s="104"/>
      <c r="AL84" s="104"/>
    </row>
    <row r="85" spans="1:38" ht="15.75" x14ac:dyDescent="0.25">
      <c r="A85" s="104"/>
      <c r="B85" s="126" t="s">
        <v>365</v>
      </c>
      <c r="C85" s="104"/>
      <c r="D85" s="105"/>
      <c r="E85" s="105"/>
      <c r="F85" s="105"/>
      <c r="G85" s="105"/>
      <c r="H85" s="105"/>
      <c r="I85" s="105"/>
      <c r="J85" s="105"/>
      <c r="K85" s="105"/>
      <c r="L85" s="105"/>
      <c r="M85" s="105"/>
      <c r="N85" s="105"/>
      <c r="O85" s="105"/>
      <c r="P85" s="105"/>
      <c r="Q85" s="105"/>
      <c r="R85" s="105"/>
      <c r="S85" s="105"/>
      <c r="T85" s="105"/>
      <c r="U85" s="104"/>
      <c r="V85" s="104"/>
      <c r="W85" s="104"/>
      <c r="X85" s="104"/>
      <c r="Y85" s="104"/>
      <c r="Z85" s="581" t="s">
        <v>445</v>
      </c>
      <c r="AA85" s="581"/>
      <c r="AB85" s="581"/>
      <c r="AC85" s="581"/>
      <c r="AD85" s="581"/>
      <c r="AE85" s="104"/>
      <c r="AF85" s="104"/>
      <c r="AG85" s="104"/>
      <c r="AH85" s="104"/>
      <c r="AI85" s="104"/>
      <c r="AJ85" s="104"/>
      <c r="AK85" s="104"/>
      <c r="AL85" s="104"/>
    </row>
    <row r="86" spans="1:38" ht="15.75" x14ac:dyDescent="0.25">
      <c r="A86" s="104"/>
      <c r="B86" s="126" t="s">
        <v>367</v>
      </c>
      <c r="C86" s="1" t="s">
        <v>368</v>
      </c>
      <c r="D86" s="1" t="s">
        <v>446</v>
      </c>
      <c r="E86" s="188" t="s">
        <v>4</v>
      </c>
      <c r="F86" s="189" t="s">
        <v>5</v>
      </c>
      <c r="G86" s="189" t="s">
        <v>6</v>
      </c>
      <c r="H86" s="189" t="s">
        <v>7</v>
      </c>
      <c r="I86" s="189" t="s">
        <v>8</v>
      </c>
      <c r="J86" s="189" t="s">
        <v>9</v>
      </c>
      <c r="K86" s="189" t="s">
        <v>10</v>
      </c>
      <c r="L86" s="189" t="s">
        <v>11</v>
      </c>
      <c r="M86" s="189" t="s">
        <v>12</v>
      </c>
      <c r="N86" s="189" t="s">
        <v>13</v>
      </c>
      <c r="O86" s="189" t="s">
        <v>14</v>
      </c>
      <c r="P86" s="189" t="s">
        <v>15</v>
      </c>
      <c r="Q86" s="105"/>
      <c r="R86" s="105"/>
      <c r="S86" s="105"/>
      <c r="T86" s="105"/>
      <c r="U86" s="104"/>
      <c r="V86" s="104"/>
      <c r="W86" s="104"/>
      <c r="X86" s="104"/>
      <c r="Y86" s="104"/>
      <c r="Z86" s="279"/>
      <c r="AA86" s="280" t="s">
        <v>35</v>
      </c>
      <c r="AB86" s="280"/>
      <c r="AC86" s="280"/>
      <c r="AD86" s="280"/>
      <c r="AE86" s="104"/>
      <c r="AF86" s="104"/>
      <c r="AG86" s="104"/>
      <c r="AH86" s="104"/>
      <c r="AI86" s="104"/>
      <c r="AJ86" s="104"/>
      <c r="AK86" s="104"/>
      <c r="AL86" s="104"/>
    </row>
    <row r="87" spans="1:38" x14ac:dyDescent="0.2">
      <c r="A87" s="104"/>
      <c r="B87" s="252">
        <v>2017</v>
      </c>
      <c r="C87" s="252" t="s">
        <v>371</v>
      </c>
      <c r="D87" s="255">
        <v>275</v>
      </c>
      <c r="E87" s="255">
        <v>275</v>
      </c>
      <c r="F87" s="255">
        <v>275</v>
      </c>
      <c r="G87" s="255">
        <v>275</v>
      </c>
      <c r="H87" s="494">
        <v>275</v>
      </c>
      <c r="I87" s="255">
        <v>275</v>
      </c>
      <c r="J87" s="255">
        <v>275</v>
      </c>
      <c r="K87" s="255">
        <v>0</v>
      </c>
      <c r="L87" s="255">
        <v>0</v>
      </c>
      <c r="M87" s="255">
        <v>0</v>
      </c>
      <c r="N87" s="255"/>
      <c r="O87" s="255"/>
      <c r="P87" s="255"/>
      <c r="Q87" s="105"/>
      <c r="R87" s="105"/>
      <c r="S87" s="105"/>
      <c r="T87" s="105"/>
      <c r="U87" s="104"/>
      <c r="V87" s="104"/>
      <c r="W87" s="104"/>
      <c r="X87" s="104"/>
      <c r="Y87" s="104"/>
      <c r="Z87" s="239">
        <v>44055</v>
      </c>
      <c r="AA87" s="279">
        <v>2019</v>
      </c>
      <c r="AB87" s="280" t="s">
        <v>447</v>
      </c>
      <c r="AC87" s="280">
        <v>9</v>
      </c>
      <c r="AD87" s="280"/>
      <c r="AE87" s="104"/>
      <c r="AF87" s="104"/>
      <c r="AG87" s="104"/>
      <c r="AH87" s="104"/>
      <c r="AI87" s="104"/>
      <c r="AJ87" s="104"/>
      <c r="AK87" s="104"/>
      <c r="AL87" s="104"/>
    </row>
    <row r="88" spans="1:38" x14ac:dyDescent="0.2">
      <c r="A88" s="104"/>
      <c r="B88" s="252">
        <v>2018</v>
      </c>
      <c r="C88" s="252" t="s">
        <v>46</v>
      </c>
      <c r="D88" s="255">
        <v>0</v>
      </c>
      <c r="E88" s="255" t="s">
        <v>35</v>
      </c>
      <c r="F88" s="255"/>
      <c r="G88" s="255">
        <v>0</v>
      </c>
      <c r="H88" s="494">
        <v>0</v>
      </c>
      <c r="I88" s="255">
        <v>0</v>
      </c>
      <c r="J88" s="255">
        <v>0</v>
      </c>
      <c r="K88" s="255">
        <v>0</v>
      </c>
      <c r="L88" s="255">
        <v>0</v>
      </c>
      <c r="M88" s="255">
        <v>0</v>
      </c>
      <c r="N88" s="255"/>
      <c r="O88" s="255"/>
      <c r="P88" s="255"/>
      <c r="Q88" s="105"/>
      <c r="R88" s="105"/>
      <c r="S88" s="105"/>
      <c r="T88" s="105"/>
      <c r="U88" s="104"/>
      <c r="V88" s="104"/>
      <c r="W88" s="104"/>
      <c r="X88" s="104"/>
      <c r="Y88" s="104"/>
      <c r="Z88" s="239">
        <v>44055</v>
      </c>
      <c r="AA88" s="279">
        <v>2019</v>
      </c>
      <c r="AB88" s="280" t="s">
        <v>448</v>
      </c>
      <c r="AC88" s="280">
        <v>2</v>
      </c>
      <c r="AD88" s="280"/>
      <c r="AE88" s="104"/>
      <c r="AF88" s="104"/>
      <c r="AG88" s="104"/>
      <c r="AH88" s="104"/>
      <c r="AI88" s="104"/>
      <c r="AJ88" s="104"/>
      <c r="AK88" s="104"/>
      <c r="AL88" s="104"/>
    </row>
    <row r="89" spans="1:38" x14ac:dyDescent="0.2">
      <c r="A89" s="104"/>
      <c r="B89" s="252"/>
      <c r="C89" s="252" t="s">
        <v>107</v>
      </c>
      <c r="D89" s="255">
        <v>0</v>
      </c>
      <c r="E89" s="255" t="s">
        <v>35</v>
      </c>
      <c r="F89" s="255"/>
      <c r="G89" s="255">
        <v>0</v>
      </c>
      <c r="H89" s="494">
        <v>0</v>
      </c>
      <c r="I89" s="255">
        <v>0</v>
      </c>
      <c r="J89" s="255">
        <v>0</v>
      </c>
      <c r="K89" s="255">
        <v>0</v>
      </c>
      <c r="L89" s="255">
        <v>0</v>
      </c>
      <c r="M89" s="255">
        <v>0</v>
      </c>
      <c r="N89" s="255"/>
      <c r="O89" s="255"/>
      <c r="P89" s="255"/>
      <c r="Q89" s="105"/>
      <c r="R89" s="105"/>
      <c r="S89" s="105"/>
      <c r="T89" s="105"/>
      <c r="U89" s="104"/>
      <c r="V89" s="104"/>
      <c r="W89" s="104"/>
      <c r="X89" s="104"/>
      <c r="Y89" s="104"/>
      <c r="Z89" s="239">
        <v>44055</v>
      </c>
      <c r="AA89" s="279">
        <v>2019</v>
      </c>
      <c r="AB89" s="280" t="s">
        <v>449</v>
      </c>
      <c r="AC89" s="280">
        <v>20</v>
      </c>
      <c r="AD89" s="280"/>
      <c r="AE89" s="104"/>
      <c r="AF89" s="104"/>
      <c r="AG89" s="104"/>
      <c r="AH89" s="104"/>
      <c r="AI89" s="104"/>
      <c r="AJ89" s="104"/>
      <c r="AK89" s="104"/>
      <c r="AL89" s="104"/>
    </row>
    <row r="90" spans="1:38" x14ac:dyDescent="0.2">
      <c r="A90" s="104"/>
      <c r="B90" s="252"/>
      <c r="C90" s="252" t="s">
        <v>373</v>
      </c>
      <c r="D90" s="255">
        <v>0</v>
      </c>
      <c r="E90" s="255" t="s">
        <v>35</v>
      </c>
      <c r="F90" s="255"/>
      <c r="G90" s="255">
        <v>0</v>
      </c>
      <c r="H90" s="494">
        <v>0</v>
      </c>
      <c r="I90" s="255">
        <v>0</v>
      </c>
      <c r="J90" s="255">
        <v>0</v>
      </c>
      <c r="K90" s="255">
        <v>0</v>
      </c>
      <c r="L90" s="255">
        <v>0</v>
      </c>
      <c r="M90" s="255">
        <v>0</v>
      </c>
      <c r="N90" s="255"/>
      <c r="O90" s="255"/>
      <c r="P90" s="255"/>
      <c r="Q90" s="105"/>
      <c r="R90" s="105"/>
      <c r="S90" s="105"/>
      <c r="T90" s="105"/>
      <c r="U90" s="104"/>
      <c r="V90" s="104"/>
      <c r="W90" s="104"/>
      <c r="X90" s="104"/>
      <c r="Y90" s="104"/>
      <c r="Z90" s="239">
        <v>44055</v>
      </c>
      <c r="AA90" s="279">
        <v>2019</v>
      </c>
      <c r="AB90" s="280" t="s">
        <v>450</v>
      </c>
      <c r="AC90" s="280">
        <v>20</v>
      </c>
      <c r="AD90" s="280"/>
      <c r="AE90" s="104"/>
      <c r="AF90" s="104"/>
      <c r="AG90" s="104"/>
      <c r="AH90" s="104"/>
      <c r="AI90" s="104"/>
      <c r="AJ90" s="104"/>
      <c r="AK90" s="104"/>
      <c r="AL90" s="104"/>
    </row>
    <row r="91" spans="1:38" ht="18" x14ac:dyDescent="0.25">
      <c r="A91" s="104"/>
      <c r="B91" s="252" t="s">
        <v>35</v>
      </c>
      <c r="C91" s="252" t="s">
        <v>31</v>
      </c>
      <c r="D91" s="255">
        <v>0</v>
      </c>
      <c r="E91" s="255" t="s">
        <v>35</v>
      </c>
      <c r="F91" s="255"/>
      <c r="G91" s="255">
        <v>0</v>
      </c>
      <c r="H91" s="494">
        <v>0</v>
      </c>
      <c r="I91" s="255">
        <v>0</v>
      </c>
      <c r="J91" s="255">
        <v>0</v>
      </c>
      <c r="K91" s="255">
        <v>0</v>
      </c>
      <c r="L91" s="255">
        <v>0</v>
      </c>
      <c r="M91" s="255">
        <v>0</v>
      </c>
      <c r="N91" s="255"/>
      <c r="O91" s="255"/>
      <c r="P91" s="255"/>
      <c r="Q91" s="105" t="s">
        <v>35</v>
      </c>
      <c r="R91" s="105"/>
      <c r="S91" s="105"/>
      <c r="T91" s="105"/>
      <c r="U91" s="104"/>
      <c r="V91" s="104"/>
      <c r="W91" s="104"/>
      <c r="X91" s="104"/>
      <c r="Y91" s="104"/>
      <c r="Z91" s="239">
        <v>44055</v>
      </c>
      <c r="AA91" s="279">
        <v>2019</v>
      </c>
      <c r="AB91" s="280" t="s">
        <v>451</v>
      </c>
      <c r="AC91" s="280">
        <v>20</v>
      </c>
      <c r="AD91" s="240"/>
      <c r="AE91" s="104"/>
      <c r="AF91" s="104"/>
      <c r="AG91" s="104"/>
      <c r="AH91" s="104"/>
      <c r="AI91" s="104"/>
      <c r="AJ91" s="104"/>
      <c r="AK91" s="104"/>
      <c r="AL91" s="104"/>
    </row>
    <row r="92" spans="1:38" x14ac:dyDescent="0.2">
      <c r="A92" s="104"/>
      <c r="B92" s="252"/>
      <c r="C92" s="252" t="s">
        <v>25</v>
      </c>
      <c r="D92" s="255">
        <v>0</v>
      </c>
      <c r="E92" s="255" t="s">
        <v>35</v>
      </c>
      <c r="F92" s="255"/>
      <c r="G92" s="255">
        <v>0</v>
      </c>
      <c r="H92" s="494">
        <v>0</v>
      </c>
      <c r="I92" s="255">
        <v>0</v>
      </c>
      <c r="J92" s="255">
        <v>0</v>
      </c>
      <c r="K92" s="255">
        <v>0</v>
      </c>
      <c r="L92" s="255">
        <v>0</v>
      </c>
      <c r="M92" s="255">
        <v>0</v>
      </c>
      <c r="N92" s="255"/>
      <c r="O92" s="255"/>
      <c r="P92" s="255"/>
      <c r="Q92" s="105" t="s">
        <v>35</v>
      </c>
      <c r="R92" s="105"/>
      <c r="S92" s="105"/>
      <c r="T92" s="105"/>
      <c r="U92" s="104"/>
      <c r="V92" s="104"/>
      <c r="W92" s="104"/>
      <c r="X92" s="104"/>
      <c r="Y92" s="104"/>
      <c r="Z92" s="239">
        <v>44055</v>
      </c>
      <c r="AA92" s="279">
        <v>2019</v>
      </c>
      <c r="AB92" s="179" t="s">
        <v>370</v>
      </c>
      <c r="AC92" s="280">
        <v>1</v>
      </c>
      <c r="AD92" s="280"/>
      <c r="AE92" s="104"/>
      <c r="AF92" s="104"/>
      <c r="AG92" s="104"/>
      <c r="AH92" s="104"/>
      <c r="AI92" s="104"/>
      <c r="AJ92" s="104"/>
      <c r="AK92" s="104"/>
      <c r="AL92" s="104"/>
    </row>
    <row r="93" spans="1:38" x14ac:dyDescent="0.2">
      <c r="A93" s="104"/>
      <c r="B93" s="252"/>
      <c r="C93" s="252" t="s">
        <v>110</v>
      </c>
      <c r="D93" s="255">
        <v>0</v>
      </c>
      <c r="E93" s="255" t="s">
        <v>35</v>
      </c>
      <c r="F93" s="255"/>
      <c r="G93" s="255">
        <v>0</v>
      </c>
      <c r="H93" s="494">
        <v>0</v>
      </c>
      <c r="I93" s="255">
        <v>0</v>
      </c>
      <c r="J93" s="255">
        <v>0</v>
      </c>
      <c r="K93" s="255">
        <v>0</v>
      </c>
      <c r="L93" s="255">
        <v>0</v>
      </c>
      <c r="M93" s="255">
        <v>0</v>
      </c>
      <c r="N93" s="255"/>
      <c r="O93" s="255"/>
      <c r="P93" s="255"/>
      <c r="Q93" s="105"/>
      <c r="R93" s="105"/>
      <c r="S93" s="105"/>
      <c r="T93" s="105"/>
      <c r="U93" s="104"/>
      <c r="V93" s="104"/>
      <c r="W93" s="104"/>
      <c r="X93" s="104"/>
      <c r="Y93" s="104"/>
      <c r="Z93" s="239">
        <v>44096</v>
      </c>
      <c r="AA93" s="279">
        <v>2019</v>
      </c>
      <c r="AB93" s="280" t="s">
        <v>452</v>
      </c>
      <c r="AC93" s="280">
        <v>54</v>
      </c>
      <c r="AD93" s="280"/>
      <c r="AE93" s="104"/>
      <c r="AF93" s="104"/>
      <c r="AG93" s="104"/>
      <c r="AH93" s="104"/>
      <c r="AI93" s="104"/>
      <c r="AJ93" s="104"/>
      <c r="AK93" s="104"/>
      <c r="AL93" s="104"/>
    </row>
    <row r="94" spans="1:38" x14ac:dyDescent="0.2">
      <c r="A94" s="104"/>
      <c r="B94" s="252"/>
      <c r="C94" s="252" t="s">
        <v>26</v>
      </c>
      <c r="D94" s="255">
        <v>0</v>
      </c>
      <c r="E94" s="255" t="s">
        <v>35</v>
      </c>
      <c r="F94" s="255"/>
      <c r="G94" s="255">
        <v>0</v>
      </c>
      <c r="H94" s="494">
        <v>0</v>
      </c>
      <c r="I94" s="255">
        <v>0</v>
      </c>
      <c r="J94" s="255">
        <v>0</v>
      </c>
      <c r="K94" s="255">
        <v>0</v>
      </c>
      <c r="L94" s="255">
        <v>0</v>
      </c>
      <c r="M94" s="255">
        <v>0</v>
      </c>
      <c r="N94" s="255"/>
      <c r="O94" s="255"/>
      <c r="P94" s="255"/>
      <c r="Q94" s="105"/>
      <c r="R94" s="105"/>
      <c r="S94" s="105"/>
      <c r="T94" s="105"/>
      <c r="U94" s="104"/>
      <c r="V94" s="104"/>
      <c r="W94" s="104"/>
      <c r="X94" s="104"/>
      <c r="Y94" s="104"/>
      <c r="Z94" s="239">
        <v>44096</v>
      </c>
      <c r="AA94" s="279">
        <v>2019</v>
      </c>
      <c r="AB94" s="280" t="s">
        <v>449</v>
      </c>
      <c r="AC94" s="280">
        <v>12</v>
      </c>
      <c r="AD94" s="280"/>
      <c r="AE94" s="104"/>
      <c r="AF94" s="104"/>
      <c r="AG94" s="104"/>
      <c r="AH94" s="104"/>
      <c r="AI94" s="104"/>
      <c r="AJ94" s="104"/>
      <c r="AK94" s="104"/>
      <c r="AL94" s="104"/>
    </row>
    <row r="95" spans="1:38" x14ac:dyDescent="0.2">
      <c r="A95" s="104"/>
      <c r="B95" s="252"/>
      <c r="C95" s="252" t="s">
        <v>23</v>
      </c>
      <c r="D95" s="255">
        <v>0</v>
      </c>
      <c r="E95" s="255" t="s">
        <v>35</v>
      </c>
      <c r="F95" s="255"/>
      <c r="G95" s="255">
        <v>0</v>
      </c>
      <c r="H95" s="494">
        <v>0</v>
      </c>
      <c r="I95" s="255">
        <v>0</v>
      </c>
      <c r="J95" s="255">
        <v>0</v>
      </c>
      <c r="K95" s="255">
        <v>0</v>
      </c>
      <c r="L95" s="255">
        <v>0</v>
      </c>
      <c r="M95" s="255">
        <v>0</v>
      </c>
      <c r="N95" s="255"/>
      <c r="O95" s="255"/>
      <c r="P95" s="255"/>
      <c r="Q95" s="105"/>
      <c r="R95" s="105"/>
      <c r="S95" s="105"/>
      <c r="T95" s="105"/>
      <c r="U95" s="104"/>
      <c r="V95" s="104"/>
      <c r="W95" s="104"/>
      <c r="X95" s="104"/>
      <c r="Y95" s="104"/>
      <c r="Z95" s="239">
        <v>44096</v>
      </c>
      <c r="AA95" s="279">
        <v>2019</v>
      </c>
      <c r="AB95" s="280" t="s">
        <v>450</v>
      </c>
      <c r="AC95" s="280">
        <v>22</v>
      </c>
      <c r="AD95" s="280"/>
      <c r="AE95" s="104"/>
      <c r="AF95" s="104"/>
      <c r="AG95" s="104"/>
      <c r="AH95" s="104"/>
      <c r="AI95" s="104"/>
      <c r="AJ95" s="104"/>
      <c r="AK95" s="104"/>
      <c r="AL95" s="104"/>
    </row>
    <row r="96" spans="1:38" x14ac:dyDescent="0.2">
      <c r="A96" s="104"/>
      <c r="B96" s="252"/>
      <c r="C96" s="252" t="s">
        <v>374</v>
      </c>
      <c r="D96" s="255">
        <v>0</v>
      </c>
      <c r="E96" s="255" t="s">
        <v>35</v>
      </c>
      <c r="F96" s="255"/>
      <c r="G96" s="255">
        <v>0</v>
      </c>
      <c r="H96" s="494">
        <v>0</v>
      </c>
      <c r="I96" s="255">
        <v>0</v>
      </c>
      <c r="J96" s="255">
        <v>0</v>
      </c>
      <c r="K96" s="255">
        <v>0</v>
      </c>
      <c r="L96" s="255">
        <v>0</v>
      </c>
      <c r="M96" s="255">
        <v>0</v>
      </c>
      <c r="N96" s="255"/>
      <c r="O96" s="255"/>
      <c r="P96" s="255"/>
      <c r="Q96" s="105"/>
      <c r="R96" s="105"/>
      <c r="S96" s="105"/>
      <c r="T96" s="105"/>
      <c r="U96" s="104"/>
      <c r="V96" s="104"/>
      <c r="W96" s="104"/>
      <c r="X96" s="104"/>
      <c r="Y96" s="104"/>
      <c r="Z96" s="239">
        <v>44096</v>
      </c>
      <c r="AA96" s="279">
        <v>2019</v>
      </c>
      <c r="AB96" s="280" t="s">
        <v>370</v>
      </c>
      <c r="AC96" s="280">
        <v>2</v>
      </c>
      <c r="AD96" s="280"/>
      <c r="AE96" s="104"/>
      <c r="AF96" s="104"/>
      <c r="AG96" s="104"/>
      <c r="AH96" s="104"/>
      <c r="AI96" s="104"/>
      <c r="AJ96" s="104"/>
      <c r="AK96" s="104"/>
      <c r="AL96" s="104"/>
    </row>
    <row r="97" spans="1:38" x14ac:dyDescent="0.2">
      <c r="A97" s="104"/>
      <c r="B97" s="252"/>
      <c r="C97" s="252" t="s">
        <v>70</v>
      </c>
      <c r="D97" s="255">
        <v>0</v>
      </c>
      <c r="E97" s="255" t="s">
        <v>35</v>
      </c>
      <c r="F97" s="255"/>
      <c r="G97" s="255">
        <v>0</v>
      </c>
      <c r="H97" s="494">
        <v>0</v>
      </c>
      <c r="I97" s="255">
        <v>0</v>
      </c>
      <c r="J97" s="255">
        <v>0</v>
      </c>
      <c r="K97" s="255">
        <v>0</v>
      </c>
      <c r="L97" s="255">
        <v>0</v>
      </c>
      <c r="M97" s="255">
        <v>0</v>
      </c>
      <c r="N97" s="255"/>
      <c r="O97" s="255"/>
      <c r="P97" s="255"/>
      <c r="Q97" s="105"/>
      <c r="R97" s="105"/>
      <c r="S97" s="105"/>
      <c r="T97" s="105"/>
      <c r="U97" s="104"/>
      <c r="V97" s="104"/>
      <c r="W97" s="104"/>
      <c r="X97" s="104"/>
      <c r="Y97" s="104"/>
      <c r="Z97" s="239">
        <v>44103</v>
      </c>
      <c r="AA97" s="279">
        <v>2019</v>
      </c>
      <c r="AB97" s="280" t="s">
        <v>452</v>
      </c>
      <c r="AC97" s="280">
        <v>108</v>
      </c>
      <c r="AD97" s="280"/>
      <c r="AE97" s="104"/>
      <c r="AF97" s="104"/>
      <c r="AG97" s="104"/>
      <c r="AH97" s="104"/>
      <c r="AI97" s="104"/>
      <c r="AJ97" s="104"/>
      <c r="AK97" s="104"/>
      <c r="AL97" s="104"/>
    </row>
    <row r="98" spans="1:38" x14ac:dyDescent="0.2">
      <c r="A98" s="104"/>
      <c r="B98" s="252"/>
      <c r="C98" s="252" t="s">
        <v>29</v>
      </c>
      <c r="D98" s="255">
        <v>0</v>
      </c>
      <c r="E98" s="255" t="s">
        <v>35</v>
      </c>
      <c r="F98" s="255"/>
      <c r="G98" s="255">
        <v>0</v>
      </c>
      <c r="H98" s="494">
        <v>0</v>
      </c>
      <c r="I98" s="255">
        <v>0</v>
      </c>
      <c r="J98" s="255">
        <v>0</v>
      </c>
      <c r="K98" s="255">
        <v>0</v>
      </c>
      <c r="L98" s="255">
        <v>0</v>
      </c>
      <c r="M98" s="255">
        <v>0</v>
      </c>
      <c r="N98" s="255"/>
      <c r="O98" s="255"/>
      <c r="P98" s="255"/>
      <c r="Q98" s="105"/>
      <c r="R98" s="105"/>
      <c r="S98" s="105"/>
      <c r="T98" s="105"/>
      <c r="U98" s="104"/>
      <c r="V98" s="104"/>
      <c r="W98" s="104"/>
      <c r="X98" s="104"/>
      <c r="Y98" s="104"/>
      <c r="Z98" s="239">
        <v>44123</v>
      </c>
      <c r="AA98" s="279">
        <v>2019</v>
      </c>
      <c r="AB98" s="280" t="s">
        <v>449</v>
      </c>
      <c r="AC98" s="280">
        <v>12</v>
      </c>
      <c r="AD98" s="280"/>
      <c r="AE98" s="104"/>
      <c r="AF98" s="104"/>
      <c r="AG98" s="104"/>
      <c r="AH98" s="104"/>
      <c r="AI98" s="104"/>
      <c r="AJ98" s="104"/>
      <c r="AK98" s="104"/>
      <c r="AL98" s="104"/>
    </row>
    <row r="99" spans="1:38" x14ac:dyDescent="0.2">
      <c r="A99" s="104"/>
      <c r="B99" s="252"/>
      <c r="C99" s="252" t="s">
        <v>24</v>
      </c>
      <c r="D99" s="255">
        <v>330</v>
      </c>
      <c r="E99" s="255">
        <v>330</v>
      </c>
      <c r="F99" s="255">
        <v>330</v>
      </c>
      <c r="G99" s="255">
        <v>330</v>
      </c>
      <c r="H99" s="494">
        <v>330</v>
      </c>
      <c r="I99" s="255">
        <v>330</v>
      </c>
      <c r="J99" s="255">
        <v>330</v>
      </c>
      <c r="K99" s="255">
        <v>330</v>
      </c>
      <c r="L99" s="255">
        <v>330</v>
      </c>
      <c r="M99" s="255">
        <v>330</v>
      </c>
      <c r="N99" s="255">
        <v>330</v>
      </c>
      <c r="O99" s="255">
        <v>260</v>
      </c>
      <c r="P99" s="255">
        <v>120</v>
      </c>
      <c r="Q99" s="105">
        <v>4.5</v>
      </c>
      <c r="R99" s="105"/>
      <c r="S99" s="105"/>
      <c r="T99" s="105"/>
      <c r="U99" s="104"/>
      <c r="V99" s="104"/>
      <c r="W99" s="104"/>
      <c r="X99" s="104"/>
      <c r="Y99" s="104"/>
      <c r="Z99" s="239">
        <v>44123</v>
      </c>
      <c r="AA99" s="279">
        <v>2019</v>
      </c>
      <c r="AB99" s="280" t="s">
        <v>451</v>
      </c>
      <c r="AC99" s="280">
        <v>12</v>
      </c>
      <c r="AD99" s="280"/>
      <c r="AE99" s="104"/>
      <c r="AF99" s="104"/>
      <c r="AG99" s="104"/>
      <c r="AH99" s="104"/>
      <c r="AI99" s="104"/>
      <c r="AJ99" s="104"/>
      <c r="AK99" s="104"/>
      <c r="AL99" s="104"/>
    </row>
    <row r="100" spans="1:38" x14ac:dyDescent="0.2">
      <c r="A100" s="104"/>
      <c r="B100" s="252"/>
      <c r="C100" s="252" t="s">
        <v>307</v>
      </c>
      <c r="D100" s="255">
        <v>0</v>
      </c>
      <c r="E100" s="255" t="s">
        <v>35</v>
      </c>
      <c r="F100" s="255"/>
      <c r="G100" s="255">
        <v>0</v>
      </c>
      <c r="H100" s="494">
        <v>0</v>
      </c>
      <c r="I100" s="255">
        <v>0</v>
      </c>
      <c r="J100" s="255">
        <v>0</v>
      </c>
      <c r="K100" s="255">
        <v>0</v>
      </c>
      <c r="L100" s="255">
        <v>0</v>
      </c>
      <c r="M100" s="255">
        <v>0</v>
      </c>
      <c r="N100" s="255"/>
      <c r="O100" s="255"/>
      <c r="P100" s="255"/>
      <c r="Q100" s="105"/>
      <c r="R100" s="105"/>
      <c r="S100" s="105"/>
      <c r="T100" s="105"/>
      <c r="U100" s="104"/>
      <c r="V100" s="104"/>
      <c r="W100" s="104"/>
      <c r="X100" s="104"/>
      <c r="Y100" s="104"/>
      <c r="Z100" s="105"/>
      <c r="AA100" s="104"/>
      <c r="AB100" s="104"/>
      <c r="AC100" s="104"/>
      <c r="AD100" s="104"/>
      <c r="AE100" s="104"/>
      <c r="AF100" s="104"/>
      <c r="AG100" s="104"/>
      <c r="AH100" s="104"/>
      <c r="AI100" s="104"/>
      <c r="AJ100" s="104"/>
      <c r="AK100" s="104"/>
      <c r="AL100" s="104"/>
    </row>
    <row r="101" spans="1:38" x14ac:dyDescent="0.2">
      <c r="A101" s="104"/>
      <c r="B101" s="252"/>
      <c r="C101" s="252" t="s">
        <v>371</v>
      </c>
      <c r="D101" s="255">
        <v>0</v>
      </c>
      <c r="E101" s="255" t="s">
        <v>35</v>
      </c>
      <c r="F101" s="255"/>
      <c r="G101" s="255">
        <v>0</v>
      </c>
      <c r="H101" s="494">
        <v>0</v>
      </c>
      <c r="I101" s="255">
        <v>0</v>
      </c>
      <c r="J101" s="255">
        <v>0</v>
      </c>
      <c r="K101" s="255">
        <v>0</v>
      </c>
      <c r="L101" s="255">
        <v>0</v>
      </c>
      <c r="M101" s="255">
        <v>0</v>
      </c>
      <c r="N101" s="255"/>
      <c r="O101" s="255"/>
      <c r="P101" s="255"/>
      <c r="Q101" s="105"/>
      <c r="R101" s="105"/>
      <c r="S101" s="105"/>
      <c r="T101" s="105"/>
      <c r="U101" s="104"/>
      <c r="V101" s="104"/>
      <c r="W101" s="104"/>
      <c r="X101" s="104"/>
      <c r="Y101" s="104"/>
      <c r="Z101" s="105"/>
      <c r="AA101" s="104"/>
      <c r="AB101" s="104"/>
      <c r="AC101" s="104"/>
      <c r="AD101" s="104"/>
      <c r="AE101" s="104"/>
      <c r="AF101" s="104"/>
      <c r="AG101" s="104"/>
      <c r="AH101" s="104"/>
      <c r="AI101" s="104"/>
      <c r="AJ101" s="104"/>
      <c r="AK101" s="104"/>
      <c r="AL101" s="104"/>
    </row>
    <row r="102" spans="1:38" x14ac:dyDescent="0.2">
      <c r="A102" s="104"/>
      <c r="B102" s="252"/>
      <c r="C102" s="252" t="s">
        <v>94</v>
      </c>
      <c r="D102" s="255">
        <v>0</v>
      </c>
      <c r="E102" s="255" t="s">
        <v>35</v>
      </c>
      <c r="F102" s="255"/>
      <c r="G102" s="255">
        <v>0</v>
      </c>
      <c r="H102" s="494">
        <v>0</v>
      </c>
      <c r="I102" s="255">
        <v>0</v>
      </c>
      <c r="J102" s="255">
        <v>0</v>
      </c>
      <c r="K102" s="255">
        <v>0</v>
      </c>
      <c r="L102" s="255">
        <v>0</v>
      </c>
      <c r="M102" s="255">
        <v>0</v>
      </c>
      <c r="N102" s="255"/>
      <c r="O102" s="255"/>
      <c r="P102" s="255"/>
      <c r="Q102" s="105"/>
      <c r="R102" s="105"/>
      <c r="S102" s="105"/>
      <c r="T102" s="105"/>
      <c r="U102" s="104"/>
      <c r="V102" s="104"/>
      <c r="W102" s="104"/>
      <c r="X102" s="104"/>
      <c r="Y102" s="104"/>
      <c r="Z102" s="105"/>
      <c r="AA102" s="104"/>
      <c r="AB102" s="104"/>
      <c r="AC102" s="104"/>
      <c r="AD102" s="104"/>
      <c r="AE102" s="104"/>
      <c r="AF102" s="104"/>
      <c r="AG102" s="104"/>
      <c r="AH102" s="104"/>
      <c r="AI102" s="104"/>
      <c r="AJ102" s="104"/>
      <c r="AK102" s="104"/>
      <c r="AL102" s="104"/>
    </row>
    <row r="103" spans="1:38" x14ac:dyDescent="0.2">
      <c r="A103" s="104"/>
      <c r="B103" s="252"/>
      <c r="C103" s="252" t="s">
        <v>22</v>
      </c>
      <c r="D103" s="255">
        <v>0</v>
      </c>
      <c r="E103" s="255" t="s">
        <v>35</v>
      </c>
      <c r="F103" s="255"/>
      <c r="G103" s="255">
        <v>0</v>
      </c>
      <c r="H103" s="494">
        <v>0</v>
      </c>
      <c r="I103" s="255">
        <v>0</v>
      </c>
      <c r="J103" s="255">
        <v>0</v>
      </c>
      <c r="K103" s="255">
        <v>0</v>
      </c>
      <c r="L103" s="255">
        <v>0</v>
      </c>
      <c r="M103" s="255">
        <v>0</v>
      </c>
      <c r="N103" s="255"/>
      <c r="O103" s="255"/>
      <c r="P103" s="255"/>
      <c r="Q103" s="105"/>
      <c r="R103" s="105"/>
      <c r="S103" s="105"/>
      <c r="T103" s="105"/>
      <c r="U103" s="104"/>
      <c r="V103" s="104"/>
      <c r="W103" s="104"/>
      <c r="X103" s="104"/>
      <c r="Y103" s="104"/>
      <c r="Z103" s="105"/>
      <c r="AA103" s="104"/>
      <c r="AB103" s="104"/>
      <c r="AC103" s="104"/>
      <c r="AD103" s="104"/>
      <c r="AE103" s="104"/>
      <c r="AF103" s="104"/>
      <c r="AG103" s="104"/>
      <c r="AH103" s="104"/>
      <c r="AI103" s="104"/>
      <c r="AJ103" s="104"/>
      <c r="AK103" s="104"/>
      <c r="AL103" s="104"/>
    </row>
    <row r="104" spans="1:38" x14ac:dyDescent="0.2">
      <c r="A104" s="104"/>
      <c r="B104" s="252"/>
      <c r="C104" s="252" t="s">
        <v>135</v>
      </c>
      <c r="D104" s="255">
        <v>0</v>
      </c>
      <c r="E104" s="255">
        <v>70</v>
      </c>
      <c r="F104" s="255">
        <v>70</v>
      </c>
      <c r="G104" s="255">
        <v>70</v>
      </c>
      <c r="H104" s="494">
        <v>35</v>
      </c>
      <c r="I104" s="255">
        <v>6</v>
      </c>
      <c r="J104" s="255">
        <v>6</v>
      </c>
      <c r="K104" s="255">
        <v>6</v>
      </c>
      <c r="L104" s="255">
        <v>0</v>
      </c>
      <c r="M104" s="255">
        <v>0</v>
      </c>
      <c r="N104" s="255"/>
      <c r="O104" s="255"/>
      <c r="P104" s="255"/>
      <c r="Q104" s="105"/>
      <c r="R104" s="105"/>
      <c r="S104" s="105"/>
      <c r="T104" s="105"/>
      <c r="U104" s="104"/>
      <c r="V104" s="104"/>
      <c r="W104" s="104"/>
      <c r="X104" s="104"/>
      <c r="Y104" s="104"/>
      <c r="Z104" s="105"/>
      <c r="AA104" s="104"/>
      <c r="AB104" s="104"/>
      <c r="AC104" s="104"/>
      <c r="AD104" s="104"/>
      <c r="AE104" s="104"/>
      <c r="AF104" s="104"/>
      <c r="AG104" s="104"/>
      <c r="AH104" s="104"/>
      <c r="AI104" s="104"/>
      <c r="AJ104" s="104"/>
      <c r="AK104" s="104"/>
      <c r="AL104" s="104"/>
    </row>
    <row r="105" spans="1:38" x14ac:dyDescent="0.2">
      <c r="A105" s="104"/>
      <c r="B105" s="252">
        <v>2019</v>
      </c>
      <c r="C105" s="252" t="s">
        <v>26</v>
      </c>
      <c r="D105" s="255">
        <v>1610</v>
      </c>
      <c r="E105" s="255">
        <v>1610</v>
      </c>
      <c r="F105" s="255">
        <v>1190</v>
      </c>
      <c r="G105" s="255">
        <v>1190</v>
      </c>
      <c r="H105" s="494">
        <v>1190</v>
      </c>
      <c r="I105" s="255">
        <v>1190</v>
      </c>
      <c r="J105" s="255">
        <v>560</v>
      </c>
      <c r="K105" s="255">
        <v>560</v>
      </c>
      <c r="L105" s="255">
        <v>560</v>
      </c>
      <c r="M105" s="255">
        <v>520</v>
      </c>
      <c r="N105" s="255">
        <v>520</v>
      </c>
      <c r="O105" s="255">
        <v>505</v>
      </c>
      <c r="P105" s="255">
        <v>0</v>
      </c>
      <c r="Q105" s="105">
        <v>7.5</v>
      </c>
      <c r="R105" s="105"/>
      <c r="S105" s="105"/>
      <c r="T105" s="105"/>
      <c r="U105" s="104"/>
      <c r="V105" s="104"/>
      <c r="W105" s="104"/>
      <c r="X105" s="104"/>
      <c r="Y105" s="104"/>
      <c r="Z105" s="105"/>
      <c r="AA105" s="104"/>
      <c r="AB105" s="104"/>
      <c r="AC105" s="104"/>
      <c r="AD105" s="104"/>
      <c r="AE105" s="104"/>
      <c r="AF105" s="104"/>
      <c r="AG105" s="104"/>
      <c r="AH105" s="104"/>
      <c r="AI105" s="104"/>
      <c r="AJ105" s="104"/>
      <c r="AK105" s="104"/>
      <c r="AL105" s="104"/>
    </row>
    <row r="106" spans="1:38" x14ac:dyDescent="0.2">
      <c r="A106" s="104"/>
      <c r="B106" s="252"/>
      <c r="C106" s="252" t="s">
        <v>70</v>
      </c>
      <c r="D106" s="255">
        <v>1260</v>
      </c>
      <c r="E106" s="255">
        <v>1260</v>
      </c>
      <c r="F106" s="255">
        <v>1260</v>
      </c>
      <c r="G106" s="255">
        <v>1260</v>
      </c>
      <c r="H106" s="494">
        <v>1260</v>
      </c>
      <c r="I106" s="255">
        <v>1260</v>
      </c>
      <c r="J106" s="255">
        <v>910</v>
      </c>
      <c r="K106" s="255">
        <v>910</v>
      </c>
      <c r="L106" s="255">
        <v>910</v>
      </c>
      <c r="M106" s="255">
        <v>910</v>
      </c>
      <c r="N106" s="255">
        <v>910</v>
      </c>
      <c r="O106" s="255">
        <v>910</v>
      </c>
      <c r="P106" s="255">
        <v>0</v>
      </c>
      <c r="Q106" s="105">
        <v>13</v>
      </c>
      <c r="R106" s="105"/>
      <c r="S106" s="105"/>
      <c r="T106" s="105"/>
      <c r="U106" s="104"/>
      <c r="V106" s="104"/>
      <c r="W106" s="104"/>
      <c r="X106" s="104"/>
      <c r="Y106" s="104"/>
      <c r="Z106" s="105"/>
      <c r="AA106" s="104"/>
      <c r="AB106" s="104"/>
      <c r="AC106" s="104"/>
      <c r="AD106" s="104"/>
      <c r="AE106" s="104"/>
      <c r="AF106" s="104"/>
      <c r="AG106" s="104"/>
      <c r="AH106" s="104"/>
      <c r="AI106" s="104"/>
      <c r="AJ106" s="104"/>
      <c r="AK106" s="104"/>
      <c r="AL106" s="104"/>
    </row>
    <row r="107" spans="1:38" x14ac:dyDescent="0.2">
      <c r="A107" s="104"/>
      <c r="B107" s="252"/>
      <c r="C107" s="252" t="s">
        <v>24</v>
      </c>
      <c r="D107" s="255">
        <v>1780</v>
      </c>
      <c r="E107" s="255">
        <v>1780</v>
      </c>
      <c r="F107" s="255">
        <v>2450</v>
      </c>
      <c r="G107" s="255">
        <v>2450</v>
      </c>
      <c r="H107" s="494">
        <v>2450</v>
      </c>
      <c r="I107" s="255">
        <v>2450</v>
      </c>
      <c r="J107" s="255">
        <v>286</v>
      </c>
      <c r="K107" s="255">
        <v>286</v>
      </c>
      <c r="L107" s="255">
        <v>280</v>
      </c>
      <c r="M107" s="255">
        <v>280</v>
      </c>
      <c r="N107" s="255">
        <v>280</v>
      </c>
      <c r="O107" s="255">
        <v>280</v>
      </c>
      <c r="P107" s="255">
        <v>0</v>
      </c>
      <c r="Q107" s="105">
        <v>4</v>
      </c>
      <c r="R107" s="105"/>
      <c r="S107" s="105"/>
      <c r="T107" s="105"/>
      <c r="U107" s="104"/>
      <c r="V107" s="104"/>
      <c r="W107" s="104"/>
      <c r="X107" s="104"/>
      <c r="Y107" s="104"/>
      <c r="Z107" s="105"/>
      <c r="AA107" s="104"/>
      <c r="AB107" s="104"/>
      <c r="AC107" s="104"/>
      <c r="AD107" s="104"/>
      <c r="AE107" s="104"/>
      <c r="AF107" s="104"/>
      <c r="AG107" s="104"/>
      <c r="AH107" s="104"/>
      <c r="AI107" s="104"/>
      <c r="AJ107" s="104"/>
      <c r="AK107" s="104"/>
      <c r="AL107" s="104"/>
    </row>
    <row r="108" spans="1:38" x14ac:dyDescent="0.2">
      <c r="A108" s="104"/>
      <c r="B108" s="252"/>
      <c r="C108" s="252" t="s">
        <v>23</v>
      </c>
      <c r="D108" s="255">
        <v>2450</v>
      </c>
      <c r="E108" s="255">
        <v>2450</v>
      </c>
      <c r="F108" s="255">
        <v>2660</v>
      </c>
      <c r="G108" s="255">
        <v>2565</v>
      </c>
      <c r="H108" s="494">
        <v>2565</v>
      </c>
      <c r="I108" s="255">
        <v>2565</v>
      </c>
      <c r="J108" s="255">
        <v>2240</v>
      </c>
      <c r="K108" s="255">
        <v>2240</v>
      </c>
      <c r="L108" s="255">
        <v>2240</v>
      </c>
      <c r="M108" s="255">
        <v>2240</v>
      </c>
      <c r="N108" s="255">
        <v>2240</v>
      </c>
      <c r="O108" s="255">
        <v>1157</v>
      </c>
      <c r="P108" s="255">
        <v>0</v>
      </c>
      <c r="Q108" s="105">
        <v>32</v>
      </c>
      <c r="R108" s="105"/>
      <c r="S108" s="105"/>
      <c r="T108" s="105"/>
      <c r="U108" s="104"/>
      <c r="V108" s="104"/>
      <c r="W108" s="104"/>
      <c r="X108" s="104"/>
      <c r="Y108" s="104"/>
      <c r="Z108" s="105"/>
      <c r="AA108" s="104"/>
      <c r="AB108" s="104"/>
      <c r="AC108" s="104"/>
      <c r="AD108" s="104"/>
      <c r="AE108" s="104"/>
      <c r="AF108" s="104"/>
      <c r="AG108" s="104"/>
      <c r="AH108" s="104"/>
      <c r="AI108" s="104"/>
      <c r="AJ108" s="104"/>
      <c r="AK108" s="104"/>
      <c r="AL108" s="104"/>
    </row>
    <row r="109" spans="1:38" x14ac:dyDescent="0.2">
      <c r="A109" s="104"/>
      <c r="B109" s="252"/>
      <c r="C109" s="252" t="s">
        <v>375</v>
      </c>
      <c r="D109" s="255">
        <v>70</v>
      </c>
      <c r="E109" s="255">
        <v>70</v>
      </c>
      <c r="F109" s="255">
        <v>0</v>
      </c>
      <c r="G109" s="255">
        <v>0</v>
      </c>
      <c r="H109" s="494">
        <v>0</v>
      </c>
      <c r="I109" s="255">
        <v>0</v>
      </c>
      <c r="J109" s="255">
        <v>0</v>
      </c>
      <c r="K109" s="255">
        <v>0</v>
      </c>
      <c r="L109" s="255">
        <v>0</v>
      </c>
      <c r="M109" s="255">
        <v>0</v>
      </c>
      <c r="N109" s="255">
        <v>0</v>
      </c>
      <c r="O109" s="255">
        <v>0</v>
      </c>
      <c r="P109" s="255">
        <v>0</v>
      </c>
      <c r="Q109" s="105"/>
      <c r="R109" s="105"/>
      <c r="S109" s="105"/>
      <c r="T109" s="105"/>
      <c r="U109" s="104"/>
      <c r="V109" s="104"/>
      <c r="W109" s="104"/>
      <c r="X109" s="104"/>
      <c r="Y109" s="104"/>
      <c r="Z109" s="105"/>
      <c r="AA109" s="104"/>
      <c r="AB109" s="104"/>
      <c r="AC109" s="104"/>
      <c r="AD109" s="104"/>
      <c r="AE109" s="104"/>
      <c r="AF109" s="104"/>
      <c r="AG109" s="104"/>
      <c r="AH109" s="104"/>
      <c r="AI109" s="104"/>
      <c r="AJ109" s="104"/>
      <c r="AK109" s="104"/>
      <c r="AL109" s="104"/>
    </row>
    <row r="110" spans="1:38" x14ac:dyDescent="0.2">
      <c r="A110" s="104"/>
      <c r="B110" s="252"/>
      <c r="C110" s="252" t="s">
        <v>393</v>
      </c>
      <c r="D110" s="255"/>
      <c r="E110" s="255"/>
      <c r="F110" s="255"/>
      <c r="G110" s="255"/>
      <c r="H110" s="494"/>
      <c r="I110" s="255"/>
      <c r="J110" s="255"/>
      <c r="K110" s="255"/>
      <c r="L110" s="255"/>
      <c r="M110" s="255"/>
      <c r="N110" s="255"/>
      <c r="O110" s="255">
        <v>700</v>
      </c>
      <c r="P110" s="255">
        <v>0</v>
      </c>
      <c r="Q110" s="105"/>
      <c r="R110" s="105"/>
      <c r="S110" s="105"/>
      <c r="T110" s="105"/>
      <c r="U110" s="104"/>
      <c r="V110" s="104"/>
      <c r="W110" s="104"/>
      <c r="X110" s="104"/>
      <c r="Y110" s="104"/>
      <c r="Z110" s="105"/>
      <c r="AA110" s="104"/>
      <c r="AB110" s="104"/>
      <c r="AC110" s="104"/>
      <c r="AD110" s="104"/>
      <c r="AE110" s="104"/>
      <c r="AF110" s="104"/>
      <c r="AG110" s="104"/>
      <c r="AH110" s="104"/>
      <c r="AI110" s="104"/>
      <c r="AJ110" s="104"/>
      <c r="AK110" s="104"/>
      <c r="AL110" s="104"/>
    </row>
    <row r="111" spans="1:38" x14ac:dyDescent="0.2">
      <c r="A111" s="104"/>
      <c r="B111" s="252"/>
      <c r="C111" s="252" t="s">
        <v>22</v>
      </c>
      <c r="D111" s="255"/>
      <c r="E111" s="255"/>
      <c r="F111" s="255"/>
      <c r="G111" s="255"/>
      <c r="H111" s="494"/>
      <c r="I111" s="255"/>
      <c r="J111" s="255">
        <v>1400</v>
      </c>
      <c r="K111" s="255">
        <v>1400</v>
      </c>
      <c r="L111" s="255">
        <v>1345</v>
      </c>
      <c r="M111" s="255">
        <v>1330</v>
      </c>
      <c r="N111" s="255">
        <v>1190</v>
      </c>
      <c r="O111" s="255">
        <v>1179</v>
      </c>
      <c r="P111" s="255">
        <v>0</v>
      </c>
      <c r="Q111" s="105">
        <v>19</v>
      </c>
      <c r="R111" s="105"/>
      <c r="S111" s="105"/>
      <c r="T111" s="105"/>
      <c r="U111" s="104"/>
      <c r="V111" s="104"/>
      <c r="W111" s="104"/>
      <c r="X111" s="104"/>
      <c r="Y111" s="104"/>
      <c r="Z111" s="105"/>
      <c r="AA111" s="104"/>
      <c r="AB111" s="104"/>
      <c r="AC111" s="104"/>
      <c r="AD111" s="104"/>
      <c r="AE111" s="104"/>
      <c r="AF111" s="104"/>
      <c r="AG111" s="104"/>
      <c r="AH111" s="104"/>
      <c r="AI111" s="104"/>
      <c r="AJ111" s="104"/>
      <c r="AK111" s="104"/>
      <c r="AL111" s="104"/>
    </row>
    <row r="112" spans="1:38" x14ac:dyDescent="0.2">
      <c r="A112" s="104"/>
      <c r="B112" s="252"/>
      <c r="C112" s="252" t="s">
        <v>94</v>
      </c>
      <c r="D112" s="255"/>
      <c r="E112" s="255"/>
      <c r="F112" s="255"/>
      <c r="G112" s="255"/>
      <c r="H112" s="494"/>
      <c r="I112" s="255"/>
      <c r="J112" s="255">
        <v>2036</v>
      </c>
      <c r="K112" s="255">
        <v>2036</v>
      </c>
      <c r="L112" s="255">
        <v>2030</v>
      </c>
      <c r="M112" s="255">
        <v>2030</v>
      </c>
      <c r="N112" s="255">
        <v>1890</v>
      </c>
      <c r="O112" s="255">
        <v>1890</v>
      </c>
      <c r="P112" s="255">
        <v>2060</v>
      </c>
      <c r="Q112" s="105">
        <v>29</v>
      </c>
      <c r="R112" s="105"/>
      <c r="S112" s="105"/>
      <c r="T112" s="105"/>
      <c r="U112" s="104"/>
      <c r="V112" s="104"/>
      <c r="W112" s="104"/>
      <c r="X112" s="104"/>
      <c r="Y112" s="104"/>
      <c r="Z112" s="105"/>
      <c r="AA112" s="104"/>
      <c r="AB112" s="104"/>
      <c r="AC112" s="104"/>
      <c r="AD112" s="104"/>
      <c r="AE112" s="104"/>
      <c r="AF112" s="104"/>
      <c r="AG112" s="104"/>
      <c r="AH112" s="104"/>
      <c r="AI112" s="104"/>
      <c r="AJ112" s="104"/>
      <c r="AK112" s="104"/>
      <c r="AL112" s="104"/>
    </row>
    <row r="113" spans="1:38" x14ac:dyDescent="0.2">
      <c r="A113" s="104"/>
      <c r="B113" s="252"/>
      <c r="C113" s="252" t="s">
        <v>25</v>
      </c>
      <c r="D113" s="255">
        <v>2800</v>
      </c>
      <c r="E113" s="255">
        <v>2800</v>
      </c>
      <c r="F113" s="255">
        <v>2800</v>
      </c>
      <c r="G113" s="255">
        <v>2800</v>
      </c>
      <c r="H113" s="494">
        <v>2800</v>
      </c>
      <c r="I113" s="255">
        <v>2762</v>
      </c>
      <c r="J113" s="255">
        <v>1750</v>
      </c>
      <c r="K113" s="255">
        <v>1750</v>
      </c>
      <c r="L113" s="255">
        <v>1750</v>
      </c>
      <c r="M113" s="255">
        <v>1750</v>
      </c>
      <c r="N113" s="255">
        <v>1750</v>
      </c>
      <c r="O113" s="255">
        <v>1655</v>
      </c>
      <c r="P113" s="255">
        <v>0</v>
      </c>
      <c r="Q113" s="105">
        <v>25</v>
      </c>
      <c r="R113" s="105"/>
      <c r="S113" s="105"/>
      <c r="T113" s="105"/>
      <c r="U113" s="104"/>
      <c r="V113" s="104"/>
      <c r="W113" s="104"/>
      <c r="X113" s="104"/>
      <c r="Y113" s="104"/>
      <c r="Z113" s="105"/>
      <c r="AA113" s="104"/>
      <c r="AB113" s="104"/>
      <c r="AC113" s="104"/>
      <c r="AD113" s="104"/>
      <c r="AE113" s="104"/>
      <c r="AF113" s="104"/>
      <c r="AG113" s="104"/>
      <c r="AH113" s="104"/>
      <c r="AI113" s="104"/>
      <c r="AJ113" s="104"/>
      <c r="AK113" s="104"/>
      <c r="AL113" s="104"/>
    </row>
    <row r="114" spans="1:38" x14ac:dyDescent="0.2">
      <c r="A114" s="104"/>
      <c r="B114" s="252"/>
      <c r="C114" s="252" t="s">
        <v>31</v>
      </c>
      <c r="D114" s="255">
        <v>2305</v>
      </c>
      <c r="E114" s="255">
        <v>2305</v>
      </c>
      <c r="F114" s="255">
        <v>2305</v>
      </c>
      <c r="G114" s="255">
        <v>2305</v>
      </c>
      <c r="H114" s="494">
        <v>2305</v>
      </c>
      <c r="I114" s="255">
        <v>2394</v>
      </c>
      <c r="J114" s="255">
        <v>0</v>
      </c>
      <c r="K114" s="255">
        <v>0</v>
      </c>
      <c r="L114" s="255">
        <v>0</v>
      </c>
      <c r="M114" s="255">
        <v>0</v>
      </c>
      <c r="N114" s="255"/>
      <c r="O114" s="255"/>
      <c r="P114" s="255"/>
      <c r="Q114" s="105"/>
      <c r="R114" s="105"/>
      <c r="S114" s="105"/>
      <c r="T114" s="105"/>
      <c r="U114" s="104"/>
      <c r="V114" s="104"/>
      <c r="W114" s="104"/>
      <c r="X114" s="104"/>
      <c r="Y114" s="104"/>
      <c r="Z114" s="105"/>
      <c r="AA114" s="104"/>
      <c r="AB114" s="104"/>
      <c r="AC114" s="104"/>
      <c r="AD114" s="104"/>
      <c r="AE114" s="104"/>
      <c r="AF114" s="104"/>
      <c r="AG114" s="104"/>
      <c r="AH114" s="104"/>
      <c r="AI114" s="104"/>
      <c r="AJ114" s="104"/>
      <c r="AK114" s="104"/>
      <c r="AL114" s="104"/>
    </row>
    <row r="115" spans="1:38" x14ac:dyDescent="0.2">
      <c r="A115" s="104"/>
      <c r="B115" s="252"/>
      <c r="C115" s="252" t="s">
        <v>46</v>
      </c>
      <c r="D115" s="255">
        <v>1475</v>
      </c>
      <c r="E115" s="255">
        <v>1475</v>
      </c>
      <c r="F115" s="255">
        <v>1475</v>
      </c>
      <c r="G115" s="255">
        <v>897</v>
      </c>
      <c r="H115" s="494">
        <v>100</v>
      </c>
      <c r="I115" s="255">
        <v>15</v>
      </c>
      <c r="J115" s="255">
        <v>15</v>
      </c>
      <c r="K115" s="255">
        <v>15</v>
      </c>
      <c r="L115" s="255">
        <v>8</v>
      </c>
      <c r="M115" s="255">
        <v>0</v>
      </c>
      <c r="N115" s="255"/>
      <c r="O115" s="255"/>
      <c r="P115" s="255"/>
      <c r="Q115" s="105"/>
      <c r="R115" s="105"/>
      <c r="S115" s="105"/>
      <c r="T115" s="105"/>
      <c r="U115" s="104"/>
      <c r="V115" s="104"/>
      <c r="W115" s="104"/>
      <c r="X115" s="104"/>
      <c r="Y115" s="104"/>
      <c r="Z115" s="105"/>
      <c r="AA115" s="104"/>
      <c r="AB115" s="104"/>
      <c r="AC115" s="104"/>
      <c r="AD115" s="104"/>
      <c r="AE115" s="104"/>
      <c r="AF115" s="104"/>
      <c r="AG115" s="104"/>
      <c r="AH115" s="104"/>
      <c r="AI115" s="104"/>
      <c r="AJ115" s="104"/>
      <c r="AK115" s="104"/>
      <c r="AL115" s="104"/>
    </row>
    <row r="116" spans="1:38" x14ac:dyDescent="0.2">
      <c r="A116" s="104"/>
      <c r="B116" s="252"/>
      <c r="C116" s="252" t="s">
        <v>107</v>
      </c>
      <c r="D116" s="255">
        <v>775</v>
      </c>
      <c r="E116" s="255">
        <v>775</v>
      </c>
      <c r="F116" s="255">
        <v>775</v>
      </c>
      <c r="G116" s="255">
        <v>0</v>
      </c>
      <c r="H116" s="494">
        <v>0</v>
      </c>
      <c r="I116" s="255">
        <v>0</v>
      </c>
      <c r="J116" s="255">
        <v>0</v>
      </c>
      <c r="K116" s="255">
        <v>0</v>
      </c>
      <c r="L116" s="255">
        <v>0</v>
      </c>
      <c r="M116" s="255">
        <v>0</v>
      </c>
      <c r="N116" s="255"/>
      <c r="O116" s="255"/>
      <c r="P116" s="255"/>
      <c r="Q116" s="105"/>
      <c r="R116" s="105"/>
      <c r="S116" s="105"/>
      <c r="T116" s="105"/>
      <c r="U116" s="104"/>
      <c r="V116" s="104"/>
      <c r="W116" s="104"/>
      <c r="X116" s="104"/>
      <c r="Y116" s="104"/>
      <c r="Z116" s="105"/>
      <c r="AA116" s="104"/>
      <c r="AB116" s="104"/>
      <c r="AC116" s="104"/>
      <c r="AD116" s="104"/>
      <c r="AE116" s="104"/>
      <c r="AF116" s="104"/>
      <c r="AG116" s="104"/>
      <c r="AH116" s="104"/>
      <c r="AI116" s="104"/>
      <c r="AJ116" s="104"/>
      <c r="AK116" s="104"/>
      <c r="AL116" s="104"/>
    </row>
    <row r="117" spans="1:38" x14ac:dyDescent="0.2">
      <c r="A117" s="104"/>
      <c r="B117" s="252"/>
      <c r="C117" s="252" t="s">
        <v>30</v>
      </c>
      <c r="D117" s="255">
        <v>275</v>
      </c>
      <c r="E117" s="255">
        <v>275</v>
      </c>
      <c r="F117" s="255">
        <v>275</v>
      </c>
      <c r="G117" s="255">
        <v>275</v>
      </c>
      <c r="H117" s="494">
        <v>0</v>
      </c>
      <c r="I117" s="255">
        <v>0</v>
      </c>
      <c r="J117" s="255">
        <v>0</v>
      </c>
      <c r="K117" s="255">
        <v>0</v>
      </c>
      <c r="L117" s="255">
        <v>0</v>
      </c>
      <c r="M117" s="255">
        <v>0</v>
      </c>
      <c r="N117" s="255"/>
      <c r="O117" s="255"/>
      <c r="P117" s="255"/>
      <c r="Q117" s="105"/>
      <c r="R117" s="105"/>
      <c r="S117" s="105"/>
      <c r="T117" s="105"/>
      <c r="U117" s="104"/>
      <c r="V117" s="104"/>
      <c r="W117" s="104"/>
      <c r="X117" s="104"/>
      <c r="Y117" s="104"/>
      <c r="Z117" s="105"/>
      <c r="AA117" s="104"/>
      <c r="AB117" s="104"/>
      <c r="AC117" s="104"/>
      <c r="AD117" s="104"/>
      <c r="AE117" s="104"/>
      <c r="AF117" s="104"/>
      <c r="AG117" s="104"/>
      <c r="AH117" s="104"/>
      <c r="AI117" s="104"/>
      <c r="AJ117" s="104"/>
      <c r="AK117" s="104"/>
      <c r="AL117" s="104"/>
    </row>
    <row r="118" spans="1:38" x14ac:dyDescent="0.2">
      <c r="A118" s="104"/>
      <c r="B118" s="252"/>
      <c r="C118" s="252" t="s">
        <v>108</v>
      </c>
      <c r="D118" s="255">
        <v>210</v>
      </c>
      <c r="E118" s="255">
        <v>210</v>
      </c>
      <c r="F118" s="255">
        <v>210</v>
      </c>
      <c r="G118" s="255">
        <v>0</v>
      </c>
      <c r="H118" s="494">
        <v>0</v>
      </c>
      <c r="I118" s="255">
        <v>0</v>
      </c>
      <c r="J118" s="255">
        <v>0</v>
      </c>
      <c r="K118" s="255">
        <v>0</v>
      </c>
      <c r="L118" s="255">
        <v>0</v>
      </c>
      <c r="M118" s="255">
        <v>0</v>
      </c>
      <c r="N118" s="255"/>
      <c r="O118" s="255"/>
      <c r="P118" s="255"/>
      <c r="Q118" s="105"/>
      <c r="R118" s="105"/>
      <c r="S118" s="105"/>
      <c r="T118" s="105"/>
      <c r="U118" s="104"/>
      <c r="V118" s="104"/>
      <c r="W118" s="104"/>
      <c r="X118" s="104"/>
      <c r="Y118" s="104"/>
      <c r="Z118" s="105"/>
      <c r="AA118" s="104"/>
      <c r="AB118" s="104"/>
      <c r="AC118" s="104"/>
      <c r="AD118" s="104"/>
      <c r="AE118" s="104"/>
      <c r="AF118" s="104"/>
      <c r="AG118" s="104"/>
      <c r="AH118" s="104"/>
      <c r="AI118" s="104"/>
      <c r="AJ118" s="104"/>
      <c r="AK118" s="104"/>
      <c r="AL118" s="104"/>
    </row>
    <row r="119" spans="1:38" x14ac:dyDescent="0.2">
      <c r="A119" s="104"/>
      <c r="B119" s="361"/>
      <c r="C119" s="361" t="s">
        <v>110</v>
      </c>
      <c r="D119" s="445">
        <v>2840</v>
      </c>
      <c r="E119" s="445">
        <v>2840</v>
      </c>
      <c r="F119" s="445">
        <v>0</v>
      </c>
      <c r="G119" s="445">
        <v>0</v>
      </c>
      <c r="H119" s="494">
        <v>0</v>
      </c>
      <c r="I119" s="445">
        <v>0</v>
      </c>
      <c r="J119" s="445">
        <v>0</v>
      </c>
      <c r="K119" s="445">
        <v>0</v>
      </c>
      <c r="L119" s="445">
        <v>0</v>
      </c>
      <c r="M119" s="445">
        <v>0</v>
      </c>
      <c r="N119" s="445"/>
      <c r="O119" s="445"/>
      <c r="P119" s="445"/>
      <c r="Q119" s="105"/>
      <c r="R119" s="105"/>
      <c r="S119" s="105"/>
      <c r="T119" s="105"/>
      <c r="U119" s="104"/>
      <c r="V119" s="104"/>
      <c r="W119" s="104"/>
      <c r="X119" s="104"/>
      <c r="Y119" s="104"/>
      <c r="Z119" s="105"/>
      <c r="AA119" s="104"/>
      <c r="AB119" s="104"/>
      <c r="AC119" s="104"/>
      <c r="AD119" s="104"/>
      <c r="AE119" s="104"/>
      <c r="AF119" s="104"/>
      <c r="AG119" s="104"/>
      <c r="AH119" s="104"/>
      <c r="AI119" s="104"/>
      <c r="AJ119" s="104"/>
      <c r="AK119" s="104"/>
      <c r="AL119" s="104"/>
    </row>
    <row r="120" spans="1:38" x14ac:dyDescent="0.2">
      <c r="A120" s="104"/>
      <c r="B120" s="361"/>
      <c r="C120" s="361" t="s">
        <v>33</v>
      </c>
      <c r="D120" s="445"/>
      <c r="E120" s="445"/>
      <c r="F120" s="445">
        <v>990</v>
      </c>
      <c r="G120" s="445">
        <v>0</v>
      </c>
      <c r="H120" s="494">
        <v>0</v>
      </c>
      <c r="I120" s="445">
        <v>0</v>
      </c>
      <c r="J120" s="445">
        <v>0</v>
      </c>
      <c r="K120" s="445">
        <v>0</v>
      </c>
      <c r="L120" s="445">
        <v>0</v>
      </c>
      <c r="M120" s="445">
        <v>0</v>
      </c>
      <c r="N120" s="445"/>
      <c r="O120" s="445"/>
      <c r="P120" s="445"/>
      <c r="Q120" s="105"/>
      <c r="R120" s="105"/>
      <c r="S120" s="105"/>
      <c r="T120" s="105"/>
      <c r="U120" s="104"/>
      <c r="V120" s="104"/>
      <c r="W120" s="104"/>
      <c r="X120" s="104"/>
      <c r="Y120" s="104"/>
      <c r="Z120" s="105"/>
      <c r="AA120" s="104"/>
      <c r="AB120" s="104"/>
      <c r="AC120" s="104"/>
      <c r="AD120" s="104"/>
      <c r="AE120" s="104"/>
      <c r="AF120" s="104"/>
      <c r="AG120" s="104"/>
      <c r="AH120" s="104"/>
      <c r="AI120" s="104"/>
      <c r="AJ120" s="104"/>
      <c r="AK120" s="104"/>
      <c r="AL120" s="104"/>
    </row>
    <row r="121" spans="1:38" x14ac:dyDescent="0.2">
      <c r="A121" s="104"/>
      <c r="B121" s="361"/>
      <c r="C121" s="361" t="s">
        <v>453</v>
      </c>
      <c r="D121" s="445"/>
      <c r="E121" s="445"/>
      <c r="F121" s="445"/>
      <c r="G121" s="445">
        <v>924</v>
      </c>
      <c r="H121" s="494">
        <v>0</v>
      </c>
      <c r="I121" s="445">
        <v>0</v>
      </c>
      <c r="J121" s="445">
        <v>0</v>
      </c>
      <c r="K121" s="445">
        <v>0</v>
      </c>
      <c r="L121" s="445">
        <v>0</v>
      </c>
      <c r="M121" s="445">
        <v>0</v>
      </c>
      <c r="N121" s="445"/>
      <c r="O121" s="445"/>
      <c r="P121" s="445"/>
      <c r="Q121" s="105"/>
      <c r="R121" s="105"/>
      <c r="S121" s="105"/>
      <c r="T121" s="105"/>
      <c r="U121" s="104"/>
      <c r="V121" s="104"/>
      <c r="W121" s="104"/>
      <c r="X121" s="104"/>
      <c r="Y121" s="104"/>
      <c r="Z121" s="105"/>
      <c r="AA121" s="104"/>
      <c r="AB121" s="104"/>
      <c r="AC121" s="104"/>
      <c r="AD121" s="104"/>
      <c r="AE121" s="104"/>
      <c r="AF121" s="104"/>
      <c r="AG121" s="104"/>
      <c r="AH121" s="104"/>
      <c r="AI121" s="104"/>
      <c r="AJ121" s="104"/>
      <c r="AK121" s="104"/>
      <c r="AL121" s="104"/>
    </row>
    <row r="122" spans="1:38" x14ac:dyDescent="0.2">
      <c r="A122" s="104"/>
      <c r="B122" s="361"/>
      <c r="C122" s="361" t="s">
        <v>330</v>
      </c>
      <c r="D122" s="445"/>
      <c r="E122" s="445"/>
      <c r="F122" s="445"/>
      <c r="G122" s="445">
        <v>1477</v>
      </c>
      <c r="H122" s="508">
        <v>0</v>
      </c>
      <c r="I122" s="445">
        <v>0</v>
      </c>
      <c r="J122" s="445">
        <v>0</v>
      </c>
      <c r="K122" s="445">
        <v>0</v>
      </c>
      <c r="L122" s="445">
        <v>0</v>
      </c>
      <c r="M122" s="445">
        <v>0</v>
      </c>
      <c r="N122" s="445"/>
      <c r="O122" s="445"/>
      <c r="P122" s="445"/>
      <c r="Q122" s="105"/>
      <c r="R122" s="105"/>
      <c r="S122" s="105"/>
      <c r="T122" s="105"/>
      <c r="U122" s="104"/>
      <c r="V122" s="104"/>
      <c r="W122" s="104"/>
      <c r="X122" s="104"/>
      <c r="Y122" s="104"/>
      <c r="Z122" s="105"/>
      <c r="AA122" s="104"/>
      <c r="AB122" s="104"/>
      <c r="AC122" s="104"/>
      <c r="AD122" s="104"/>
      <c r="AE122" s="104"/>
      <c r="AF122" s="104"/>
      <c r="AG122" s="104"/>
      <c r="AH122" s="104"/>
      <c r="AI122" s="104"/>
      <c r="AJ122" s="104"/>
      <c r="AK122" s="104"/>
      <c r="AL122" s="104"/>
    </row>
    <row r="123" spans="1:38" x14ac:dyDescent="0.2">
      <c r="A123" s="104"/>
      <c r="B123" s="361"/>
      <c r="C123" s="361" t="s">
        <v>454</v>
      </c>
      <c r="D123" s="445"/>
      <c r="E123" s="445"/>
      <c r="F123" s="445"/>
      <c r="G123" s="445"/>
      <c r="H123" s="241">
        <v>70</v>
      </c>
      <c r="I123" s="445">
        <v>0</v>
      </c>
      <c r="J123" s="445">
        <v>0</v>
      </c>
      <c r="K123" s="445">
        <v>0</v>
      </c>
      <c r="L123" s="445">
        <v>0</v>
      </c>
      <c r="M123" s="445">
        <v>0</v>
      </c>
      <c r="N123" s="445"/>
      <c r="O123" s="445"/>
      <c r="P123" s="445"/>
      <c r="Q123" s="105"/>
      <c r="R123" s="105"/>
      <c r="S123" s="105"/>
      <c r="T123" s="105"/>
      <c r="U123" s="104"/>
      <c r="V123" s="104"/>
      <c r="W123" s="104"/>
      <c r="X123" s="104"/>
      <c r="Y123" s="104"/>
      <c r="Z123" s="105"/>
      <c r="AA123" s="104"/>
      <c r="AB123" s="104"/>
      <c r="AC123" s="104"/>
      <c r="AD123" s="104"/>
      <c r="AE123" s="104"/>
      <c r="AF123" s="104"/>
      <c r="AG123" s="104"/>
      <c r="AH123" s="104"/>
      <c r="AI123" s="104"/>
      <c r="AJ123" s="104"/>
      <c r="AK123" s="104"/>
      <c r="AL123" s="104"/>
    </row>
    <row r="124" spans="1:38" x14ac:dyDescent="0.2">
      <c r="A124" s="104"/>
      <c r="B124" s="361">
        <v>2020</v>
      </c>
      <c r="C124" s="361" t="s">
        <v>31</v>
      </c>
      <c r="D124" s="445"/>
      <c r="E124" s="445"/>
      <c r="F124" s="445"/>
      <c r="G124" s="445"/>
      <c r="H124" s="241"/>
      <c r="I124" s="445"/>
      <c r="J124" s="445"/>
      <c r="K124" s="445"/>
      <c r="L124" s="445"/>
      <c r="M124" s="445">
        <v>2629</v>
      </c>
      <c r="N124" s="445">
        <v>2730</v>
      </c>
      <c r="O124" s="445">
        <v>2730</v>
      </c>
      <c r="P124" s="445">
        <v>2694</v>
      </c>
      <c r="Q124" s="105"/>
      <c r="R124" s="105"/>
      <c r="S124" s="105"/>
      <c r="T124" s="105"/>
      <c r="U124" s="104"/>
      <c r="V124" s="104"/>
      <c r="W124" s="104"/>
      <c r="X124" s="104"/>
      <c r="Y124" s="104"/>
      <c r="Z124" s="105"/>
      <c r="AA124" s="104"/>
      <c r="AB124" s="104"/>
      <c r="AC124" s="104"/>
      <c r="AD124" s="104"/>
      <c r="AE124" s="104"/>
      <c r="AF124" s="104"/>
      <c r="AG124" s="104"/>
      <c r="AH124" s="104"/>
      <c r="AI124" s="104"/>
      <c r="AJ124" s="104"/>
      <c r="AK124" s="104"/>
      <c r="AL124" s="104"/>
    </row>
    <row r="125" spans="1:38" x14ac:dyDescent="0.2">
      <c r="A125" s="104"/>
      <c r="B125" s="361"/>
      <c r="C125" s="361" t="s">
        <v>455</v>
      </c>
      <c r="D125" s="445"/>
      <c r="E125" s="445"/>
      <c r="F125" s="445"/>
      <c r="G125" s="445"/>
      <c r="H125" s="241"/>
      <c r="I125" s="445"/>
      <c r="J125" s="445"/>
      <c r="K125" s="445"/>
      <c r="L125" s="445"/>
      <c r="M125" s="445">
        <v>626</v>
      </c>
      <c r="N125" s="445">
        <v>550</v>
      </c>
      <c r="O125" s="445">
        <v>550</v>
      </c>
      <c r="P125" s="445">
        <v>550</v>
      </c>
      <c r="Q125" s="105"/>
      <c r="R125" s="105"/>
      <c r="S125" s="105"/>
      <c r="T125" s="105"/>
      <c r="U125" s="104"/>
      <c r="V125" s="104"/>
      <c r="W125" s="104"/>
      <c r="X125" s="104"/>
      <c r="Y125" s="104"/>
      <c r="Z125" s="105"/>
      <c r="AA125" s="104"/>
      <c r="AB125" s="104"/>
      <c r="AC125" s="104"/>
      <c r="AD125" s="104"/>
      <c r="AE125" s="104"/>
      <c r="AF125" s="104"/>
      <c r="AG125" s="104"/>
      <c r="AH125" s="104"/>
      <c r="AI125" s="104"/>
      <c r="AJ125" s="104"/>
      <c r="AK125" s="104"/>
      <c r="AL125" s="104"/>
    </row>
    <row r="126" spans="1:38" x14ac:dyDescent="0.2">
      <c r="A126" s="104"/>
      <c r="B126" s="361"/>
      <c r="C126" s="361" t="s">
        <v>46</v>
      </c>
      <c r="D126" s="445"/>
      <c r="E126" s="445"/>
      <c r="F126" s="445"/>
      <c r="G126" s="445"/>
      <c r="H126" s="241"/>
      <c r="I126" s="445"/>
      <c r="J126" s="445"/>
      <c r="K126" s="445"/>
      <c r="L126" s="445"/>
      <c r="M126" s="445">
        <v>980</v>
      </c>
      <c r="N126" s="445">
        <v>1390</v>
      </c>
      <c r="O126" s="445">
        <v>1390</v>
      </c>
      <c r="P126" s="445">
        <v>1350</v>
      </c>
      <c r="Q126" s="105"/>
      <c r="R126" s="105"/>
      <c r="S126" s="105"/>
      <c r="T126" s="105"/>
      <c r="U126" s="104"/>
      <c r="V126" s="104"/>
      <c r="W126" s="104"/>
      <c r="X126" s="104"/>
      <c r="Y126" s="104"/>
      <c r="Z126" s="105"/>
      <c r="AA126" s="104"/>
      <c r="AB126" s="104"/>
      <c r="AC126" s="104"/>
      <c r="AD126" s="104"/>
      <c r="AE126" s="104"/>
      <c r="AF126" s="104"/>
      <c r="AG126" s="104"/>
      <c r="AH126" s="104"/>
      <c r="AI126" s="104"/>
      <c r="AJ126" s="104"/>
      <c r="AK126" s="104"/>
      <c r="AL126" s="104"/>
    </row>
    <row r="127" spans="1:38" x14ac:dyDescent="0.2">
      <c r="A127" s="104"/>
      <c r="B127" s="361"/>
      <c r="C127" s="361" t="s">
        <v>30</v>
      </c>
      <c r="D127" s="445"/>
      <c r="E127" s="445"/>
      <c r="F127" s="445"/>
      <c r="G127" s="445"/>
      <c r="H127" s="241"/>
      <c r="I127" s="445"/>
      <c r="J127" s="445"/>
      <c r="K127" s="445"/>
      <c r="L127" s="445"/>
      <c r="M127" s="445">
        <v>250</v>
      </c>
      <c r="N127" s="445">
        <v>550</v>
      </c>
      <c r="O127" s="445">
        <v>550</v>
      </c>
      <c r="P127" s="445">
        <v>550</v>
      </c>
      <c r="Q127" s="105"/>
      <c r="R127" s="105"/>
      <c r="S127" s="105"/>
      <c r="T127" s="105"/>
      <c r="U127" s="104"/>
      <c r="V127" s="104"/>
      <c r="W127" s="104"/>
      <c r="X127" s="104"/>
      <c r="Y127" s="104"/>
      <c r="Z127" s="105"/>
      <c r="AA127" s="104"/>
      <c r="AB127" s="104"/>
      <c r="AC127" s="104"/>
      <c r="AD127" s="104"/>
      <c r="AE127" s="104"/>
      <c r="AF127" s="104"/>
      <c r="AG127" s="104"/>
      <c r="AH127" s="104"/>
      <c r="AI127" s="104"/>
      <c r="AJ127" s="104"/>
      <c r="AK127" s="104"/>
      <c r="AL127" s="104"/>
    </row>
    <row r="128" spans="1:38" x14ac:dyDescent="0.2">
      <c r="A128" s="104"/>
      <c r="B128" s="361"/>
      <c r="C128" s="361" t="s">
        <v>454</v>
      </c>
      <c r="D128" s="445"/>
      <c r="E128" s="445"/>
      <c r="F128" s="445"/>
      <c r="G128" s="445"/>
      <c r="H128" s="241"/>
      <c r="I128" s="445"/>
      <c r="J128" s="445"/>
      <c r="K128" s="445"/>
      <c r="L128" s="445"/>
      <c r="M128" s="445">
        <v>275</v>
      </c>
      <c r="N128" s="445">
        <v>275</v>
      </c>
      <c r="O128" s="445">
        <v>275</v>
      </c>
      <c r="P128" s="445">
        <v>275</v>
      </c>
      <c r="Q128" s="105"/>
      <c r="R128" s="105"/>
      <c r="S128" s="105"/>
      <c r="T128" s="105"/>
      <c r="U128" s="104"/>
      <c r="V128" s="104"/>
      <c r="W128" s="104"/>
      <c r="X128" s="104"/>
      <c r="Y128" s="104"/>
      <c r="Z128" s="105"/>
      <c r="AA128" s="104"/>
      <c r="AB128" s="104"/>
      <c r="AC128" s="104"/>
      <c r="AD128" s="104"/>
      <c r="AE128" s="104"/>
      <c r="AF128" s="104"/>
      <c r="AG128" s="104"/>
      <c r="AH128" s="104"/>
      <c r="AI128" s="104"/>
      <c r="AJ128" s="104"/>
      <c r="AK128" s="104"/>
      <c r="AL128" s="104"/>
    </row>
    <row r="129" spans="1:38" x14ac:dyDescent="0.2">
      <c r="A129" s="104"/>
      <c r="B129" s="361"/>
      <c r="C129" s="361" t="s">
        <v>24</v>
      </c>
      <c r="D129" s="445"/>
      <c r="E129" s="445"/>
      <c r="F129" s="445"/>
      <c r="G129" s="445"/>
      <c r="H129" s="241"/>
      <c r="I129" s="445"/>
      <c r="J129" s="445"/>
      <c r="K129" s="445"/>
      <c r="L129" s="445"/>
      <c r="M129" s="445">
        <v>900</v>
      </c>
      <c r="N129" s="445">
        <v>1420</v>
      </c>
      <c r="O129" s="445">
        <v>2315</v>
      </c>
      <c r="P129" s="445">
        <v>1540</v>
      </c>
      <c r="Q129" s="105"/>
      <c r="R129" s="105"/>
      <c r="S129" s="105"/>
      <c r="T129" s="105"/>
      <c r="U129" s="104"/>
      <c r="V129" s="104"/>
      <c r="W129" s="104"/>
      <c r="X129" s="104"/>
      <c r="Y129" s="104"/>
      <c r="Z129" s="105"/>
      <c r="AA129" s="104"/>
      <c r="AB129" s="104"/>
      <c r="AC129" s="104"/>
      <c r="AD129" s="104"/>
      <c r="AE129" s="104"/>
      <c r="AF129" s="104"/>
      <c r="AG129" s="104"/>
      <c r="AH129" s="104"/>
      <c r="AI129" s="104"/>
      <c r="AJ129" s="104"/>
      <c r="AK129" s="104"/>
      <c r="AL129" s="104"/>
    </row>
    <row r="130" spans="1:38" x14ac:dyDescent="0.2">
      <c r="A130" s="104"/>
      <c r="B130" s="361"/>
      <c r="C130" s="361" t="s">
        <v>456</v>
      </c>
      <c r="D130" s="445"/>
      <c r="E130" s="445"/>
      <c r="F130" s="445"/>
      <c r="G130" s="445"/>
      <c r="H130" s="241"/>
      <c r="I130" s="445"/>
      <c r="J130" s="445"/>
      <c r="K130" s="445"/>
      <c r="L130" s="445"/>
      <c r="M130" s="445">
        <v>275</v>
      </c>
      <c r="N130" s="445">
        <v>275</v>
      </c>
      <c r="O130" s="445">
        <v>275</v>
      </c>
      <c r="P130" s="445">
        <v>275</v>
      </c>
      <c r="Q130" s="105"/>
      <c r="R130" s="105"/>
      <c r="S130" s="105"/>
      <c r="T130" s="105"/>
      <c r="U130" s="104"/>
      <c r="V130" s="104"/>
      <c r="W130" s="104"/>
      <c r="X130" s="104"/>
      <c r="Y130" s="104"/>
      <c r="Z130" s="105"/>
      <c r="AA130" s="104"/>
      <c r="AB130" s="104"/>
      <c r="AC130" s="104"/>
      <c r="AD130" s="104"/>
      <c r="AE130" s="104"/>
      <c r="AF130" s="104"/>
      <c r="AG130" s="104"/>
      <c r="AH130" s="104"/>
      <c r="AI130" s="104"/>
      <c r="AJ130" s="104"/>
      <c r="AK130" s="104"/>
      <c r="AL130" s="104"/>
    </row>
    <row r="131" spans="1:38" x14ac:dyDescent="0.2">
      <c r="A131" s="104"/>
      <c r="B131" s="361"/>
      <c r="C131" s="361" t="s">
        <v>29</v>
      </c>
      <c r="D131" s="445"/>
      <c r="E131" s="445"/>
      <c r="F131" s="445"/>
      <c r="G131" s="445"/>
      <c r="H131" s="241"/>
      <c r="I131" s="445"/>
      <c r="J131" s="445"/>
      <c r="K131" s="445"/>
      <c r="L131" s="445"/>
      <c r="M131" s="445">
        <v>275</v>
      </c>
      <c r="N131" s="445">
        <v>280</v>
      </c>
      <c r="O131" s="445">
        <v>280</v>
      </c>
      <c r="P131" s="445">
        <v>280</v>
      </c>
      <c r="Q131" s="105"/>
      <c r="R131" s="105"/>
      <c r="S131" s="105"/>
      <c r="T131" s="105"/>
      <c r="U131" s="104"/>
      <c r="V131" s="104"/>
      <c r="W131" s="104"/>
      <c r="X131" s="104"/>
      <c r="Y131" s="104"/>
      <c r="Z131" s="105"/>
      <c r="AA131" s="104"/>
      <c r="AB131" s="104"/>
      <c r="AC131" s="104"/>
      <c r="AD131" s="104"/>
      <c r="AE131" s="104"/>
      <c r="AF131" s="104"/>
      <c r="AG131" s="104"/>
      <c r="AH131" s="104"/>
      <c r="AI131" s="104"/>
      <c r="AJ131" s="104"/>
      <c r="AK131" s="104"/>
      <c r="AL131" s="104"/>
    </row>
    <row r="132" spans="1:38" x14ac:dyDescent="0.2">
      <c r="A132" s="104"/>
      <c r="B132" s="361"/>
      <c r="C132" s="361" t="s">
        <v>23</v>
      </c>
      <c r="D132" s="445"/>
      <c r="E132" s="445"/>
      <c r="F132" s="445"/>
      <c r="G132" s="445"/>
      <c r="H132" s="241"/>
      <c r="I132" s="445"/>
      <c r="J132" s="445"/>
      <c r="K132" s="445"/>
      <c r="L132" s="445"/>
      <c r="M132" s="445"/>
      <c r="N132" s="445">
        <v>2255</v>
      </c>
      <c r="O132" s="445">
        <v>2545</v>
      </c>
      <c r="P132" s="445">
        <v>2220</v>
      </c>
      <c r="Q132" s="105"/>
      <c r="R132" s="105"/>
      <c r="S132" s="105"/>
      <c r="T132" s="105"/>
      <c r="U132" s="104"/>
      <c r="V132" s="104"/>
      <c r="W132" s="104"/>
      <c r="X132" s="104"/>
      <c r="Y132" s="104"/>
      <c r="Z132" s="105"/>
      <c r="AA132" s="104"/>
      <c r="AB132" s="104"/>
      <c r="AC132" s="104"/>
      <c r="AD132" s="104"/>
      <c r="AE132" s="104"/>
      <c r="AF132" s="104"/>
      <c r="AG132" s="104"/>
      <c r="AH132" s="104"/>
      <c r="AI132" s="104"/>
      <c r="AJ132" s="104"/>
      <c r="AK132" s="104"/>
      <c r="AL132" s="104"/>
    </row>
    <row r="133" spans="1:38" x14ac:dyDescent="0.2">
      <c r="A133" s="104"/>
      <c r="B133" s="361"/>
      <c r="C133" s="361" t="s">
        <v>70</v>
      </c>
      <c r="D133" s="445"/>
      <c r="E133" s="445"/>
      <c r="F133" s="445"/>
      <c r="G133" s="445"/>
      <c r="H133" s="241"/>
      <c r="I133" s="445"/>
      <c r="J133" s="445"/>
      <c r="K133" s="445"/>
      <c r="L133" s="445"/>
      <c r="M133" s="445"/>
      <c r="N133" s="445">
        <v>2631</v>
      </c>
      <c r="O133" s="445">
        <v>4600</v>
      </c>
      <c r="P133" s="445">
        <v>2860</v>
      </c>
      <c r="Q133" s="105"/>
      <c r="R133" s="105"/>
      <c r="S133" s="105"/>
      <c r="T133" s="105"/>
      <c r="U133" s="104"/>
      <c r="V133" s="104"/>
      <c r="W133" s="104"/>
      <c r="X133" s="104"/>
      <c r="Y133" s="104"/>
      <c r="Z133" s="105"/>
      <c r="AA133" s="104"/>
      <c r="AB133" s="104"/>
      <c r="AC133" s="104"/>
      <c r="AD133" s="104"/>
      <c r="AE133" s="104"/>
      <c r="AF133" s="104"/>
      <c r="AG133" s="104"/>
      <c r="AH133" s="104"/>
      <c r="AI133" s="104"/>
      <c r="AJ133" s="104"/>
      <c r="AK133" s="104"/>
      <c r="AL133" s="104"/>
    </row>
    <row r="134" spans="1:38" x14ac:dyDescent="0.2">
      <c r="A134" s="104"/>
      <c r="B134" s="361"/>
      <c r="C134" s="361" t="s">
        <v>131</v>
      </c>
      <c r="D134" s="445"/>
      <c r="E134" s="445"/>
      <c r="F134" s="445"/>
      <c r="G134" s="445"/>
      <c r="H134" s="241"/>
      <c r="I134" s="445"/>
      <c r="J134" s="445"/>
      <c r="K134" s="445"/>
      <c r="L134" s="445"/>
      <c r="M134" s="445"/>
      <c r="N134" s="445">
        <v>605</v>
      </c>
      <c r="O134" s="445">
        <v>990</v>
      </c>
      <c r="P134" s="445">
        <v>0</v>
      </c>
      <c r="Q134" s="105"/>
      <c r="R134" s="105"/>
      <c r="S134" s="105"/>
      <c r="T134" s="105"/>
      <c r="U134" s="104"/>
      <c r="V134" s="104"/>
      <c r="W134" s="104"/>
      <c r="X134" s="104"/>
      <c r="Y134" s="104"/>
      <c r="Z134" s="105"/>
      <c r="AA134" s="104"/>
      <c r="AB134" s="104"/>
      <c r="AC134" s="104"/>
      <c r="AD134" s="104"/>
      <c r="AE134" s="104"/>
      <c r="AF134" s="104"/>
      <c r="AG134" s="104"/>
      <c r="AH134" s="104"/>
      <c r="AI134" s="104"/>
      <c r="AJ134" s="104"/>
      <c r="AK134" s="104"/>
      <c r="AL134" s="104"/>
    </row>
    <row r="135" spans="1:38" x14ac:dyDescent="0.2">
      <c r="A135" s="104"/>
      <c r="B135" s="361"/>
      <c r="C135" s="361" t="s">
        <v>457</v>
      </c>
      <c r="D135" s="445"/>
      <c r="E135" s="445"/>
      <c r="F135" s="445"/>
      <c r="G135" s="445"/>
      <c r="H135" s="241"/>
      <c r="I135" s="445"/>
      <c r="J135" s="445"/>
      <c r="K135" s="445"/>
      <c r="L135" s="445"/>
      <c r="M135" s="445"/>
      <c r="N135" s="445">
        <v>330</v>
      </c>
      <c r="O135" s="445">
        <v>330</v>
      </c>
      <c r="P135" s="445">
        <v>0</v>
      </c>
      <c r="Q135" s="105"/>
      <c r="R135" s="105"/>
      <c r="S135" s="105"/>
      <c r="T135" s="105"/>
      <c r="U135" s="104"/>
      <c r="V135" s="104"/>
      <c r="W135" s="104"/>
      <c r="X135" s="104"/>
      <c r="Y135" s="104"/>
      <c r="Z135" s="105"/>
      <c r="AA135" s="104"/>
      <c r="AB135" s="104"/>
      <c r="AC135" s="104"/>
      <c r="AD135" s="104"/>
      <c r="AE135" s="104"/>
      <c r="AF135" s="104"/>
      <c r="AG135" s="104"/>
      <c r="AH135" s="104"/>
      <c r="AI135" s="104"/>
      <c r="AJ135" s="104"/>
      <c r="AK135" s="104"/>
      <c r="AL135" s="104"/>
    </row>
    <row r="136" spans="1:38" x14ac:dyDescent="0.2">
      <c r="A136" s="104"/>
      <c r="B136" s="361"/>
      <c r="C136" s="361" t="s">
        <v>33</v>
      </c>
      <c r="D136" s="445"/>
      <c r="E136" s="445"/>
      <c r="F136" s="445"/>
      <c r="G136" s="445"/>
      <c r="H136" s="241"/>
      <c r="I136" s="445"/>
      <c r="J136" s="445"/>
      <c r="K136" s="445"/>
      <c r="L136" s="445"/>
      <c r="M136" s="445"/>
      <c r="N136" s="445">
        <v>275</v>
      </c>
      <c r="O136" s="445">
        <v>275</v>
      </c>
      <c r="P136" s="445">
        <v>275</v>
      </c>
      <c r="Q136" s="105"/>
      <c r="R136" s="105"/>
      <c r="S136" s="105"/>
      <c r="T136" s="105"/>
      <c r="U136" s="104"/>
      <c r="V136" s="104"/>
      <c r="W136" s="104"/>
      <c r="X136" s="104"/>
      <c r="Y136" s="104"/>
      <c r="Z136" s="105"/>
      <c r="AA136" s="104"/>
      <c r="AB136" s="104"/>
      <c r="AC136" s="104"/>
      <c r="AD136" s="104"/>
      <c r="AE136" s="104"/>
      <c r="AF136" s="104"/>
      <c r="AG136" s="104"/>
      <c r="AH136" s="104"/>
      <c r="AI136" s="104"/>
      <c r="AJ136" s="104"/>
      <c r="AK136" s="104"/>
      <c r="AL136" s="104"/>
    </row>
    <row r="137" spans="1:38" x14ac:dyDescent="0.2">
      <c r="A137" s="104"/>
      <c r="B137" s="361"/>
      <c r="C137" s="361" t="s">
        <v>458</v>
      </c>
      <c r="D137" s="445"/>
      <c r="E137" s="445"/>
      <c r="F137" s="445"/>
      <c r="G137" s="445"/>
      <c r="H137" s="241"/>
      <c r="I137" s="445"/>
      <c r="J137" s="445"/>
      <c r="K137" s="445"/>
      <c r="L137" s="445"/>
      <c r="M137" s="445"/>
      <c r="N137" s="445">
        <v>550</v>
      </c>
      <c r="O137" s="445">
        <v>550</v>
      </c>
      <c r="P137" s="445">
        <v>550</v>
      </c>
      <c r="Q137" s="105"/>
      <c r="R137" s="105"/>
      <c r="S137" s="105"/>
      <c r="T137" s="105"/>
      <c r="U137" s="104"/>
      <c r="V137" s="104"/>
      <c r="W137" s="104"/>
      <c r="X137" s="104"/>
      <c r="Y137" s="104"/>
      <c r="Z137" s="105"/>
      <c r="AA137" s="104"/>
      <c r="AB137" s="104"/>
      <c r="AC137" s="104"/>
      <c r="AD137" s="104"/>
      <c r="AE137" s="104"/>
      <c r="AF137" s="104"/>
      <c r="AG137" s="104"/>
      <c r="AH137" s="104"/>
      <c r="AI137" s="104"/>
      <c r="AJ137" s="104"/>
      <c r="AK137" s="104"/>
      <c r="AL137" s="104"/>
    </row>
    <row r="138" spans="1:38" x14ac:dyDescent="0.2">
      <c r="A138" s="104"/>
      <c r="B138" s="361"/>
      <c r="C138" s="361" t="s">
        <v>26</v>
      </c>
      <c r="D138" s="445"/>
      <c r="E138" s="445"/>
      <c r="F138" s="445"/>
      <c r="G138" s="445"/>
      <c r="H138" s="241"/>
      <c r="I138" s="445"/>
      <c r="J138" s="445"/>
      <c r="K138" s="445"/>
      <c r="L138" s="445"/>
      <c r="M138" s="445"/>
      <c r="N138" s="445">
        <v>3622</v>
      </c>
      <c r="O138" s="445">
        <v>2945</v>
      </c>
      <c r="P138" s="445">
        <v>1695</v>
      </c>
      <c r="Q138" s="105"/>
      <c r="R138" s="105"/>
      <c r="S138" s="105"/>
      <c r="T138" s="105"/>
      <c r="U138" s="104"/>
      <c r="V138" s="104"/>
      <c r="W138" s="104"/>
      <c r="X138" s="104"/>
      <c r="Y138" s="104"/>
      <c r="Z138" s="105"/>
      <c r="AA138" s="104"/>
      <c r="AB138" s="104"/>
      <c r="AC138" s="104"/>
      <c r="AD138" s="104"/>
      <c r="AE138" s="104"/>
      <c r="AF138" s="104"/>
      <c r="AG138" s="104"/>
      <c r="AH138" s="104"/>
      <c r="AI138" s="104"/>
      <c r="AJ138" s="104"/>
      <c r="AK138" s="104"/>
      <c r="AL138" s="104"/>
    </row>
    <row r="139" spans="1:38" x14ac:dyDescent="0.2">
      <c r="A139" s="104"/>
      <c r="B139" s="361"/>
      <c r="C139" s="361" t="s">
        <v>205</v>
      </c>
      <c r="D139" s="445"/>
      <c r="E139" s="445"/>
      <c r="F139" s="445"/>
      <c r="G139" s="445"/>
      <c r="H139" s="241"/>
      <c r="I139" s="445"/>
      <c r="J139" s="445"/>
      <c r="K139" s="445"/>
      <c r="L139" s="445"/>
      <c r="M139" s="445"/>
      <c r="N139" s="445">
        <v>275</v>
      </c>
      <c r="O139" s="445">
        <v>275</v>
      </c>
      <c r="P139" s="445">
        <v>275</v>
      </c>
      <c r="Q139" s="105"/>
      <c r="R139" s="105"/>
      <c r="S139" s="105"/>
      <c r="T139" s="105"/>
      <c r="U139" s="104"/>
      <c r="V139" s="104"/>
      <c r="W139" s="104"/>
      <c r="X139" s="104"/>
      <c r="Y139" s="104"/>
      <c r="Z139" s="105"/>
      <c r="AA139" s="104"/>
      <c r="AB139" s="104"/>
      <c r="AC139" s="104"/>
      <c r="AD139" s="104"/>
      <c r="AE139" s="104"/>
      <c r="AF139" s="104"/>
      <c r="AG139" s="104"/>
      <c r="AH139" s="104"/>
      <c r="AI139" s="104"/>
      <c r="AJ139" s="104"/>
      <c r="AK139" s="104"/>
      <c r="AL139" s="104"/>
    </row>
    <row r="140" spans="1:38" ht="15.75" x14ac:dyDescent="0.25">
      <c r="A140" s="104"/>
      <c r="B140" s="248"/>
      <c r="C140" s="248" t="s">
        <v>78</v>
      </c>
      <c r="D140" s="242">
        <f>SUM(D87:D119)</f>
        <v>18455</v>
      </c>
      <c r="E140" s="242">
        <f>SUM(E87:E119)</f>
        <v>18525</v>
      </c>
      <c r="F140" s="242">
        <f>SUM(F87:F120)</f>
        <v>17065</v>
      </c>
      <c r="G140" s="242">
        <f>SUM(G87:G122)</f>
        <v>16818</v>
      </c>
      <c r="H140" s="242">
        <f>SUM(H87:H123)</f>
        <v>13380</v>
      </c>
      <c r="I140" s="242">
        <f>SUM(I87:I123)</f>
        <v>13247</v>
      </c>
      <c r="J140" s="242">
        <f t="shared" ref="J140" si="47">SUM(J87:J119)</f>
        <v>9808</v>
      </c>
      <c r="K140" s="242">
        <f>SUM(K87:K123)</f>
        <v>9533</v>
      </c>
      <c r="L140" s="242">
        <f>SUM(L87:L123)</f>
        <v>9453</v>
      </c>
      <c r="M140" s="242">
        <f>SUM(M87:M131)</f>
        <v>15600</v>
      </c>
      <c r="N140" s="242">
        <f>SUM(N87:N139)</f>
        <v>27123</v>
      </c>
      <c r="O140" s="242">
        <f>SUM(O87:O139)</f>
        <v>29411</v>
      </c>
      <c r="P140" s="242">
        <f>SUM(P87:P139)</f>
        <v>17569</v>
      </c>
      <c r="Q140" s="105"/>
      <c r="R140" s="105"/>
      <c r="S140" s="105"/>
      <c r="T140" s="105"/>
      <c r="U140" s="104"/>
      <c r="V140" s="104"/>
      <c r="W140" s="104"/>
      <c r="X140" s="104"/>
      <c r="Y140" s="104"/>
      <c r="Z140" s="105"/>
      <c r="AA140" s="104"/>
      <c r="AB140" s="104"/>
      <c r="AC140" s="104"/>
      <c r="AD140" s="104"/>
      <c r="AE140" s="104"/>
      <c r="AF140" s="104"/>
      <c r="AG140" s="104"/>
      <c r="AH140" s="104"/>
      <c r="AI140" s="104"/>
      <c r="AJ140" s="104"/>
      <c r="AK140" s="104"/>
      <c r="AL140" s="104"/>
    </row>
    <row r="141" spans="1:38" ht="15.75" x14ac:dyDescent="0.25">
      <c r="A141" s="104"/>
      <c r="B141" s="126"/>
      <c r="C141" s="126"/>
      <c r="D141" s="1"/>
      <c r="E141" s="1"/>
      <c r="F141" s="1"/>
      <c r="G141" s="1"/>
      <c r="H141" s="1"/>
      <c r="I141" s="1"/>
      <c r="J141" s="1"/>
      <c r="K141" s="1"/>
      <c r="L141" s="1"/>
      <c r="M141" s="1"/>
      <c r="N141" s="1"/>
      <c r="O141" s="1"/>
      <c r="P141" s="1"/>
      <c r="Q141" s="105"/>
      <c r="R141" s="105"/>
      <c r="S141" s="105"/>
      <c r="T141" s="105"/>
      <c r="U141" s="104"/>
      <c r="V141" s="104"/>
      <c r="W141" s="104"/>
      <c r="X141" s="104"/>
      <c r="Y141" s="104"/>
      <c r="Z141" s="105"/>
      <c r="AA141" s="104"/>
      <c r="AB141" s="104"/>
      <c r="AC141" s="104"/>
      <c r="AD141" s="104"/>
      <c r="AE141" s="104"/>
      <c r="AF141" s="104"/>
      <c r="AG141" s="104"/>
      <c r="AH141" s="104"/>
      <c r="AI141" s="104"/>
      <c r="AJ141" s="104"/>
      <c r="AK141" s="104"/>
      <c r="AL141" s="104"/>
    </row>
    <row r="142" spans="1:38" x14ac:dyDescent="0.2">
      <c r="A142" s="104"/>
      <c r="B142" s="104"/>
      <c r="C142" s="104"/>
      <c r="D142" s="105"/>
      <c r="E142" s="105"/>
      <c r="F142" s="105"/>
      <c r="G142" s="105"/>
      <c r="H142" s="105"/>
      <c r="I142" s="105"/>
      <c r="J142" s="105"/>
      <c r="K142" s="105"/>
      <c r="L142" s="105"/>
      <c r="M142" s="105"/>
      <c r="N142" s="105"/>
      <c r="O142" s="105"/>
      <c r="P142" s="105"/>
      <c r="Q142" s="105"/>
      <c r="R142" s="105"/>
      <c r="S142" s="105"/>
      <c r="T142" s="105"/>
      <c r="U142" s="104"/>
      <c r="V142" s="104"/>
      <c r="W142" s="104"/>
      <c r="X142" s="104"/>
      <c r="Y142" s="104"/>
      <c r="Z142" s="105"/>
      <c r="AA142" s="104"/>
      <c r="AB142" s="104"/>
      <c r="AC142" s="104"/>
      <c r="AD142" s="104"/>
      <c r="AE142" s="104"/>
      <c r="AF142" s="104"/>
      <c r="AG142" s="104"/>
      <c r="AH142" s="104"/>
      <c r="AI142" s="104"/>
      <c r="AJ142" s="104"/>
      <c r="AK142" s="104"/>
      <c r="AL142" s="104"/>
    </row>
    <row r="143" spans="1:38" ht="18" x14ac:dyDescent="0.25">
      <c r="A143" s="104"/>
      <c r="B143" s="104"/>
      <c r="C143" s="278" t="s">
        <v>459</v>
      </c>
      <c r="D143" s="243" t="s">
        <v>460</v>
      </c>
      <c r="E143" s="243" t="s">
        <v>114</v>
      </c>
      <c r="F143" s="243" t="s">
        <v>119</v>
      </c>
      <c r="G143" s="243" t="s">
        <v>117</v>
      </c>
      <c r="H143" s="243" t="s">
        <v>121</v>
      </c>
      <c r="I143" s="243" t="s">
        <v>116</v>
      </c>
      <c r="J143" s="243" t="s">
        <v>461</v>
      </c>
      <c r="K143" s="243" t="s">
        <v>462</v>
      </c>
      <c r="L143" s="243"/>
      <c r="M143" s="243" t="s">
        <v>378</v>
      </c>
      <c r="N143" s="105" t="s">
        <v>463</v>
      </c>
      <c r="O143" s="105" t="s">
        <v>464</v>
      </c>
      <c r="P143" s="105" t="s">
        <v>465</v>
      </c>
      <c r="Q143" s="105"/>
      <c r="R143" s="105"/>
      <c r="S143" s="105"/>
      <c r="T143" s="105"/>
      <c r="U143" s="104"/>
      <c r="V143" s="104"/>
      <c r="W143" s="104"/>
      <c r="X143" s="104"/>
      <c r="Y143" s="104"/>
      <c r="Z143" s="105"/>
      <c r="AA143" s="104"/>
      <c r="AB143" s="104"/>
      <c r="AC143" s="104"/>
      <c r="AD143" s="104"/>
      <c r="AE143" s="104"/>
      <c r="AF143" s="104"/>
      <c r="AG143" s="104"/>
      <c r="AH143" s="104"/>
      <c r="AI143" s="104"/>
      <c r="AJ143" s="104"/>
      <c r="AK143" s="104"/>
      <c r="AL143" s="104"/>
    </row>
    <row r="144" spans="1:38" ht="18" x14ac:dyDescent="0.25">
      <c r="A144" s="104"/>
      <c r="B144" s="104"/>
      <c r="C144" s="135" t="s">
        <v>466</v>
      </c>
      <c r="D144" s="105">
        <v>7.5</v>
      </c>
      <c r="E144" s="105" t="s">
        <v>35</v>
      </c>
      <c r="F144" s="105" t="s">
        <v>35</v>
      </c>
      <c r="G144" s="105" t="s">
        <v>35</v>
      </c>
      <c r="H144" s="105" t="s">
        <v>35</v>
      </c>
      <c r="I144" s="105" t="s">
        <v>35</v>
      </c>
      <c r="J144" s="105" t="s">
        <v>35</v>
      </c>
      <c r="K144" s="105">
        <v>7.5</v>
      </c>
      <c r="L144" s="105">
        <f>SUM(E144:K144)</f>
        <v>7.5</v>
      </c>
      <c r="M144" s="200">
        <f>L144*30</f>
        <v>225</v>
      </c>
      <c r="N144" s="105">
        <v>225</v>
      </c>
      <c r="O144" s="105" t="s">
        <v>35</v>
      </c>
      <c r="P144" s="105"/>
      <c r="Q144" s="105"/>
      <c r="R144" s="105"/>
      <c r="S144" s="105"/>
      <c r="T144" s="105"/>
      <c r="U144" s="104"/>
      <c r="V144" s="104"/>
      <c r="W144" s="104"/>
      <c r="X144" s="104"/>
      <c r="Y144" s="104"/>
      <c r="Z144" s="105"/>
      <c r="AA144" s="104"/>
      <c r="AB144" s="104"/>
      <c r="AC144" s="104"/>
      <c r="AD144" s="104"/>
      <c r="AE144" s="104"/>
      <c r="AF144" s="104"/>
      <c r="AG144" s="104"/>
      <c r="AH144" s="104"/>
      <c r="AI144" s="104"/>
      <c r="AJ144" s="104"/>
      <c r="AK144" s="104"/>
      <c r="AL144" s="104"/>
    </row>
    <row r="145" spans="1:38" ht="18" x14ac:dyDescent="0.25">
      <c r="A145" s="104"/>
      <c r="B145" s="104"/>
      <c r="C145" s="252" t="s">
        <v>70</v>
      </c>
      <c r="D145" s="105">
        <v>13</v>
      </c>
      <c r="E145" s="105"/>
      <c r="F145" s="105"/>
      <c r="G145" s="105"/>
      <c r="H145" s="105"/>
      <c r="I145" s="105">
        <v>13</v>
      </c>
      <c r="J145" s="105"/>
      <c r="K145" s="105"/>
      <c r="L145" s="105">
        <f t="shared" ref="L145:L149" si="48">SUM(E145:K145)</f>
        <v>13</v>
      </c>
      <c r="M145" s="200">
        <f t="shared" ref="M145:M151" si="49">L145*30</f>
        <v>390</v>
      </c>
      <c r="N145" s="105" t="s">
        <v>35</v>
      </c>
      <c r="O145" s="105">
        <f>M145</f>
        <v>390</v>
      </c>
      <c r="P145" s="105"/>
      <c r="Q145" s="105"/>
      <c r="R145" s="105"/>
      <c r="S145" s="105"/>
      <c r="T145" s="105"/>
      <c r="U145" s="104"/>
      <c r="V145" s="104"/>
      <c r="W145" s="104"/>
      <c r="X145" s="104"/>
      <c r="Y145" s="104"/>
      <c r="Z145" s="105"/>
      <c r="AA145" s="104"/>
      <c r="AB145" s="104"/>
      <c r="AC145" s="104"/>
      <c r="AD145" s="104"/>
      <c r="AE145" s="104"/>
      <c r="AF145" s="104"/>
      <c r="AG145" s="104"/>
      <c r="AH145" s="104"/>
      <c r="AI145" s="104"/>
      <c r="AJ145" s="104"/>
      <c r="AK145" s="104"/>
      <c r="AL145" s="104"/>
    </row>
    <row r="146" spans="1:38" ht="18" x14ac:dyDescent="0.25">
      <c r="A146" s="104"/>
      <c r="B146" s="104"/>
      <c r="C146" s="252" t="s">
        <v>24</v>
      </c>
      <c r="D146" s="105">
        <v>8.5</v>
      </c>
      <c r="E146" s="105"/>
      <c r="F146" s="105"/>
      <c r="G146" s="105">
        <v>8.5</v>
      </c>
      <c r="H146" s="105"/>
      <c r="I146" s="105"/>
      <c r="J146" s="105"/>
      <c r="K146" s="105"/>
      <c r="L146" s="105">
        <f t="shared" si="48"/>
        <v>8.5</v>
      </c>
      <c r="M146" s="201">
        <f t="shared" si="49"/>
        <v>255</v>
      </c>
      <c r="N146" s="105" t="s">
        <v>35</v>
      </c>
      <c r="O146" s="105">
        <f>M146</f>
        <v>255</v>
      </c>
      <c r="P146" s="105"/>
      <c r="Q146" s="105" t="s">
        <v>35</v>
      </c>
      <c r="R146" s="105"/>
      <c r="S146" s="105"/>
      <c r="T146" s="105"/>
      <c r="U146" s="104"/>
      <c r="V146" s="104"/>
      <c r="W146" s="104"/>
      <c r="X146" s="104"/>
      <c r="Y146" s="104"/>
      <c r="Z146" s="105"/>
      <c r="AA146" s="104"/>
      <c r="AB146" s="104"/>
      <c r="AC146" s="104"/>
      <c r="AD146" s="104"/>
      <c r="AE146" s="104"/>
      <c r="AF146" s="104"/>
      <c r="AG146" s="104"/>
      <c r="AH146" s="104"/>
      <c r="AI146" s="104"/>
      <c r="AJ146" s="104"/>
      <c r="AK146" s="104"/>
      <c r="AL146" s="104"/>
    </row>
    <row r="147" spans="1:38" ht="18" x14ac:dyDescent="0.25">
      <c r="A147" s="104"/>
      <c r="B147" s="104"/>
      <c r="C147" s="252" t="s">
        <v>23</v>
      </c>
      <c r="D147" s="105">
        <v>32</v>
      </c>
      <c r="E147" s="105">
        <v>22</v>
      </c>
      <c r="F147" s="105">
        <v>10</v>
      </c>
      <c r="G147" s="105"/>
      <c r="H147" s="105"/>
      <c r="I147" s="105"/>
      <c r="J147" s="105"/>
      <c r="K147" s="105"/>
      <c r="L147" s="105">
        <f t="shared" si="48"/>
        <v>32</v>
      </c>
      <c r="M147" s="200">
        <f t="shared" si="49"/>
        <v>960</v>
      </c>
      <c r="N147" s="105"/>
      <c r="O147" s="105">
        <f>M147</f>
        <v>960</v>
      </c>
      <c r="P147" s="105"/>
      <c r="Q147" s="105"/>
      <c r="R147" s="105"/>
      <c r="S147" s="105"/>
      <c r="T147" s="105"/>
      <c r="U147" s="104"/>
      <c r="V147" s="104"/>
      <c r="W147" s="104"/>
      <c r="X147" s="104"/>
      <c r="Y147" s="104"/>
      <c r="Z147" s="105"/>
      <c r="AA147" s="104"/>
      <c r="AB147" s="104"/>
      <c r="AC147" s="104"/>
      <c r="AD147" s="104"/>
      <c r="AE147" s="104"/>
      <c r="AF147" s="104"/>
      <c r="AG147" s="104"/>
      <c r="AH147" s="104"/>
      <c r="AI147" s="104"/>
      <c r="AJ147" s="104"/>
      <c r="AK147" s="104"/>
      <c r="AL147" s="104"/>
    </row>
    <row r="148" spans="1:38" ht="18" x14ac:dyDescent="0.25">
      <c r="A148" s="104"/>
      <c r="B148" s="104"/>
      <c r="C148" s="252" t="s">
        <v>22</v>
      </c>
      <c r="D148" s="105">
        <v>19</v>
      </c>
      <c r="E148" s="105"/>
      <c r="F148" s="105"/>
      <c r="G148" s="105"/>
      <c r="H148" s="105">
        <v>19</v>
      </c>
      <c r="I148" s="105"/>
      <c r="J148" s="105"/>
      <c r="K148" s="105"/>
      <c r="L148" s="105">
        <f t="shared" si="48"/>
        <v>19</v>
      </c>
      <c r="M148" s="200">
        <f t="shared" si="49"/>
        <v>570</v>
      </c>
      <c r="N148" s="105">
        <f>M148</f>
        <v>570</v>
      </c>
      <c r="O148" s="105"/>
      <c r="P148" s="105"/>
      <c r="Q148" s="105"/>
      <c r="R148" s="105"/>
      <c r="S148" s="105"/>
      <c r="T148" s="105"/>
      <c r="U148" s="104"/>
      <c r="V148" s="104"/>
      <c r="W148" s="104"/>
      <c r="X148" s="104"/>
      <c r="Y148" s="104"/>
      <c r="Z148" s="105"/>
      <c r="AA148" s="104"/>
      <c r="AB148" s="104"/>
      <c r="AC148" s="104"/>
      <c r="AD148" s="104"/>
      <c r="AE148" s="104"/>
      <c r="AF148" s="104"/>
      <c r="AG148" s="104"/>
      <c r="AH148" s="104"/>
      <c r="AI148" s="104"/>
      <c r="AJ148" s="104"/>
      <c r="AK148" s="104"/>
      <c r="AL148" s="104"/>
    </row>
    <row r="149" spans="1:38" ht="18" x14ac:dyDescent="0.25">
      <c r="A149" s="104"/>
      <c r="B149" s="104"/>
      <c r="C149" s="252" t="s">
        <v>94</v>
      </c>
      <c r="D149" s="105">
        <v>29</v>
      </c>
      <c r="E149" s="105" t="s">
        <v>35</v>
      </c>
      <c r="F149" s="105"/>
      <c r="G149" s="105"/>
      <c r="H149" s="105"/>
      <c r="I149" s="105"/>
      <c r="J149" s="105">
        <v>29</v>
      </c>
      <c r="K149" s="105"/>
      <c r="L149" s="105">
        <f t="shared" si="48"/>
        <v>29</v>
      </c>
      <c r="M149" s="200">
        <f t="shared" si="49"/>
        <v>870</v>
      </c>
      <c r="N149" s="105" t="s">
        <v>35</v>
      </c>
      <c r="O149" s="105"/>
      <c r="P149" s="105">
        <f>M149</f>
        <v>870</v>
      </c>
      <c r="Q149" s="105"/>
      <c r="R149" s="105"/>
      <c r="S149" s="105"/>
      <c r="T149" s="105"/>
      <c r="U149" s="104"/>
      <c r="V149" s="104"/>
      <c r="W149" s="104"/>
      <c r="X149" s="104"/>
      <c r="Y149" s="104"/>
      <c r="Z149" s="105"/>
      <c r="AA149" s="104"/>
      <c r="AB149" s="104"/>
      <c r="AC149" s="104"/>
      <c r="AD149" s="104"/>
      <c r="AE149" s="104"/>
      <c r="AF149" s="104"/>
      <c r="AG149" s="104"/>
      <c r="AH149" s="104"/>
      <c r="AI149" s="104"/>
      <c r="AJ149" s="104"/>
      <c r="AK149" s="104"/>
      <c r="AL149" s="104"/>
    </row>
    <row r="150" spans="1:38" ht="18" x14ac:dyDescent="0.25">
      <c r="A150" s="104"/>
      <c r="B150" s="104"/>
      <c r="C150" s="361" t="s">
        <v>25</v>
      </c>
      <c r="D150" s="105">
        <v>25</v>
      </c>
      <c r="E150" s="105"/>
      <c r="F150" s="105"/>
      <c r="G150" s="105"/>
      <c r="H150" s="105"/>
      <c r="I150" s="105"/>
      <c r="J150" s="105"/>
      <c r="K150" s="105" t="s">
        <v>35</v>
      </c>
      <c r="L150" s="105">
        <v>25</v>
      </c>
      <c r="M150" s="200">
        <f t="shared" si="49"/>
        <v>750</v>
      </c>
      <c r="N150" s="105">
        <f>M150</f>
        <v>750</v>
      </c>
      <c r="O150" s="105"/>
      <c r="P150" s="105"/>
      <c r="Q150" s="105"/>
      <c r="R150" s="105"/>
      <c r="S150" s="105"/>
      <c r="T150" s="105"/>
      <c r="U150" s="104"/>
      <c r="V150" s="104"/>
      <c r="W150" s="104"/>
      <c r="X150" s="104"/>
      <c r="Y150" s="104"/>
      <c r="Z150" s="105"/>
      <c r="AA150" s="104"/>
      <c r="AB150" s="104"/>
      <c r="AC150" s="104"/>
      <c r="AD150" s="104"/>
      <c r="AE150" s="104"/>
      <c r="AF150" s="104"/>
      <c r="AG150" s="104"/>
      <c r="AH150" s="104"/>
      <c r="AI150" s="104"/>
      <c r="AJ150" s="104"/>
      <c r="AK150" s="104"/>
      <c r="AL150" s="104"/>
    </row>
    <row r="151" spans="1:38" s="199" customFormat="1" ht="18" x14ac:dyDescent="0.25">
      <c r="C151" s="278"/>
      <c r="D151" s="243">
        <f>SUM(D144:D150)</f>
        <v>134</v>
      </c>
      <c r="E151" s="243"/>
      <c r="F151" s="243"/>
      <c r="G151" s="243"/>
      <c r="H151" s="243"/>
      <c r="I151" s="243"/>
      <c r="J151" s="243"/>
      <c r="K151" s="243"/>
      <c r="L151" s="243">
        <f>SUM(L144:L150)</f>
        <v>134</v>
      </c>
      <c r="M151" s="243">
        <f t="shared" si="49"/>
        <v>4020</v>
      </c>
      <c r="N151" s="105">
        <f>SUM(N144:N150)</f>
        <v>1545</v>
      </c>
      <c r="O151" s="105">
        <f>SUM(O144:O150)</f>
        <v>1605</v>
      </c>
      <c r="P151" s="105">
        <f>SUM(P144:P149)</f>
        <v>870</v>
      </c>
      <c r="Q151" s="200"/>
      <c r="R151" s="200"/>
      <c r="S151" s="200"/>
      <c r="T151" s="200"/>
      <c r="Z151" s="105"/>
      <c r="AA151" s="104"/>
      <c r="AB151" s="104"/>
      <c r="AC151" s="104"/>
      <c r="AD151" s="104"/>
    </row>
    <row r="152" spans="1:38" x14ac:dyDescent="0.2">
      <c r="A152" s="104"/>
      <c r="B152" s="104"/>
      <c r="C152" s="104"/>
      <c r="D152" s="105"/>
      <c r="E152" s="105"/>
      <c r="F152" s="105"/>
      <c r="G152" s="105"/>
      <c r="H152" s="105"/>
      <c r="I152" s="105"/>
      <c r="J152" s="105"/>
      <c r="K152" s="105"/>
      <c r="L152" s="105"/>
      <c r="M152" s="105"/>
      <c r="N152" s="105"/>
      <c r="O152" s="105"/>
      <c r="P152" s="105"/>
      <c r="Q152" s="105"/>
      <c r="R152" s="105"/>
      <c r="S152" s="105"/>
      <c r="T152" s="105"/>
      <c r="U152" s="104"/>
      <c r="V152" s="104"/>
      <c r="W152" s="104"/>
      <c r="X152" s="104"/>
      <c r="Y152" s="104"/>
      <c r="Z152" s="105"/>
      <c r="AA152" s="104"/>
      <c r="AB152" s="104"/>
      <c r="AC152" s="104"/>
      <c r="AD152" s="104"/>
      <c r="AE152" s="104"/>
      <c r="AF152" s="104"/>
      <c r="AG152" s="104"/>
      <c r="AH152" s="104"/>
      <c r="AI152" s="104"/>
      <c r="AJ152" s="104"/>
      <c r="AK152" s="104"/>
      <c r="AL152" s="104"/>
    </row>
    <row r="153" spans="1:38" x14ac:dyDescent="0.2">
      <c r="A153" s="104"/>
      <c r="B153" s="104"/>
      <c r="C153" s="104"/>
      <c r="D153" s="105"/>
      <c r="E153" s="105"/>
      <c r="F153" s="105"/>
      <c r="G153" s="105"/>
      <c r="H153" s="105"/>
      <c r="I153" s="105"/>
      <c r="J153" s="105"/>
      <c r="K153" s="105"/>
      <c r="L153" s="105"/>
      <c r="M153" s="105"/>
      <c r="N153" s="105"/>
      <c r="O153" s="105"/>
      <c r="P153" s="105"/>
      <c r="Q153" s="105"/>
      <c r="R153" s="105"/>
      <c r="S153" s="105"/>
      <c r="T153" s="105"/>
      <c r="U153" s="104"/>
      <c r="V153" s="104"/>
      <c r="W153" s="104"/>
      <c r="X153" s="104"/>
      <c r="Y153" s="104"/>
      <c r="Z153" s="105"/>
      <c r="AA153" s="104"/>
      <c r="AB153" s="104"/>
      <c r="AC153" s="104"/>
      <c r="AD153" s="104"/>
      <c r="AE153" s="104"/>
      <c r="AF153" s="104"/>
      <c r="AG153" s="104"/>
      <c r="AH153" s="104"/>
      <c r="AI153" s="104"/>
      <c r="AJ153" s="104"/>
      <c r="AK153" s="104"/>
      <c r="AL153" s="104"/>
    </row>
    <row r="154" spans="1:38" x14ac:dyDescent="0.2">
      <c r="A154" s="104"/>
      <c r="B154" s="104"/>
      <c r="C154" s="104"/>
      <c r="D154" s="105"/>
      <c r="E154" s="105"/>
      <c r="F154" s="105"/>
      <c r="G154" s="105"/>
      <c r="H154" s="105"/>
      <c r="I154" s="105"/>
      <c r="J154" s="105"/>
      <c r="K154" s="105"/>
      <c r="L154" s="105"/>
      <c r="M154" s="105"/>
      <c r="N154" s="105"/>
      <c r="O154" s="105"/>
      <c r="P154" s="105"/>
      <c r="Q154" s="105"/>
      <c r="R154" s="105"/>
      <c r="S154" s="105"/>
      <c r="T154" s="105"/>
      <c r="U154" s="104"/>
      <c r="V154" s="104"/>
      <c r="W154" s="104"/>
      <c r="X154" s="104"/>
      <c r="Y154" s="104"/>
      <c r="Z154" s="105"/>
      <c r="AA154" s="104"/>
      <c r="AB154" s="104"/>
      <c r="AC154" s="104"/>
      <c r="AD154" s="104"/>
      <c r="AE154" s="104"/>
      <c r="AF154" s="104"/>
      <c r="AG154" s="104"/>
      <c r="AH154" s="104"/>
      <c r="AI154" s="104"/>
      <c r="AJ154" s="104"/>
      <c r="AK154" s="104"/>
      <c r="AL154" s="104"/>
    </row>
    <row r="155" spans="1:38" x14ac:dyDescent="0.2">
      <c r="A155" s="104"/>
      <c r="B155" s="104"/>
      <c r="C155" s="104"/>
      <c r="D155" s="105"/>
      <c r="E155" s="105"/>
      <c r="F155" s="105"/>
      <c r="G155" s="105"/>
      <c r="H155" s="105"/>
      <c r="I155" s="105"/>
      <c r="J155" s="105"/>
      <c r="K155" s="105"/>
      <c r="L155" s="105"/>
      <c r="M155" s="105"/>
      <c r="N155" s="105"/>
      <c r="O155" s="105"/>
      <c r="P155" s="105"/>
      <c r="Q155" s="105"/>
      <c r="R155" s="105"/>
      <c r="S155" s="105"/>
      <c r="T155" s="105"/>
      <c r="U155" s="104"/>
      <c r="V155" s="104"/>
      <c r="W155" s="104"/>
      <c r="X155" s="104"/>
      <c r="Y155" s="104"/>
      <c r="Z155" s="105"/>
      <c r="AA155" s="104"/>
      <c r="AB155" s="104"/>
      <c r="AC155" s="104"/>
      <c r="AD155" s="104"/>
      <c r="AE155" s="104"/>
      <c r="AF155" s="104"/>
      <c r="AG155" s="104"/>
      <c r="AH155" s="104"/>
      <c r="AI155" s="104"/>
      <c r="AJ155" s="104"/>
      <c r="AK155" s="104"/>
      <c r="AL155" s="104"/>
    </row>
    <row r="156" spans="1:38" x14ac:dyDescent="0.2">
      <c r="A156" s="104"/>
      <c r="B156" s="104"/>
      <c r="C156" s="104"/>
      <c r="D156" s="105"/>
      <c r="E156" s="105"/>
      <c r="F156" s="105"/>
      <c r="G156" s="105"/>
      <c r="H156" s="105"/>
      <c r="I156" s="105"/>
      <c r="J156" s="105"/>
      <c r="K156" s="105"/>
      <c r="L156" s="105"/>
      <c r="M156" s="105"/>
      <c r="N156" s="105"/>
      <c r="O156" s="105"/>
      <c r="P156" s="105"/>
      <c r="Q156" s="105"/>
      <c r="R156" s="105"/>
      <c r="S156" s="105"/>
      <c r="T156" s="105"/>
      <c r="U156" s="104"/>
      <c r="V156" s="104"/>
      <c r="W156" s="104"/>
      <c r="X156" s="104"/>
      <c r="Y156" s="104"/>
      <c r="Z156" s="105"/>
      <c r="AA156" s="104"/>
      <c r="AB156" s="104"/>
      <c r="AC156" s="104"/>
      <c r="AD156" s="104"/>
      <c r="AE156" s="104"/>
      <c r="AF156" s="104"/>
      <c r="AG156" s="104"/>
      <c r="AH156" s="104"/>
      <c r="AI156" s="104"/>
      <c r="AJ156" s="104"/>
      <c r="AK156" s="104"/>
      <c r="AL156" s="104"/>
    </row>
    <row r="157" spans="1:38" x14ac:dyDescent="0.2">
      <c r="A157" s="104"/>
      <c r="B157" s="104"/>
      <c r="C157" s="104"/>
      <c r="D157" s="105"/>
      <c r="E157" s="105"/>
      <c r="F157" s="105"/>
      <c r="G157" s="105"/>
      <c r="H157" s="105"/>
      <c r="I157" s="105"/>
      <c r="J157" s="105"/>
      <c r="K157" s="105"/>
      <c r="L157" s="105"/>
      <c r="M157" s="105"/>
      <c r="N157" s="105"/>
      <c r="O157" s="105"/>
      <c r="P157" s="105"/>
      <c r="Q157" s="105"/>
      <c r="R157" s="105"/>
      <c r="S157" s="105"/>
      <c r="T157" s="105"/>
      <c r="U157" s="104"/>
      <c r="V157" s="104"/>
      <c r="W157" s="104"/>
      <c r="X157" s="104"/>
      <c r="Y157" s="104"/>
      <c r="Z157" s="105"/>
      <c r="AA157" s="104"/>
      <c r="AB157" s="104"/>
      <c r="AC157" s="104"/>
      <c r="AD157" s="104"/>
      <c r="AE157" s="104"/>
      <c r="AF157" s="104"/>
      <c r="AG157" s="104"/>
      <c r="AH157" s="104"/>
      <c r="AI157" s="104"/>
      <c r="AJ157" s="104"/>
      <c r="AK157" s="104"/>
      <c r="AL157" s="104"/>
    </row>
    <row r="158" spans="1:38" x14ac:dyDescent="0.2">
      <c r="A158" s="104"/>
      <c r="B158" s="104"/>
      <c r="C158" s="104"/>
      <c r="D158" s="105"/>
      <c r="E158" s="105"/>
      <c r="F158" s="105"/>
      <c r="G158" s="105"/>
      <c r="H158" s="105"/>
      <c r="I158" s="105"/>
      <c r="J158" s="105"/>
      <c r="K158" s="105"/>
      <c r="L158" s="105"/>
      <c r="M158" s="105"/>
      <c r="N158" s="105"/>
      <c r="O158" s="105"/>
      <c r="P158" s="105"/>
      <c r="Q158" s="105"/>
      <c r="R158" s="105"/>
      <c r="S158" s="105"/>
      <c r="T158" s="105"/>
      <c r="U158" s="104"/>
      <c r="V158" s="104"/>
      <c r="W158" s="104"/>
      <c r="X158" s="104"/>
      <c r="Y158" s="104"/>
      <c r="Z158" s="105"/>
      <c r="AA158" s="104"/>
      <c r="AB158" s="104"/>
      <c r="AC158" s="104"/>
      <c r="AD158" s="104"/>
      <c r="AE158" s="104"/>
      <c r="AF158" s="104"/>
      <c r="AG158" s="104"/>
      <c r="AH158" s="104"/>
      <c r="AI158" s="104"/>
      <c r="AJ158" s="104"/>
      <c r="AK158" s="104"/>
      <c r="AL158" s="104"/>
    </row>
    <row r="159" spans="1:38" x14ac:dyDescent="0.2">
      <c r="A159" s="104"/>
      <c r="B159" s="104"/>
      <c r="C159" s="104"/>
      <c r="D159" s="105"/>
      <c r="E159" s="105"/>
      <c r="F159" s="105"/>
      <c r="G159" s="105"/>
      <c r="H159" s="105"/>
      <c r="I159" s="105"/>
      <c r="J159" s="105"/>
      <c r="K159" s="105"/>
      <c r="L159" s="105"/>
      <c r="M159" s="105"/>
      <c r="N159" s="105"/>
      <c r="O159" s="105"/>
      <c r="P159" s="105"/>
      <c r="Q159" s="105"/>
      <c r="R159" s="105"/>
      <c r="S159" s="105"/>
      <c r="T159" s="105"/>
      <c r="U159" s="104"/>
      <c r="V159" s="104"/>
      <c r="W159" s="104"/>
      <c r="X159" s="104"/>
      <c r="Y159" s="104"/>
      <c r="Z159" s="105"/>
      <c r="AA159" s="104"/>
      <c r="AB159" s="104"/>
      <c r="AC159" s="104"/>
      <c r="AD159" s="104"/>
      <c r="AE159" s="104"/>
      <c r="AF159" s="104"/>
      <c r="AG159" s="104"/>
      <c r="AH159" s="104"/>
      <c r="AI159" s="104"/>
      <c r="AJ159" s="104"/>
      <c r="AK159" s="104"/>
      <c r="AL159" s="104"/>
    </row>
    <row r="160" spans="1:38" x14ac:dyDescent="0.2">
      <c r="A160" s="104"/>
      <c r="B160" s="104"/>
      <c r="C160" s="104"/>
      <c r="D160" s="105"/>
      <c r="E160" s="105"/>
      <c r="F160" s="105"/>
      <c r="G160" s="105"/>
      <c r="H160" s="105"/>
      <c r="I160" s="105"/>
      <c r="J160" s="105"/>
      <c r="K160" s="105"/>
      <c r="L160" s="105"/>
      <c r="M160" s="105"/>
      <c r="N160" s="105"/>
      <c r="O160" s="105"/>
      <c r="P160" s="105"/>
      <c r="Q160" s="105"/>
      <c r="R160" s="105"/>
      <c r="S160" s="105"/>
      <c r="T160" s="105"/>
      <c r="U160" s="104"/>
      <c r="V160" s="104"/>
      <c r="W160" s="104"/>
      <c r="X160" s="104"/>
      <c r="Y160" s="104"/>
      <c r="Z160" s="105"/>
      <c r="AA160" s="104"/>
      <c r="AB160" s="104"/>
      <c r="AC160" s="104"/>
      <c r="AD160" s="104"/>
      <c r="AE160" s="104"/>
      <c r="AF160" s="104"/>
      <c r="AG160" s="104"/>
      <c r="AH160" s="104"/>
      <c r="AI160" s="104"/>
      <c r="AJ160" s="104"/>
      <c r="AK160" s="104"/>
      <c r="AL160" s="104"/>
    </row>
    <row r="161" spans="1:30" x14ac:dyDescent="0.2">
      <c r="A161" s="104"/>
      <c r="B161" s="104"/>
      <c r="C161" s="104"/>
      <c r="D161" s="105"/>
      <c r="E161" s="105"/>
      <c r="F161" s="105"/>
      <c r="G161" s="105"/>
      <c r="H161" s="105"/>
      <c r="I161" s="105"/>
      <c r="J161" s="105"/>
      <c r="K161" s="105"/>
      <c r="L161" s="105"/>
      <c r="M161" s="105"/>
      <c r="N161" s="105"/>
      <c r="O161" s="105"/>
      <c r="P161" s="105"/>
      <c r="Q161" s="105"/>
      <c r="R161" s="105"/>
      <c r="S161" s="105"/>
      <c r="T161" s="105"/>
      <c r="U161" s="104"/>
      <c r="V161" s="104"/>
      <c r="W161" s="104"/>
      <c r="X161" s="104"/>
      <c r="Y161" s="104"/>
      <c r="Z161" s="105"/>
      <c r="AA161" s="104"/>
      <c r="AB161" s="104"/>
      <c r="AC161" s="104"/>
      <c r="AD161" s="104"/>
    </row>
    <row r="162" spans="1:30" x14ac:dyDescent="0.2">
      <c r="A162" s="104"/>
      <c r="B162" s="104"/>
      <c r="C162" s="104"/>
      <c r="D162" s="105"/>
      <c r="E162" s="105"/>
      <c r="F162" s="105"/>
      <c r="G162" s="105"/>
      <c r="H162" s="105"/>
      <c r="I162" s="105"/>
      <c r="J162" s="105"/>
      <c r="K162" s="105"/>
      <c r="L162" s="105"/>
      <c r="M162" s="105"/>
      <c r="N162" s="105"/>
      <c r="O162" s="105"/>
      <c r="P162" s="105"/>
      <c r="Q162" s="105"/>
      <c r="R162" s="105"/>
      <c r="S162" s="105"/>
      <c r="T162" s="105"/>
      <c r="U162" s="104"/>
      <c r="V162" s="104"/>
      <c r="W162" s="104"/>
      <c r="X162" s="104"/>
      <c r="Y162" s="104"/>
      <c r="Z162" s="105"/>
      <c r="AA162" s="104"/>
      <c r="AB162" s="104"/>
      <c r="AC162" s="104"/>
      <c r="AD162" s="104"/>
    </row>
    <row r="163" spans="1:30" x14ac:dyDescent="0.2">
      <c r="A163" s="104"/>
      <c r="B163" s="104"/>
      <c r="C163" s="104"/>
      <c r="D163" s="105"/>
      <c r="E163" s="105"/>
      <c r="F163" s="105"/>
      <c r="G163" s="105"/>
      <c r="H163" s="105"/>
      <c r="I163" s="105"/>
      <c r="J163" s="105"/>
      <c r="K163" s="105"/>
      <c r="L163" s="105"/>
      <c r="M163" s="105"/>
      <c r="N163" s="105"/>
      <c r="O163" s="105"/>
      <c r="P163" s="105"/>
      <c r="Q163" s="105"/>
      <c r="R163" s="105"/>
      <c r="S163" s="105"/>
      <c r="T163" s="105"/>
      <c r="U163" s="104"/>
      <c r="V163" s="104"/>
      <c r="W163" s="104"/>
      <c r="X163" s="104"/>
      <c r="Y163" s="104"/>
      <c r="Z163" s="105"/>
      <c r="AA163" s="104"/>
      <c r="AB163" s="104"/>
      <c r="AC163" s="104"/>
      <c r="AD163" s="104"/>
    </row>
    <row r="164" spans="1:30" x14ac:dyDescent="0.2">
      <c r="A164" s="104"/>
      <c r="B164" s="104"/>
      <c r="C164" s="104"/>
      <c r="D164" s="105"/>
      <c r="E164" s="105"/>
      <c r="F164" s="105"/>
      <c r="G164" s="105"/>
      <c r="H164" s="105"/>
      <c r="I164" s="105"/>
      <c r="J164" s="105"/>
      <c r="K164" s="105"/>
      <c r="L164" s="105"/>
      <c r="M164" s="105"/>
      <c r="N164" s="105"/>
      <c r="O164" s="105"/>
      <c r="P164" s="105"/>
      <c r="Q164" s="105"/>
      <c r="R164" s="105"/>
      <c r="S164" s="105"/>
      <c r="T164" s="105"/>
      <c r="U164" s="104"/>
      <c r="V164" s="104"/>
      <c r="W164" s="104"/>
      <c r="X164" s="104"/>
      <c r="Y164" s="104"/>
      <c r="Z164" s="105"/>
      <c r="AA164" s="104"/>
      <c r="AB164" s="104"/>
      <c r="AC164" s="104"/>
      <c r="AD164" s="104"/>
    </row>
    <row r="168" spans="1:30" ht="18" x14ac:dyDescent="0.25">
      <c r="A168" s="104"/>
      <c r="B168" s="104"/>
      <c r="C168" s="104"/>
      <c r="D168" s="105"/>
      <c r="E168" s="105"/>
      <c r="F168" s="105"/>
      <c r="G168" s="105"/>
      <c r="H168" s="105"/>
      <c r="I168" s="105"/>
      <c r="J168" s="105"/>
      <c r="K168" s="105"/>
      <c r="L168" s="105"/>
      <c r="M168" s="105"/>
      <c r="N168" s="105"/>
      <c r="O168" s="105"/>
      <c r="P168" s="105"/>
      <c r="Q168" s="105"/>
      <c r="R168" s="105"/>
      <c r="S168" s="105"/>
      <c r="T168" s="105"/>
      <c r="U168" s="104"/>
      <c r="V168" s="104"/>
      <c r="W168" s="104"/>
      <c r="X168" s="104"/>
      <c r="Y168" s="104"/>
      <c r="Z168" s="200"/>
      <c r="AA168" s="199"/>
      <c r="AB168" s="199"/>
      <c r="AC168" s="199"/>
      <c r="AD168" s="199"/>
    </row>
  </sheetData>
  <dataConsolidate/>
  <mergeCells count="3">
    <mergeCell ref="Z3:AD3"/>
    <mergeCell ref="Z32:AD32"/>
    <mergeCell ref="Z85:AD8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BDB94-A710-405B-9DE2-530A52DAAFE2}">
  <dimension ref="A1:AN157"/>
  <sheetViews>
    <sheetView topLeftCell="A6" zoomScale="70" zoomScaleNormal="70" workbookViewId="0">
      <selection activeCell="S14" sqref="S14"/>
    </sheetView>
  </sheetViews>
  <sheetFormatPr defaultColWidth="9.42578125" defaultRowHeight="15" x14ac:dyDescent="0.2"/>
  <cols>
    <col min="1" max="2" width="9.42578125" style="140"/>
    <col min="3" max="3" width="29" style="140" customWidth="1"/>
    <col min="4" max="4" width="10.42578125" style="141" customWidth="1"/>
    <col min="5" max="5" width="11.5703125" style="141" customWidth="1"/>
    <col min="6" max="6" width="7.42578125" style="141" customWidth="1"/>
    <col min="7" max="7" width="8.42578125" style="141" customWidth="1"/>
    <col min="8" max="9" width="7.42578125" style="141" customWidth="1"/>
    <col min="10" max="10" width="8.42578125" style="141" customWidth="1"/>
    <col min="11" max="11" width="6.5703125" style="141" customWidth="1"/>
    <col min="12" max="12" width="8.42578125" style="141" customWidth="1"/>
    <col min="13" max="17" width="8.5703125" style="141" customWidth="1"/>
    <col min="18" max="18" width="10.42578125" style="141" customWidth="1"/>
    <col min="19" max="19" width="13" style="141" customWidth="1"/>
    <col min="20" max="20" width="12.5703125" style="141" customWidth="1"/>
    <col min="21" max="21" width="13.42578125" style="140" customWidth="1"/>
    <col min="22" max="22" width="11.42578125" style="140" customWidth="1"/>
    <col min="23" max="23" width="22.5703125" style="140" bestFit="1" customWidth="1"/>
    <col min="24" max="24" width="11.42578125" style="141" customWidth="1"/>
    <col min="25" max="26" width="10.42578125" style="141" customWidth="1"/>
    <col min="27" max="27" width="12.5703125" style="141" bestFit="1" customWidth="1"/>
    <col min="28" max="28" width="12.5703125" style="140" customWidth="1"/>
    <col min="29" max="29" width="50.5703125" style="140" customWidth="1"/>
    <col min="30" max="30" width="12" style="140" bestFit="1" customWidth="1"/>
    <col min="31" max="31" width="11.5703125" style="140" bestFit="1" customWidth="1"/>
    <col min="32" max="35" width="9.42578125" style="140"/>
    <col min="36" max="39" width="24.42578125" style="140" customWidth="1"/>
    <col min="40" max="16384" width="9.42578125" style="140"/>
  </cols>
  <sheetData>
    <row r="1" spans="1:40" x14ac:dyDescent="0.2">
      <c r="A1" s="104"/>
      <c r="B1" s="104"/>
      <c r="C1" s="104"/>
      <c r="D1" s="105"/>
      <c r="E1" s="105"/>
      <c r="F1" s="155"/>
      <c r="G1" s="105"/>
      <c r="H1" s="105"/>
      <c r="I1" s="105"/>
      <c r="J1" s="105"/>
      <c r="K1" s="105"/>
      <c r="L1" s="105"/>
      <c r="M1" s="105"/>
      <c r="N1" s="105"/>
      <c r="O1" s="105"/>
      <c r="P1" s="105"/>
      <c r="Q1" s="105"/>
      <c r="R1" s="105"/>
      <c r="S1" s="105"/>
      <c r="T1" s="105"/>
      <c r="U1" s="105"/>
      <c r="V1" s="104"/>
      <c r="W1" s="104"/>
      <c r="X1" s="105"/>
      <c r="Y1" s="105"/>
      <c r="Z1" s="105"/>
      <c r="AA1" s="150"/>
      <c r="AB1" s="105"/>
      <c r="AC1" s="104"/>
      <c r="AD1" s="104"/>
      <c r="AE1" s="104"/>
      <c r="AF1" s="104"/>
      <c r="AG1" s="104"/>
      <c r="AH1" s="104"/>
      <c r="AI1" s="104"/>
      <c r="AJ1" s="104"/>
      <c r="AK1" s="104"/>
      <c r="AL1" s="104"/>
      <c r="AM1" s="104"/>
      <c r="AN1" s="104"/>
    </row>
    <row r="2" spans="1:40" x14ac:dyDescent="0.2">
      <c r="A2" s="104"/>
      <c r="B2" s="104"/>
      <c r="C2" s="155">
        <v>44196</v>
      </c>
      <c r="D2" s="105"/>
      <c r="E2" s="105"/>
      <c r="F2" s="105"/>
      <c r="G2" s="105"/>
      <c r="H2" s="105"/>
      <c r="I2" s="105"/>
      <c r="J2" s="105"/>
      <c r="K2" s="105"/>
      <c r="L2" s="105"/>
      <c r="M2" s="105"/>
      <c r="N2" s="105"/>
      <c r="O2" s="105"/>
      <c r="P2" s="105"/>
      <c r="Q2" s="105"/>
      <c r="R2" s="105"/>
      <c r="S2" s="105"/>
      <c r="T2" s="105"/>
      <c r="U2" s="105"/>
      <c r="V2" s="104"/>
      <c r="W2" s="104"/>
      <c r="X2" s="105"/>
      <c r="Y2" s="105"/>
      <c r="Z2" s="105"/>
      <c r="AA2" s="150"/>
      <c r="AB2" s="105"/>
      <c r="AC2" s="104"/>
      <c r="AD2" s="104"/>
      <c r="AE2" s="104"/>
      <c r="AF2" s="104"/>
      <c r="AG2" s="104"/>
      <c r="AH2" s="104"/>
      <c r="AI2" s="104"/>
      <c r="AJ2" s="104"/>
      <c r="AK2" s="104"/>
      <c r="AL2" s="104"/>
      <c r="AM2" s="104"/>
      <c r="AN2" s="104"/>
    </row>
    <row r="3" spans="1:40" x14ac:dyDescent="0.2">
      <c r="A3" s="104"/>
      <c r="B3" s="104"/>
      <c r="C3" s="105"/>
      <c r="D3" s="105"/>
      <c r="E3" s="105"/>
      <c r="F3" s="105"/>
      <c r="G3" s="105"/>
      <c r="H3" s="105"/>
      <c r="I3" s="105"/>
      <c r="J3" s="105"/>
      <c r="K3" s="105"/>
      <c r="L3" s="105"/>
      <c r="M3" s="105"/>
      <c r="N3" s="105"/>
      <c r="O3" s="105"/>
      <c r="P3" s="105"/>
      <c r="Q3" s="105"/>
      <c r="R3" s="105"/>
      <c r="S3" s="105"/>
      <c r="T3" s="105"/>
      <c r="U3" s="105"/>
      <c r="V3" s="104"/>
      <c r="W3" s="104"/>
      <c r="X3" s="105"/>
      <c r="Y3" s="105"/>
      <c r="Z3" s="105"/>
      <c r="AA3" s="579" t="s">
        <v>376</v>
      </c>
      <c r="AB3" s="579"/>
      <c r="AC3" s="579"/>
      <c r="AD3" s="579"/>
      <c r="AE3" s="579"/>
      <c r="AF3" s="104"/>
      <c r="AG3" s="104"/>
      <c r="AH3" s="104"/>
      <c r="AI3" s="104"/>
      <c r="AJ3" s="104"/>
      <c r="AK3" s="104"/>
      <c r="AL3" s="104"/>
      <c r="AM3" s="104"/>
      <c r="AN3" s="104"/>
    </row>
    <row r="4" spans="1:40" x14ac:dyDescent="0.2">
      <c r="A4" s="104"/>
      <c r="B4" s="104"/>
      <c r="C4" s="104"/>
      <c r="D4" s="105"/>
      <c r="E4" s="105"/>
      <c r="F4" s="105"/>
      <c r="G4" s="105"/>
      <c r="H4" s="105"/>
      <c r="I4" s="105"/>
      <c r="J4" s="105"/>
      <c r="K4" s="105"/>
      <c r="L4" s="105"/>
      <c r="M4" s="105"/>
      <c r="N4" s="105"/>
      <c r="O4" s="105"/>
      <c r="P4" s="105"/>
      <c r="Q4" s="105"/>
      <c r="R4" s="105"/>
      <c r="S4" s="105"/>
      <c r="T4" s="105"/>
      <c r="U4" s="105"/>
      <c r="V4" s="104"/>
      <c r="W4" s="104"/>
      <c r="X4" s="105"/>
      <c r="Y4" s="105"/>
      <c r="Z4" s="105"/>
      <c r="AA4" s="244">
        <v>44215</v>
      </c>
      <c r="AB4" s="245">
        <v>2019</v>
      </c>
      <c r="AC4" s="246" t="s">
        <v>467</v>
      </c>
      <c r="AD4" s="247">
        <v>879</v>
      </c>
      <c r="AE4" s="246" t="s">
        <v>378</v>
      </c>
      <c r="AF4" s="104"/>
      <c r="AG4" s="104"/>
      <c r="AH4" s="104"/>
      <c r="AI4" s="104"/>
      <c r="AJ4" s="104"/>
      <c r="AK4" s="104"/>
      <c r="AL4" s="104"/>
      <c r="AM4" s="104"/>
      <c r="AN4" s="104"/>
    </row>
    <row r="5" spans="1:40" ht="15.75" thickBot="1" x14ac:dyDescent="0.25">
      <c r="A5" s="104"/>
      <c r="B5" s="104"/>
      <c r="C5" s="104"/>
      <c r="D5" s="105"/>
      <c r="E5" s="105"/>
      <c r="F5" s="105"/>
      <c r="G5" s="105"/>
      <c r="H5" s="105"/>
      <c r="I5" s="105"/>
      <c r="J5" s="105"/>
      <c r="K5" s="105"/>
      <c r="L5" s="105"/>
      <c r="M5" s="105" t="s">
        <v>290</v>
      </c>
      <c r="N5" s="105"/>
      <c r="O5" s="105"/>
      <c r="P5" s="105"/>
      <c r="Q5" s="105"/>
      <c r="R5" s="105"/>
      <c r="S5" s="105"/>
      <c r="T5" s="105"/>
      <c r="U5" s="105"/>
      <c r="V5" s="104"/>
      <c r="W5" s="104"/>
      <c r="X5" s="105"/>
      <c r="Y5" s="105"/>
      <c r="Z5" s="105"/>
      <c r="AA5" s="244">
        <v>44306</v>
      </c>
      <c r="AB5" s="245">
        <v>2020</v>
      </c>
      <c r="AC5" s="246" t="s">
        <v>46</v>
      </c>
      <c r="AD5" s="247">
        <v>336</v>
      </c>
      <c r="AE5" s="246" t="s">
        <v>378</v>
      </c>
      <c r="AF5" s="104"/>
      <c r="AG5" s="104"/>
      <c r="AH5" s="104"/>
      <c r="AI5" s="104"/>
      <c r="AJ5" s="104"/>
      <c r="AK5" s="104"/>
      <c r="AL5" s="104"/>
      <c r="AM5" s="104"/>
      <c r="AN5" s="104"/>
    </row>
    <row r="6" spans="1:40" ht="16.5" thickBot="1" x14ac:dyDescent="0.3">
      <c r="A6" s="106"/>
      <c r="B6" s="107" t="s">
        <v>0</v>
      </c>
      <c r="C6" s="108"/>
      <c r="D6" s="108"/>
      <c r="E6" s="170"/>
      <c r="F6" s="170"/>
      <c r="G6" s="170"/>
      <c r="H6" s="170"/>
      <c r="I6" s="170"/>
      <c r="J6" s="170"/>
      <c r="K6" s="170"/>
      <c r="L6" s="170"/>
      <c r="M6" s="170"/>
      <c r="N6" s="170"/>
      <c r="O6" s="170"/>
      <c r="P6" s="170"/>
      <c r="Q6" s="170"/>
      <c r="R6" s="170"/>
      <c r="S6" s="170"/>
      <c r="T6" s="170"/>
      <c r="U6" s="151"/>
      <c r="V6" s="107" t="s">
        <v>0</v>
      </c>
      <c r="W6" s="108"/>
      <c r="X6" s="105"/>
      <c r="Y6" s="105"/>
      <c r="Z6" s="105"/>
      <c r="AA6" s="244">
        <v>44306</v>
      </c>
      <c r="AB6" s="245">
        <v>2020</v>
      </c>
      <c r="AC6" s="246" t="s">
        <v>468</v>
      </c>
      <c r="AD6" s="247">
        <v>113</v>
      </c>
      <c r="AE6" s="246" t="s">
        <v>378</v>
      </c>
      <c r="AF6" s="104"/>
      <c r="AG6" s="104"/>
      <c r="AH6" s="104"/>
      <c r="AI6" s="104"/>
      <c r="AJ6" s="104"/>
      <c r="AK6" s="104"/>
      <c r="AL6" s="104"/>
      <c r="AM6" s="104"/>
      <c r="AN6" s="104"/>
    </row>
    <row r="7" spans="1:40" ht="63.75" thickBot="1" x14ac:dyDescent="0.3">
      <c r="A7" s="248" t="s">
        <v>60</v>
      </c>
      <c r="B7" s="83" t="s">
        <v>3</v>
      </c>
      <c r="C7" s="55" t="s">
        <v>2</v>
      </c>
      <c r="D7" s="56" t="s">
        <v>380</v>
      </c>
      <c r="E7" s="57" t="s">
        <v>381</v>
      </c>
      <c r="F7" s="103" t="s">
        <v>4</v>
      </c>
      <c r="G7" s="58" t="s">
        <v>5</v>
      </c>
      <c r="H7" s="58" t="s">
        <v>6</v>
      </c>
      <c r="I7" s="58" t="s">
        <v>7</v>
      </c>
      <c r="J7" s="58" t="s">
        <v>8</v>
      </c>
      <c r="K7" s="58" t="s">
        <v>9</v>
      </c>
      <c r="L7" s="58" t="s">
        <v>10</v>
      </c>
      <c r="M7" s="58" t="s">
        <v>11</v>
      </c>
      <c r="N7" s="58" t="s">
        <v>12</v>
      </c>
      <c r="O7" s="58" t="s">
        <v>13</v>
      </c>
      <c r="P7" s="58" t="s">
        <v>14</v>
      </c>
      <c r="Q7" s="58" t="s">
        <v>15</v>
      </c>
      <c r="R7" s="59" t="s">
        <v>16</v>
      </c>
      <c r="S7" s="60" t="s">
        <v>469</v>
      </c>
      <c r="T7" s="57" t="s">
        <v>19</v>
      </c>
      <c r="U7" s="61" t="s">
        <v>41</v>
      </c>
      <c r="V7" s="83" t="s">
        <v>3</v>
      </c>
      <c r="W7" s="55" t="s">
        <v>2</v>
      </c>
      <c r="X7" s="105"/>
      <c r="Y7" s="105"/>
      <c r="Z7" s="105"/>
      <c r="AA7" s="244">
        <v>44358</v>
      </c>
      <c r="AB7" s="245">
        <v>2020</v>
      </c>
      <c r="AC7" s="246" t="s">
        <v>453</v>
      </c>
      <c r="AD7" s="247">
        <v>161</v>
      </c>
      <c r="AE7" s="246" t="s">
        <v>470</v>
      </c>
      <c r="AF7" s="104"/>
      <c r="AG7" s="104"/>
      <c r="AH7" s="104"/>
      <c r="AI7" s="104"/>
      <c r="AJ7" s="104"/>
      <c r="AK7" s="104"/>
      <c r="AL7" s="104"/>
      <c r="AM7" s="104"/>
      <c r="AN7" s="104"/>
    </row>
    <row r="8" spans="1:40" x14ac:dyDescent="0.2">
      <c r="A8" s="249"/>
      <c r="B8" s="249"/>
      <c r="C8" s="249"/>
      <c r="D8" s="250"/>
      <c r="E8" s="251"/>
      <c r="F8" s="251"/>
      <c r="G8" s="251"/>
      <c r="H8" s="251"/>
      <c r="I8" s="251"/>
      <c r="J8" s="251"/>
      <c r="K8" s="251"/>
      <c r="L8" s="251"/>
      <c r="M8" s="251"/>
      <c r="N8" s="251"/>
      <c r="O8" s="251"/>
      <c r="P8" s="251"/>
      <c r="Q8" s="251"/>
      <c r="R8" s="509"/>
      <c r="S8" s="510"/>
      <c r="T8" s="511"/>
      <c r="U8" s="462"/>
      <c r="V8" s="249"/>
      <c r="W8" s="249"/>
      <c r="X8" s="105"/>
      <c r="Y8" s="105"/>
      <c r="Z8" s="105"/>
      <c r="AA8" s="244">
        <v>44363</v>
      </c>
      <c r="AB8" s="245">
        <v>2020</v>
      </c>
      <c r="AC8" s="246" t="s">
        <v>31</v>
      </c>
      <c r="AD8" s="247">
        <v>419</v>
      </c>
      <c r="AE8" s="246" t="s">
        <v>378</v>
      </c>
      <c r="AF8" s="104"/>
      <c r="AG8" s="104"/>
      <c r="AH8" s="104"/>
      <c r="AI8" s="104"/>
      <c r="AJ8" s="104"/>
      <c r="AK8" s="104"/>
      <c r="AL8" s="104"/>
      <c r="AM8" s="104"/>
      <c r="AN8" s="104"/>
    </row>
    <row r="9" spans="1:40" x14ac:dyDescent="0.2">
      <c r="A9" s="252">
        <v>30306</v>
      </c>
      <c r="B9" s="253">
        <v>2015</v>
      </c>
      <c r="C9" s="252" t="s">
        <v>244</v>
      </c>
      <c r="D9" s="254">
        <v>2</v>
      </c>
      <c r="E9" s="255">
        <v>175</v>
      </c>
      <c r="F9" s="255">
        <v>0</v>
      </c>
      <c r="G9" s="255">
        <v>0</v>
      </c>
      <c r="H9" s="255">
        <v>0</v>
      </c>
      <c r="I9" s="255">
        <v>0</v>
      </c>
      <c r="J9" s="255">
        <v>0</v>
      </c>
      <c r="K9" s="255">
        <v>1</v>
      </c>
      <c r="L9" s="255">
        <v>1</v>
      </c>
      <c r="M9" s="255">
        <v>4</v>
      </c>
      <c r="N9" s="255">
        <v>3</v>
      </c>
      <c r="O9" s="255">
        <v>0</v>
      </c>
      <c r="P9" s="255">
        <v>1</v>
      </c>
      <c r="Q9" s="255">
        <v>0</v>
      </c>
      <c r="R9" s="256">
        <f>SUM(F9:Q9)</f>
        <v>10</v>
      </c>
      <c r="S9" s="512">
        <f>IFERROR((AVERAGE(F9:Q9)),0)</f>
        <v>0.83333333333333337</v>
      </c>
      <c r="T9" s="513">
        <f t="shared" ref="T9" si="0">IFERROR((U9/S9),0)</f>
        <v>198</v>
      </c>
      <c r="U9" s="461">
        <f>SUM(E9-R9)</f>
        <v>165</v>
      </c>
      <c r="V9" s="253">
        <v>2015</v>
      </c>
      <c r="W9" s="252" t="s">
        <v>73</v>
      </c>
      <c r="X9" s="105"/>
      <c r="Y9" s="105"/>
      <c r="Z9" s="105"/>
      <c r="AA9" s="244">
        <v>44537</v>
      </c>
      <c r="AB9" s="245">
        <v>2020</v>
      </c>
      <c r="AC9" s="246" t="s">
        <v>471</v>
      </c>
      <c r="AD9" s="247">
        <v>139</v>
      </c>
      <c r="AE9" s="246" t="s">
        <v>378</v>
      </c>
      <c r="AF9" s="104"/>
      <c r="AG9" s="104"/>
      <c r="AH9" s="104"/>
      <c r="AI9" s="104"/>
      <c r="AJ9" s="104"/>
      <c r="AK9" s="104"/>
      <c r="AL9" s="104"/>
      <c r="AM9" s="104"/>
      <c r="AN9" s="104"/>
    </row>
    <row r="10" spans="1:40" x14ac:dyDescent="0.2">
      <c r="A10" s="249"/>
      <c r="B10" s="249"/>
      <c r="C10" s="249"/>
      <c r="D10" s="251"/>
      <c r="E10" s="251"/>
      <c r="F10" s="251"/>
      <c r="G10" s="251"/>
      <c r="H10" s="251"/>
      <c r="I10" s="251"/>
      <c r="J10" s="251"/>
      <c r="K10" s="251"/>
      <c r="L10" s="251"/>
      <c r="M10" s="251"/>
      <c r="N10" s="251"/>
      <c r="O10" s="251"/>
      <c r="P10" s="251"/>
      <c r="Q10" s="251"/>
      <c r="R10" s="251"/>
      <c r="S10" s="251"/>
      <c r="T10" s="251"/>
      <c r="U10" s="251"/>
      <c r="V10" s="249"/>
      <c r="W10" s="249"/>
      <c r="X10" s="105"/>
      <c r="Y10" s="105"/>
      <c r="Z10" s="105"/>
      <c r="AA10" s="244">
        <v>44537</v>
      </c>
      <c r="AB10" s="245">
        <v>2020</v>
      </c>
      <c r="AC10" s="246" t="s">
        <v>472</v>
      </c>
      <c r="AD10" s="247">
        <v>236</v>
      </c>
      <c r="AE10" s="246" t="s">
        <v>378</v>
      </c>
      <c r="AF10" s="104"/>
      <c r="AG10" s="104"/>
      <c r="AH10" s="104"/>
      <c r="AI10" s="104"/>
      <c r="AJ10" s="104"/>
      <c r="AK10" s="104"/>
      <c r="AL10" s="104"/>
      <c r="AM10" s="104"/>
      <c r="AN10" s="104"/>
    </row>
    <row r="11" spans="1:40" ht="14.25" customHeight="1" x14ac:dyDescent="0.2">
      <c r="A11" s="252">
        <v>135370</v>
      </c>
      <c r="B11" s="253">
        <v>2016</v>
      </c>
      <c r="C11" s="252" t="s">
        <v>217</v>
      </c>
      <c r="D11" s="257"/>
      <c r="E11" s="255">
        <v>70</v>
      </c>
      <c r="F11" s="258">
        <v>13</v>
      </c>
      <c r="G11" s="258">
        <v>15</v>
      </c>
      <c r="H11" s="258">
        <v>16</v>
      </c>
      <c r="I11" s="258">
        <v>22</v>
      </c>
      <c r="J11" s="258">
        <v>4</v>
      </c>
      <c r="K11" s="259"/>
      <c r="L11" s="259"/>
      <c r="M11" s="259"/>
      <c r="N11" s="259"/>
      <c r="O11" s="259"/>
      <c r="P11" s="259"/>
      <c r="Q11" s="260"/>
      <c r="R11" s="256">
        <f t="shared" ref="R11" si="1">SUM(F11:Q11)</f>
        <v>70</v>
      </c>
      <c r="S11" s="512">
        <f t="shared" ref="S11" si="2">IFERROR((AVERAGE(F11:Q11)),0)</f>
        <v>14</v>
      </c>
      <c r="T11" s="513">
        <f t="shared" ref="T11" si="3">IFERROR((U11/S11),0)</f>
        <v>0</v>
      </c>
      <c r="U11" s="461">
        <f t="shared" ref="U11" si="4">SUM(E11-R11)</f>
        <v>0</v>
      </c>
      <c r="V11" s="112">
        <f t="shared" ref="V11:W11" si="5">+B11</f>
        <v>2016</v>
      </c>
      <c r="W11" s="252" t="str">
        <f t="shared" si="5"/>
        <v>Petit Verdot Reserve</v>
      </c>
      <c r="X11" s="105"/>
      <c r="Y11" s="105"/>
      <c r="Z11" s="105"/>
      <c r="AA11" s="244">
        <v>44537</v>
      </c>
      <c r="AB11" s="245">
        <v>2020</v>
      </c>
      <c r="AC11" s="246" t="s">
        <v>473</v>
      </c>
      <c r="AD11" s="247">
        <v>424</v>
      </c>
      <c r="AE11" s="246" t="s">
        <v>378</v>
      </c>
      <c r="AF11" s="104"/>
      <c r="AG11" s="104"/>
      <c r="AH11" s="104"/>
      <c r="AI11" s="104"/>
      <c r="AJ11" s="104"/>
      <c r="AK11" s="104"/>
      <c r="AL11" s="104"/>
      <c r="AM11" s="104"/>
      <c r="AN11" s="104"/>
    </row>
    <row r="12" spans="1:40" x14ac:dyDescent="0.2">
      <c r="A12" s="249"/>
      <c r="B12" s="249"/>
      <c r="C12" s="249"/>
      <c r="D12" s="251"/>
      <c r="E12" s="251"/>
      <c r="F12" s="251"/>
      <c r="G12" s="251"/>
      <c r="H12" s="251"/>
      <c r="I12" s="251"/>
      <c r="J12" s="251"/>
      <c r="K12" s="251"/>
      <c r="L12" s="251"/>
      <c r="M12" s="251"/>
      <c r="N12" s="251"/>
      <c r="O12" s="251"/>
      <c r="P12" s="251"/>
      <c r="Q12" s="251"/>
      <c r="R12" s="251"/>
      <c r="S12" s="251"/>
      <c r="T12" s="251"/>
      <c r="U12" s="251"/>
      <c r="V12" s="249"/>
      <c r="W12" s="249"/>
      <c r="X12" s="105"/>
      <c r="Y12" s="105"/>
      <c r="Z12" s="105"/>
      <c r="AA12" s="244">
        <v>44537</v>
      </c>
      <c r="AB12" s="245">
        <v>2020</v>
      </c>
      <c r="AC12" s="246" t="s">
        <v>217</v>
      </c>
      <c r="AD12" s="247">
        <v>319</v>
      </c>
      <c r="AE12" s="246" t="s">
        <v>378</v>
      </c>
      <c r="AF12" s="104"/>
      <c r="AG12" s="104"/>
      <c r="AH12" s="104"/>
      <c r="AI12" s="104"/>
      <c r="AJ12" s="104"/>
      <c r="AK12" s="104"/>
      <c r="AL12" s="104"/>
      <c r="AM12" s="104"/>
      <c r="AN12" s="104"/>
    </row>
    <row r="13" spans="1:40" ht="15" customHeight="1" x14ac:dyDescent="0.2">
      <c r="A13" s="252">
        <v>57630</v>
      </c>
      <c r="B13" s="112">
        <v>2017</v>
      </c>
      <c r="C13" s="252" t="s">
        <v>25</v>
      </c>
      <c r="D13" s="257">
        <v>32</v>
      </c>
      <c r="E13" s="514">
        <v>492</v>
      </c>
      <c r="F13" s="515">
        <v>19</v>
      </c>
      <c r="G13" s="515">
        <v>13</v>
      </c>
      <c r="H13" s="515">
        <v>18</v>
      </c>
      <c r="I13" s="515">
        <v>28</v>
      </c>
      <c r="J13" s="515">
        <v>32</v>
      </c>
      <c r="K13" s="515">
        <v>55</v>
      </c>
      <c r="L13" s="515">
        <v>18</v>
      </c>
      <c r="M13" s="515">
        <v>32</v>
      </c>
      <c r="N13" s="515">
        <v>28</v>
      </c>
      <c r="O13" s="515">
        <v>43</v>
      </c>
      <c r="P13" s="515">
        <v>80</v>
      </c>
      <c r="Q13" s="515">
        <v>33</v>
      </c>
      <c r="R13" s="256">
        <f t="shared" ref="R13" si="6">SUM(F13:Q13)</f>
        <v>399</v>
      </c>
      <c r="S13" s="512">
        <f t="shared" ref="S13:S31" si="7">IFERROR((AVERAGE(F13:Q13)),0)</f>
        <v>33.25</v>
      </c>
      <c r="T13" s="513">
        <f t="shared" ref="T13:T31" si="8">IFERROR((U13/S13),0)</f>
        <v>2.7969924812030076</v>
      </c>
      <c r="U13" s="461">
        <f t="shared" ref="U13:U31" si="9">SUM(E13-R13)</f>
        <v>93</v>
      </c>
      <c r="V13" s="112">
        <v>2017</v>
      </c>
      <c r="W13" s="252" t="s">
        <v>25</v>
      </c>
      <c r="X13" s="105"/>
      <c r="Y13" s="105"/>
      <c r="Z13" s="105"/>
      <c r="AA13" s="244">
        <v>44537</v>
      </c>
      <c r="AB13" s="245">
        <v>2020</v>
      </c>
      <c r="AC13" s="246" t="s">
        <v>70</v>
      </c>
      <c r="AD13" s="247">
        <v>345</v>
      </c>
      <c r="AE13" s="246" t="s">
        <v>378</v>
      </c>
      <c r="AF13" s="104"/>
      <c r="AG13" s="104"/>
      <c r="AH13" s="104"/>
      <c r="AI13" s="104"/>
      <c r="AJ13" s="104"/>
      <c r="AK13" s="104"/>
      <c r="AL13" s="104"/>
      <c r="AM13" s="104"/>
      <c r="AN13" s="104"/>
    </row>
    <row r="14" spans="1:40" ht="15" customHeight="1" x14ac:dyDescent="0.2">
      <c r="A14" s="252">
        <v>133687</v>
      </c>
      <c r="B14" s="112">
        <v>2017</v>
      </c>
      <c r="C14" s="252" t="s">
        <v>93</v>
      </c>
      <c r="D14" s="257">
        <v>15</v>
      </c>
      <c r="E14" s="514">
        <v>100</v>
      </c>
      <c r="F14" s="514">
        <v>3</v>
      </c>
      <c r="G14" s="514">
        <v>1</v>
      </c>
      <c r="H14" s="514">
        <v>2</v>
      </c>
      <c r="I14" s="514">
        <v>11</v>
      </c>
      <c r="J14" s="514">
        <v>12</v>
      </c>
      <c r="K14" s="514">
        <v>10</v>
      </c>
      <c r="L14" s="514">
        <v>14</v>
      </c>
      <c r="M14" s="514">
        <v>13</v>
      </c>
      <c r="N14" s="514">
        <v>14</v>
      </c>
      <c r="O14" s="514">
        <v>20</v>
      </c>
      <c r="P14" s="516"/>
      <c r="Q14" s="516"/>
      <c r="R14" s="256">
        <f t="shared" ref="R14:R18" si="10">SUM(F14:Q14)</f>
        <v>100</v>
      </c>
      <c r="S14" s="512">
        <f t="shared" si="7"/>
        <v>10</v>
      </c>
      <c r="T14" s="513">
        <f t="shared" si="8"/>
        <v>0</v>
      </c>
      <c r="U14" s="461">
        <f t="shared" si="9"/>
        <v>0</v>
      </c>
      <c r="V14" s="112">
        <v>2017</v>
      </c>
      <c r="W14" s="252" t="s">
        <v>93</v>
      </c>
      <c r="X14" s="105"/>
      <c r="Y14" s="105"/>
      <c r="Z14" s="105"/>
      <c r="AA14" s="244">
        <v>44538</v>
      </c>
      <c r="AB14" s="245">
        <v>2020</v>
      </c>
      <c r="AC14" s="246" t="s">
        <v>118</v>
      </c>
      <c r="AD14" s="247">
        <v>403</v>
      </c>
      <c r="AE14" s="246" t="s">
        <v>378</v>
      </c>
      <c r="AF14" s="104"/>
      <c r="AG14" s="104"/>
      <c r="AH14" s="104"/>
      <c r="AI14" s="104"/>
      <c r="AJ14" s="104"/>
      <c r="AK14" s="104"/>
      <c r="AL14" s="104"/>
      <c r="AM14" s="104"/>
      <c r="AN14" s="104"/>
    </row>
    <row r="15" spans="1:40" ht="15" customHeight="1" x14ac:dyDescent="0.2">
      <c r="A15" s="252">
        <v>27736</v>
      </c>
      <c r="B15" s="112">
        <v>2017</v>
      </c>
      <c r="C15" s="252" t="s">
        <v>70</v>
      </c>
      <c r="D15" s="257"/>
      <c r="E15" s="514">
        <v>61</v>
      </c>
      <c r="F15" s="514">
        <v>11</v>
      </c>
      <c r="G15" s="514">
        <v>12</v>
      </c>
      <c r="H15" s="514">
        <v>11</v>
      </c>
      <c r="I15" s="514">
        <v>13</v>
      </c>
      <c r="J15" s="514">
        <v>14</v>
      </c>
      <c r="K15" s="516"/>
      <c r="L15" s="516"/>
      <c r="M15" s="516"/>
      <c r="N15" s="516"/>
      <c r="O15" s="516"/>
      <c r="P15" s="516"/>
      <c r="Q15" s="516"/>
      <c r="R15" s="256">
        <f t="shared" si="10"/>
        <v>61</v>
      </c>
      <c r="S15" s="512">
        <f t="shared" si="7"/>
        <v>12.2</v>
      </c>
      <c r="T15" s="513">
        <f t="shared" si="8"/>
        <v>0</v>
      </c>
      <c r="U15" s="461">
        <f t="shared" si="9"/>
        <v>0</v>
      </c>
      <c r="V15" s="112">
        <v>2017</v>
      </c>
      <c r="W15" s="252" t="s">
        <v>70</v>
      </c>
      <c r="X15" s="105"/>
      <c r="Y15" s="105"/>
      <c r="Z15" s="105"/>
      <c r="AA15" s="244">
        <v>44538</v>
      </c>
      <c r="AB15" s="245">
        <v>2020</v>
      </c>
      <c r="AC15" s="246" t="s">
        <v>474</v>
      </c>
      <c r="AD15" s="247">
        <v>599</v>
      </c>
      <c r="AE15" s="246" t="s">
        <v>378</v>
      </c>
      <c r="AF15" s="104"/>
      <c r="AG15" s="104"/>
      <c r="AH15" s="104"/>
      <c r="AI15" s="104"/>
      <c r="AJ15" s="104"/>
      <c r="AK15" s="104"/>
      <c r="AL15" s="104"/>
      <c r="AM15" s="104"/>
      <c r="AN15" s="104"/>
    </row>
    <row r="16" spans="1:40" ht="15" customHeight="1" x14ac:dyDescent="0.2">
      <c r="A16" s="252">
        <v>135371</v>
      </c>
      <c r="B16" s="112">
        <v>2017</v>
      </c>
      <c r="C16" s="252" t="s">
        <v>307</v>
      </c>
      <c r="D16" s="257"/>
      <c r="E16" s="514">
        <v>114</v>
      </c>
      <c r="F16" s="514">
        <v>8</v>
      </c>
      <c r="G16" s="514">
        <v>13</v>
      </c>
      <c r="H16" s="514">
        <v>19</v>
      </c>
      <c r="I16" s="514">
        <v>21</v>
      </c>
      <c r="J16" s="514">
        <v>20</v>
      </c>
      <c r="K16" s="514">
        <v>28</v>
      </c>
      <c r="L16" s="514">
        <v>5</v>
      </c>
      <c r="M16" s="516"/>
      <c r="N16" s="516"/>
      <c r="O16" s="516"/>
      <c r="P16" s="516"/>
      <c r="Q16" s="516"/>
      <c r="R16" s="256">
        <f t="shared" si="10"/>
        <v>114</v>
      </c>
      <c r="S16" s="512">
        <f t="shared" si="7"/>
        <v>16.285714285714285</v>
      </c>
      <c r="T16" s="513">
        <f t="shared" si="8"/>
        <v>0</v>
      </c>
      <c r="U16" s="461">
        <f t="shared" si="9"/>
        <v>0</v>
      </c>
      <c r="V16" s="112">
        <v>2017</v>
      </c>
      <c r="W16" s="252" t="s">
        <v>307</v>
      </c>
      <c r="X16" s="105"/>
      <c r="Y16" s="105"/>
      <c r="Z16" s="105"/>
      <c r="AA16" s="244">
        <v>44538</v>
      </c>
      <c r="AB16" s="245">
        <v>2020</v>
      </c>
      <c r="AC16" s="246" t="s">
        <v>22</v>
      </c>
      <c r="AD16" s="247">
        <v>666</v>
      </c>
      <c r="AE16" s="246" t="s">
        <v>378</v>
      </c>
      <c r="AF16" s="104"/>
      <c r="AG16" s="104"/>
      <c r="AH16" s="104"/>
      <c r="AI16" s="104"/>
      <c r="AJ16" s="104"/>
      <c r="AK16" s="104"/>
      <c r="AL16" s="104"/>
      <c r="AM16" s="104"/>
      <c r="AN16" s="104"/>
    </row>
    <row r="17" spans="1:40" ht="15" customHeight="1" x14ac:dyDescent="0.2">
      <c r="A17" s="252">
        <v>22921</v>
      </c>
      <c r="B17" s="112">
        <v>2017</v>
      </c>
      <c r="C17" s="252" t="s">
        <v>278</v>
      </c>
      <c r="D17" s="261"/>
      <c r="E17" s="514">
        <v>193</v>
      </c>
      <c r="F17" s="514">
        <v>47</v>
      </c>
      <c r="G17" s="514">
        <v>71</v>
      </c>
      <c r="H17" s="514">
        <v>53</v>
      </c>
      <c r="I17" s="514">
        <v>22</v>
      </c>
      <c r="J17" s="516"/>
      <c r="K17" s="516"/>
      <c r="L17" s="516"/>
      <c r="M17" s="516"/>
      <c r="N17" s="516"/>
      <c r="O17" s="516"/>
      <c r="P17" s="516"/>
      <c r="Q17" s="516"/>
      <c r="R17" s="256">
        <f t="shared" si="10"/>
        <v>193</v>
      </c>
      <c r="S17" s="512">
        <f t="shared" si="7"/>
        <v>48.25</v>
      </c>
      <c r="T17" s="513">
        <f t="shared" si="8"/>
        <v>0</v>
      </c>
      <c r="U17" s="461">
        <f t="shared" si="9"/>
        <v>0</v>
      </c>
      <c r="V17" s="112">
        <v>2017</v>
      </c>
      <c r="W17" s="252" t="s">
        <v>278</v>
      </c>
      <c r="X17" s="105"/>
      <c r="Y17" s="105"/>
      <c r="Z17" s="105"/>
      <c r="AA17" s="244"/>
      <c r="AB17" s="245"/>
      <c r="AC17" s="246"/>
      <c r="AD17" s="247"/>
      <c r="AE17" s="246"/>
      <c r="AF17" s="104"/>
      <c r="AG17" s="104"/>
      <c r="AH17" s="104"/>
      <c r="AI17" s="104"/>
      <c r="AJ17" s="104"/>
      <c r="AK17" s="104"/>
      <c r="AL17" s="104"/>
      <c r="AM17" s="104"/>
      <c r="AN17" s="104"/>
    </row>
    <row r="18" spans="1:40" ht="15" customHeight="1" x14ac:dyDescent="0.2">
      <c r="A18" s="252">
        <v>135370</v>
      </c>
      <c r="B18" s="112">
        <v>2017</v>
      </c>
      <c r="C18" s="252" t="s">
        <v>217</v>
      </c>
      <c r="D18" s="261"/>
      <c r="E18" s="514">
        <v>156</v>
      </c>
      <c r="F18" s="517" t="s">
        <v>35</v>
      </c>
      <c r="G18" s="517" t="s">
        <v>35</v>
      </c>
      <c r="H18" s="517" t="s">
        <v>35</v>
      </c>
      <c r="I18" s="517" t="s">
        <v>35</v>
      </c>
      <c r="J18" s="515">
        <v>6</v>
      </c>
      <c r="K18" s="515">
        <v>12</v>
      </c>
      <c r="L18" s="515">
        <v>12</v>
      </c>
      <c r="M18" s="515">
        <v>9</v>
      </c>
      <c r="N18" s="515">
        <v>11</v>
      </c>
      <c r="O18" s="515">
        <v>8</v>
      </c>
      <c r="P18" s="515">
        <v>19</v>
      </c>
      <c r="Q18" s="515">
        <v>15</v>
      </c>
      <c r="R18" s="256">
        <f t="shared" si="10"/>
        <v>92</v>
      </c>
      <c r="S18" s="512">
        <f t="shared" si="7"/>
        <v>11.5</v>
      </c>
      <c r="T18" s="513">
        <f t="shared" si="8"/>
        <v>5.5652173913043477</v>
      </c>
      <c r="U18" s="461">
        <f t="shared" si="9"/>
        <v>64</v>
      </c>
      <c r="V18" s="112">
        <v>2017</v>
      </c>
      <c r="W18" s="252" t="s">
        <v>217</v>
      </c>
      <c r="X18" s="105"/>
      <c r="Y18" s="105"/>
      <c r="Z18" s="105"/>
      <c r="AA18" s="244"/>
      <c r="AB18" s="245"/>
      <c r="AC18" s="246"/>
      <c r="AD18" s="247"/>
      <c r="AE18" s="246"/>
      <c r="AF18" s="104"/>
      <c r="AG18" s="104"/>
      <c r="AH18" s="104"/>
      <c r="AI18" s="104"/>
      <c r="AJ18" s="104"/>
      <c r="AK18" s="104"/>
      <c r="AL18" s="104"/>
      <c r="AM18" s="104"/>
      <c r="AN18" s="104"/>
    </row>
    <row r="19" spans="1:40" ht="15" customHeight="1" x14ac:dyDescent="0.2">
      <c r="A19" s="252">
        <v>137517</v>
      </c>
      <c r="B19" s="112">
        <v>2017</v>
      </c>
      <c r="C19" s="252" t="s">
        <v>311</v>
      </c>
      <c r="D19" s="261">
        <v>4</v>
      </c>
      <c r="E19" s="514">
        <v>100</v>
      </c>
      <c r="F19" s="514">
        <v>3</v>
      </c>
      <c r="G19" s="514">
        <v>1</v>
      </c>
      <c r="H19" s="514">
        <v>6</v>
      </c>
      <c r="I19" s="514">
        <v>6</v>
      </c>
      <c r="J19" s="514">
        <v>4</v>
      </c>
      <c r="K19" s="514">
        <v>6</v>
      </c>
      <c r="L19" s="514">
        <v>6</v>
      </c>
      <c r="M19" s="514">
        <v>5</v>
      </c>
      <c r="N19" s="514">
        <v>9</v>
      </c>
      <c r="O19" s="514">
        <v>4</v>
      </c>
      <c r="P19" s="514">
        <v>6</v>
      </c>
      <c r="Q19" s="514">
        <v>3</v>
      </c>
      <c r="R19" s="256">
        <f t="shared" ref="R19:R29" si="11">SUM(F19:Q19)</f>
        <v>59</v>
      </c>
      <c r="S19" s="512">
        <f t="shared" si="7"/>
        <v>4.916666666666667</v>
      </c>
      <c r="T19" s="513">
        <f t="shared" si="8"/>
        <v>8.3389830508474567</v>
      </c>
      <c r="U19" s="461">
        <f t="shared" si="9"/>
        <v>41</v>
      </c>
      <c r="V19" s="112">
        <v>2017</v>
      </c>
      <c r="W19" s="252" t="s">
        <v>311</v>
      </c>
      <c r="X19" s="105"/>
      <c r="Y19" s="105"/>
      <c r="Z19" s="105"/>
      <c r="AA19" s="105"/>
      <c r="AB19" s="104"/>
      <c r="AC19" s="104"/>
      <c r="AD19" s="104"/>
      <c r="AE19" s="104"/>
      <c r="AF19" s="104"/>
      <c r="AG19" s="104"/>
      <c r="AH19" s="104"/>
      <c r="AI19" s="104"/>
      <c r="AJ19" s="104"/>
      <c r="AK19" s="104"/>
      <c r="AL19" s="104"/>
      <c r="AM19" s="104"/>
      <c r="AN19" s="104"/>
    </row>
    <row r="20" spans="1:40" ht="15" customHeight="1" x14ac:dyDescent="0.25">
      <c r="A20" s="252">
        <v>116508</v>
      </c>
      <c r="B20" s="112" t="s">
        <v>273</v>
      </c>
      <c r="C20" s="252" t="s">
        <v>274</v>
      </c>
      <c r="D20" s="262">
        <v>21</v>
      </c>
      <c r="E20" s="514">
        <v>96</v>
      </c>
      <c r="F20" s="514">
        <v>7</v>
      </c>
      <c r="G20" s="514">
        <v>4</v>
      </c>
      <c r="H20" s="514">
        <v>7</v>
      </c>
      <c r="I20" s="514">
        <v>11</v>
      </c>
      <c r="J20" s="514">
        <v>10</v>
      </c>
      <c r="K20" s="514">
        <v>10</v>
      </c>
      <c r="L20" s="514">
        <v>9</v>
      </c>
      <c r="M20" s="514">
        <v>5</v>
      </c>
      <c r="N20" s="514">
        <v>10</v>
      </c>
      <c r="O20" s="514">
        <v>15</v>
      </c>
      <c r="P20" s="514">
        <v>8</v>
      </c>
      <c r="Q20" s="516"/>
      <c r="R20" s="256">
        <f t="shared" si="11"/>
        <v>96</v>
      </c>
      <c r="S20" s="512">
        <f t="shared" si="7"/>
        <v>8.7272727272727266</v>
      </c>
      <c r="T20" s="513">
        <f t="shared" si="8"/>
        <v>0</v>
      </c>
      <c r="U20" s="461">
        <f t="shared" si="9"/>
        <v>0</v>
      </c>
      <c r="V20" s="112" t="s">
        <v>273</v>
      </c>
      <c r="W20" s="252" t="s">
        <v>274</v>
      </c>
      <c r="X20" s="105"/>
      <c r="Y20" s="105"/>
      <c r="Z20" s="105"/>
      <c r="AA20" s="580" t="s">
        <v>394</v>
      </c>
      <c r="AB20" s="580"/>
      <c r="AC20" s="580"/>
      <c r="AD20" s="580"/>
      <c r="AE20" s="580"/>
      <c r="AF20" s="104"/>
      <c r="AG20" s="104"/>
      <c r="AH20" s="104"/>
      <c r="AI20" s="104"/>
      <c r="AJ20" s="104"/>
      <c r="AK20" s="104"/>
      <c r="AL20" s="104"/>
      <c r="AM20" s="104"/>
      <c r="AN20" s="104"/>
    </row>
    <row r="21" spans="1:40" x14ac:dyDescent="0.2">
      <c r="A21" s="249"/>
      <c r="B21" s="165"/>
      <c r="C21" s="249"/>
      <c r="D21" s="264"/>
      <c r="E21" s="509" t="e">
        <v>#VALUE!</v>
      </c>
      <c r="F21" s="509"/>
      <c r="G21" s="509"/>
      <c r="H21" s="509"/>
      <c r="I21" s="509"/>
      <c r="J21" s="509"/>
      <c r="K21" s="509"/>
      <c r="L21" s="509"/>
      <c r="M21" s="509"/>
      <c r="N21" s="509"/>
      <c r="O21" s="509"/>
      <c r="P21" s="509"/>
      <c r="Q21" s="509"/>
      <c r="R21" s="251" t="s">
        <v>35</v>
      </c>
      <c r="S21" s="510">
        <f t="shared" si="7"/>
        <v>0</v>
      </c>
      <c r="T21" s="511">
        <f t="shared" si="8"/>
        <v>0</v>
      </c>
      <c r="U21" s="462" t="e">
        <f t="shared" si="9"/>
        <v>#VALUE!</v>
      </c>
      <c r="V21" s="165"/>
      <c r="W21" s="249"/>
      <c r="X21" s="105"/>
      <c r="Y21" s="105"/>
      <c r="Z21" s="105"/>
      <c r="AA21" s="265" t="s">
        <v>395</v>
      </c>
      <c r="AB21" s="266" t="s">
        <v>396</v>
      </c>
      <c r="AC21" s="267" t="s">
        <v>397</v>
      </c>
      <c r="AD21" s="267" t="s">
        <v>398</v>
      </c>
      <c r="AE21" s="267" t="s">
        <v>399</v>
      </c>
      <c r="AF21" s="104"/>
      <c r="AG21" s="104"/>
      <c r="AH21" s="104"/>
      <c r="AI21" s="104"/>
      <c r="AJ21" s="104"/>
      <c r="AK21" s="104"/>
      <c r="AL21" s="104"/>
      <c r="AM21" s="104"/>
      <c r="AN21" s="104"/>
    </row>
    <row r="22" spans="1:40" ht="15" customHeight="1" x14ac:dyDescent="0.2">
      <c r="A22" s="252">
        <v>11198</v>
      </c>
      <c r="B22" s="112">
        <v>2018</v>
      </c>
      <c r="C22" s="252" t="s">
        <v>46</v>
      </c>
      <c r="D22" s="262">
        <v>28</v>
      </c>
      <c r="E22" s="514">
        <v>66</v>
      </c>
      <c r="F22" s="514">
        <v>17</v>
      </c>
      <c r="G22" s="514">
        <v>49</v>
      </c>
      <c r="H22" s="518"/>
      <c r="I22" s="518"/>
      <c r="J22" s="518"/>
      <c r="K22" s="518"/>
      <c r="L22" s="518"/>
      <c r="M22" s="518"/>
      <c r="N22" s="518"/>
      <c r="O22" s="518"/>
      <c r="P22" s="518"/>
      <c r="Q22" s="518"/>
      <c r="R22" s="256">
        <f t="shared" si="11"/>
        <v>66</v>
      </c>
      <c r="S22" s="512">
        <f t="shared" si="7"/>
        <v>33</v>
      </c>
      <c r="T22" s="513">
        <f t="shared" si="8"/>
        <v>0</v>
      </c>
      <c r="U22" s="461">
        <f t="shared" si="9"/>
        <v>0</v>
      </c>
      <c r="V22" s="112">
        <v>2018</v>
      </c>
      <c r="W22" s="252" t="s">
        <v>46</v>
      </c>
      <c r="X22" s="105"/>
      <c r="Y22" s="105"/>
      <c r="Z22" s="105"/>
      <c r="AA22" s="265">
        <v>44204</v>
      </c>
      <c r="AB22" s="268" t="s">
        <v>377</v>
      </c>
      <c r="AC22" s="265" t="s">
        <v>475</v>
      </c>
      <c r="AD22" s="269">
        <v>10</v>
      </c>
      <c r="AE22" s="265" t="s">
        <v>378</v>
      </c>
      <c r="AF22" s="104"/>
      <c r="AG22" s="104"/>
      <c r="AH22" s="104"/>
      <c r="AI22" s="104"/>
      <c r="AJ22" s="104"/>
      <c r="AK22" s="104"/>
      <c r="AL22" s="104"/>
      <c r="AM22" s="104"/>
      <c r="AN22" s="104"/>
    </row>
    <row r="23" spans="1:40" ht="15" customHeight="1" x14ac:dyDescent="0.2">
      <c r="A23" s="252">
        <v>57632</v>
      </c>
      <c r="B23" s="112">
        <v>2018</v>
      </c>
      <c r="C23" s="252" t="s">
        <v>31</v>
      </c>
      <c r="D23" s="262">
        <v>35</v>
      </c>
      <c r="E23" s="514">
        <v>235</v>
      </c>
      <c r="F23" s="514">
        <v>14</v>
      </c>
      <c r="G23" s="514">
        <v>12</v>
      </c>
      <c r="H23" s="514">
        <v>18</v>
      </c>
      <c r="I23" s="514">
        <v>25</v>
      </c>
      <c r="J23" s="514">
        <v>25</v>
      </c>
      <c r="K23" s="514">
        <v>34</v>
      </c>
      <c r="L23" s="514">
        <v>24</v>
      </c>
      <c r="M23" s="514">
        <v>33</v>
      </c>
      <c r="N23" s="514">
        <v>24</v>
      </c>
      <c r="O23" s="514">
        <v>15</v>
      </c>
      <c r="P23" s="514">
        <v>11</v>
      </c>
      <c r="Q23" s="516"/>
      <c r="R23" s="256">
        <f t="shared" si="11"/>
        <v>235</v>
      </c>
      <c r="S23" s="512">
        <f t="shared" si="7"/>
        <v>21.363636363636363</v>
      </c>
      <c r="T23" s="513">
        <f t="shared" si="8"/>
        <v>0</v>
      </c>
      <c r="U23" s="461">
        <f t="shared" si="9"/>
        <v>0</v>
      </c>
      <c r="V23" s="112">
        <v>2018</v>
      </c>
      <c r="W23" s="252" t="s">
        <v>31</v>
      </c>
      <c r="X23" s="105"/>
      <c r="Y23" s="105"/>
      <c r="Z23" s="105"/>
      <c r="AA23" s="265">
        <v>44204</v>
      </c>
      <c r="AB23" s="268" t="s">
        <v>402</v>
      </c>
      <c r="AC23" s="265" t="s">
        <v>414</v>
      </c>
      <c r="AD23" s="269">
        <v>56</v>
      </c>
      <c r="AE23" s="265" t="s">
        <v>378</v>
      </c>
      <c r="AF23" s="104"/>
      <c r="AG23" s="104"/>
      <c r="AH23" s="104"/>
      <c r="AI23" s="104"/>
      <c r="AJ23" s="104"/>
      <c r="AK23" s="104"/>
      <c r="AL23" s="104"/>
      <c r="AM23" s="104"/>
      <c r="AN23" s="104"/>
    </row>
    <row r="24" spans="1:40" ht="15" customHeight="1" x14ac:dyDescent="0.2">
      <c r="A24" s="252">
        <v>57630</v>
      </c>
      <c r="B24" s="112">
        <v>2018</v>
      </c>
      <c r="C24" s="252" t="s">
        <v>25</v>
      </c>
      <c r="D24" s="262">
        <v>32</v>
      </c>
      <c r="E24" s="514">
        <v>360</v>
      </c>
      <c r="F24" s="517" t="s">
        <v>35</v>
      </c>
      <c r="G24" s="517" t="s">
        <v>35</v>
      </c>
      <c r="H24" s="517" t="s">
        <v>35</v>
      </c>
      <c r="I24" s="517" t="s">
        <v>35</v>
      </c>
      <c r="J24" s="517" t="s">
        <v>35</v>
      </c>
      <c r="K24" s="517" t="s">
        <v>35</v>
      </c>
      <c r="L24" s="517" t="s">
        <v>35</v>
      </c>
      <c r="M24" s="517" t="s">
        <v>35</v>
      </c>
      <c r="N24" s="517" t="s">
        <v>35</v>
      </c>
      <c r="O24" s="517"/>
      <c r="P24" s="517"/>
      <c r="Q24" s="517"/>
      <c r="R24" s="256">
        <f t="shared" si="11"/>
        <v>0</v>
      </c>
      <c r="S24" s="512">
        <f t="shared" si="7"/>
        <v>0</v>
      </c>
      <c r="T24" s="513">
        <f t="shared" si="8"/>
        <v>0</v>
      </c>
      <c r="U24" s="461">
        <f t="shared" si="9"/>
        <v>360</v>
      </c>
      <c r="V24" s="112">
        <v>2018</v>
      </c>
      <c r="W24" s="252" t="s">
        <v>25</v>
      </c>
      <c r="X24" s="105"/>
      <c r="Y24" s="105"/>
      <c r="Z24" s="105"/>
      <c r="AA24" s="265">
        <v>44217</v>
      </c>
      <c r="AB24" s="268" t="s">
        <v>415</v>
      </c>
      <c r="AC24" s="265" t="s">
        <v>425</v>
      </c>
      <c r="AD24" s="269">
        <v>330</v>
      </c>
      <c r="AE24" s="265" t="s">
        <v>104</v>
      </c>
      <c r="AF24" s="104"/>
      <c r="AG24" s="104"/>
      <c r="AH24" s="104"/>
      <c r="AI24" s="104"/>
      <c r="AJ24" s="104"/>
      <c r="AK24" s="104"/>
      <c r="AL24" s="104"/>
      <c r="AM24" s="104"/>
      <c r="AN24" s="104"/>
    </row>
    <row r="25" spans="1:40" ht="15" customHeight="1" x14ac:dyDescent="0.2">
      <c r="A25" s="252">
        <v>133688</v>
      </c>
      <c r="B25" s="112">
        <v>2018</v>
      </c>
      <c r="C25" s="252" t="s">
        <v>23</v>
      </c>
      <c r="D25" s="262">
        <v>39</v>
      </c>
      <c r="E25" s="514">
        <v>536</v>
      </c>
      <c r="F25" s="514">
        <v>13</v>
      </c>
      <c r="G25" s="514">
        <v>22</v>
      </c>
      <c r="H25" s="514">
        <v>13</v>
      </c>
      <c r="I25" s="514">
        <v>25</v>
      </c>
      <c r="J25" s="514">
        <v>30</v>
      </c>
      <c r="K25" s="514">
        <v>16</v>
      </c>
      <c r="L25" s="514">
        <v>22</v>
      </c>
      <c r="M25" s="514">
        <v>29</v>
      </c>
      <c r="N25" s="514">
        <v>26</v>
      </c>
      <c r="O25" s="514">
        <v>22</v>
      </c>
      <c r="P25" s="514">
        <v>77</v>
      </c>
      <c r="Q25" s="514">
        <v>41</v>
      </c>
      <c r="R25" s="256">
        <f t="shared" si="11"/>
        <v>336</v>
      </c>
      <c r="S25" s="512">
        <f t="shared" si="7"/>
        <v>28</v>
      </c>
      <c r="T25" s="513">
        <f t="shared" si="8"/>
        <v>7.1428571428571432</v>
      </c>
      <c r="U25" s="461">
        <f t="shared" si="9"/>
        <v>200</v>
      </c>
      <c r="V25" s="112">
        <v>2018</v>
      </c>
      <c r="W25" s="252" t="s">
        <v>23</v>
      </c>
      <c r="X25" s="105"/>
      <c r="Y25" s="105"/>
      <c r="Z25" s="105"/>
      <c r="AA25" s="265">
        <v>44217</v>
      </c>
      <c r="AB25" s="268" t="s">
        <v>415</v>
      </c>
      <c r="AC25" s="265" t="s">
        <v>476</v>
      </c>
      <c r="AD25" s="269">
        <v>330</v>
      </c>
      <c r="AE25" s="265" t="s">
        <v>104</v>
      </c>
      <c r="AF25" s="104"/>
      <c r="AG25" s="104"/>
      <c r="AH25" s="104"/>
      <c r="AI25" s="104"/>
      <c r="AJ25" s="104"/>
      <c r="AK25" s="104"/>
      <c r="AL25" s="104"/>
      <c r="AM25" s="104"/>
      <c r="AN25" s="104"/>
    </row>
    <row r="26" spans="1:40" ht="15" customHeight="1" x14ac:dyDescent="0.2">
      <c r="A26" s="252">
        <v>27736</v>
      </c>
      <c r="B26" s="112">
        <v>2018</v>
      </c>
      <c r="C26" s="252" t="s">
        <v>70</v>
      </c>
      <c r="D26" s="262">
        <v>29</v>
      </c>
      <c r="E26" s="514">
        <v>448</v>
      </c>
      <c r="F26" s="517" t="s">
        <v>35</v>
      </c>
      <c r="G26" s="517" t="s">
        <v>35</v>
      </c>
      <c r="H26" s="517" t="s">
        <v>35</v>
      </c>
      <c r="I26" s="517" t="s">
        <v>35</v>
      </c>
      <c r="J26" s="515">
        <v>1</v>
      </c>
      <c r="K26" s="515">
        <v>10</v>
      </c>
      <c r="L26" s="515">
        <v>25</v>
      </c>
      <c r="M26" s="515">
        <v>50</v>
      </c>
      <c r="N26" s="515">
        <v>22</v>
      </c>
      <c r="O26" s="515">
        <v>21</v>
      </c>
      <c r="P26" s="515">
        <v>0</v>
      </c>
      <c r="Q26" s="515">
        <v>0</v>
      </c>
      <c r="R26" s="256">
        <f t="shared" si="11"/>
        <v>129</v>
      </c>
      <c r="S26" s="512">
        <f t="shared" si="7"/>
        <v>16.125</v>
      </c>
      <c r="T26" s="513">
        <f t="shared" si="8"/>
        <v>19.782945736434108</v>
      </c>
      <c r="U26" s="461">
        <f t="shared" si="9"/>
        <v>319</v>
      </c>
      <c r="V26" s="112">
        <v>2018</v>
      </c>
      <c r="W26" s="252" t="s">
        <v>70</v>
      </c>
      <c r="X26" s="105"/>
      <c r="Y26" s="105"/>
      <c r="Z26" s="105"/>
      <c r="AA26" s="265"/>
      <c r="AB26" s="268"/>
      <c r="AC26" s="265"/>
      <c r="AD26" s="269"/>
      <c r="AE26" s="265"/>
      <c r="AF26" s="104"/>
      <c r="AG26" s="104"/>
      <c r="AH26" s="104"/>
      <c r="AI26" s="104"/>
      <c r="AJ26" s="104"/>
      <c r="AK26" s="104"/>
      <c r="AL26" s="104"/>
      <c r="AM26" s="104"/>
      <c r="AN26" s="104"/>
    </row>
    <row r="27" spans="1:40" ht="15" customHeight="1" x14ac:dyDescent="0.2">
      <c r="A27" s="252">
        <v>135371</v>
      </c>
      <c r="B27" s="112">
        <v>2018</v>
      </c>
      <c r="C27" s="252" t="s">
        <v>307</v>
      </c>
      <c r="D27" s="262"/>
      <c r="E27" s="514">
        <v>330</v>
      </c>
      <c r="F27" s="517" t="s">
        <v>35</v>
      </c>
      <c r="G27" s="517" t="s">
        <v>35</v>
      </c>
      <c r="H27" s="517" t="s">
        <v>35</v>
      </c>
      <c r="I27" s="517" t="s">
        <v>35</v>
      </c>
      <c r="J27" s="517" t="s">
        <v>35</v>
      </c>
      <c r="K27" s="517" t="s">
        <v>35</v>
      </c>
      <c r="L27" s="517">
        <v>10</v>
      </c>
      <c r="M27" s="515">
        <v>10</v>
      </c>
      <c r="N27" s="515">
        <v>11</v>
      </c>
      <c r="O27" s="515">
        <v>22</v>
      </c>
      <c r="P27" s="515">
        <v>29</v>
      </c>
      <c r="Q27" s="515">
        <v>20</v>
      </c>
      <c r="R27" s="256">
        <f t="shared" si="11"/>
        <v>102</v>
      </c>
      <c r="S27" s="512">
        <f t="shared" si="7"/>
        <v>17</v>
      </c>
      <c r="T27" s="513">
        <f t="shared" si="8"/>
        <v>13.411764705882353</v>
      </c>
      <c r="U27" s="461">
        <f t="shared" si="9"/>
        <v>228</v>
      </c>
      <c r="V27" s="112">
        <v>2018</v>
      </c>
      <c r="W27" s="252" t="s">
        <v>307</v>
      </c>
      <c r="X27" s="105"/>
      <c r="Y27" s="105"/>
      <c r="Z27" s="105"/>
      <c r="AA27" s="265">
        <v>44307</v>
      </c>
      <c r="AB27" s="268" t="s">
        <v>415</v>
      </c>
      <c r="AC27" s="265" t="s">
        <v>477</v>
      </c>
      <c r="AD27" s="269">
        <v>141</v>
      </c>
      <c r="AE27" s="265" t="s">
        <v>102</v>
      </c>
      <c r="AF27" s="104"/>
      <c r="AG27" s="104"/>
      <c r="AH27" s="104"/>
      <c r="AI27" s="104"/>
      <c r="AJ27" s="104"/>
      <c r="AK27" s="104"/>
      <c r="AL27" s="104"/>
      <c r="AM27" s="104"/>
      <c r="AN27" s="104"/>
    </row>
    <row r="28" spans="1:40" ht="15" customHeight="1" x14ac:dyDescent="0.2">
      <c r="A28" s="252">
        <v>22921</v>
      </c>
      <c r="B28" s="112">
        <v>2018</v>
      </c>
      <c r="C28" s="252" t="s">
        <v>278</v>
      </c>
      <c r="D28" s="262">
        <v>54</v>
      </c>
      <c r="E28" s="514">
        <v>986</v>
      </c>
      <c r="F28" s="517" t="s">
        <v>35</v>
      </c>
      <c r="G28" s="517" t="s">
        <v>35</v>
      </c>
      <c r="H28" s="517" t="s">
        <v>35</v>
      </c>
      <c r="I28" s="515">
        <v>25</v>
      </c>
      <c r="J28" s="515">
        <v>39</v>
      </c>
      <c r="K28" s="515">
        <v>62</v>
      </c>
      <c r="L28" s="515">
        <v>31</v>
      </c>
      <c r="M28" s="515">
        <v>42</v>
      </c>
      <c r="N28" s="515">
        <v>45</v>
      </c>
      <c r="O28" s="515">
        <v>42</v>
      </c>
      <c r="P28" s="515">
        <v>59</v>
      </c>
      <c r="Q28" s="515">
        <v>63</v>
      </c>
      <c r="R28" s="256">
        <f t="shared" si="11"/>
        <v>408</v>
      </c>
      <c r="S28" s="512">
        <f t="shared" si="7"/>
        <v>45.333333333333336</v>
      </c>
      <c r="T28" s="513">
        <f t="shared" si="8"/>
        <v>12.75</v>
      </c>
      <c r="U28" s="461">
        <f t="shared" si="9"/>
        <v>578</v>
      </c>
      <c r="V28" s="112">
        <v>2018</v>
      </c>
      <c r="W28" s="252" t="s">
        <v>278</v>
      </c>
      <c r="X28" s="105"/>
      <c r="Y28" s="105"/>
      <c r="Z28" s="105"/>
      <c r="AA28" s="265">
        <v>44307</v>
      </c>
      <c r="AB28" s="268" t="s">
        <v>415</v>
      </c>
      <c r="AC28" s="265" t="s">
        <v>478</v>
      </c>
      <c r="AD28" s="269">
        <v>138</v>
      </c>
      <c r="AE28" s="265" t="s">
        <v>102</v>
      </c>
      <c r="AF28" s="104"/>
      <c r="AG28" s="104"/>
      <c r="AH28" s="104"/>
      <c r="AI28" s="104"/>
      <c r="AJ28" s="104"/>
      <c r="AK28" s="104"/>
      <c r="AL28" s="104"/>
      <c r="AM28" s="104"/>
      <c r="AN28" s="104"/>
    </row>
    <row r="29" spans="1:40" ht="15" customHeight="1" x14ac:dyDescent="0.2">
      <c r="A29" s="252">
        <v>137519</v>
      </c>
      <c r="B29" s="112" t="s">
        <v>306</v>
      </c>
      <c r="C29" s="252" t="s">
        <v>94</v>
      </c>
      <c r="D29" s="262"/>
      <c r="E29" s="514">
        <v>819</v>
      </c>
      <c r="F29" s="514">
        <v>24</v>
      </c>
      <c r="G29" s="514">
        <v>16</v>
      </c>
      <c r="H29" s="514">
        <v>44</v>
      </c>
      <c r="I29" s="514">
        <v>18</v>
      </c>
      <c r="J29" s="514">
        <v>89</v>
      </c>
      <c r="K29" s="514">
        <v>25</v>
      </c>
      <c r="L29" s="514">
        <v>31</v>
      </c>
      <c r="M29" s="514">
        <v>24</v>
      </c>
      <c r="N29" s="514">
        <v>27</v>
      </c>
      <c r="O29" s="514">
        <v>51</v>
      </c>
      <c r="P29" s="514">
        <v>83</v>
      </c>
      <c r="Q29" s="514">
        <v>76</v>
      </c>
      <c r="R29" s="256">
        <f t="shared" si="11"/>
        <v>508</v>
      </c>
      <c r="S29" s="512">
        <f t="shared" si="7"/>
        <v>42.333333333333336</v>
      </c>
      <c r="T29" s="513">
        <f t="shared" si="8"/>
        <v>7.3464566929133852</v>
      </c>
      <c r="U29" s="461">
        <f t="shared" si="9"/>
        <v>311</v>
      </c>
      <c r="V29" s="112" t="s">
        <v>306</v>
      </c>
      <c r="W29" s="252" t="s">
        <v>94</v>
      </c>
      <c r="X29" s="105"/>
      <c r="Y29" s="105"/>
      <c r="Z29" s="105"/>
      <c r="AA29" s="265">
        <v>44307</v>
      </c>
      <c r="AB29" s="268" t="s">
        <v>415</v>
      </c>
      <c r="AC29" s="265" t="s">
        <v>479</v>
      </c>
      <c r="AD29" s="269">
        <v>99</v>
      </c>
      <c r="AE29" s="265" t="s">
        <v>102</v>
      </c>
      <c r="AF29" s="104"/>
      <c r="AG29" s="104"/>
      <c r="AH29" s="104"/>
      <c r="AI29" s="104"/>
      <c r="AJ29" s="104"/>
      <c r="AK29" s="104"/>
      <c r="AL29" s="104"/>
      <c r="AM29" s="104"/>
      <c r="AN29" s="104"/>
    </row>
    <row r="30" spans="1:40" ht="15" customHeight="1" x14ac:dyDescent="0.2">
      <c r="A30" s="252">
        <v>22384</v>
      </c>
      <c r="B30" s="112">
        <v>2018</v>
      </c>
      <c r="C30" s="252" t="s">
        <v>26</v>
      </c>
      <c r="D30" s="257"/>
      <c r="E30" s="514">
        <v>149</v>
      </c>
      <c r="F30" s="514">
        <v>13</v>
      </c>
      <c r="G30" s="514">
        <v>11</v>
      </c>
      <c r="H30" s="514">
        <v>7</v>
      </c>
      <c r="I30" s="514">
        <v>7</v>
      </c>
      <c r="J30" s="514">
        <v>12</v>
      </c>
      <c r="K30" s="514">
        <v>20</v>
      </c>
      <c r="L30" s="514">
        <v>12</v>
      </c>
      <c r="M30" s="514">
        <v>9</v>
      </c>
      <c r="N30" s="514">
        <v>10</v>
      </c>
      <c r="O30" s="514">
        <v>10</v>
      </c>
      <c r="P30" s="514">
        <v>22</v>
      </c>
      <c r="Q30" s="514">
        <v>16</v>
      </c>
      <c r="R30" s="256">
        <f t="shared" ref="R30:R31" si="12">SUM(F30:Q30)</f>
        <v>149</v>
      </c>
      <c r="S30" s="512">
        <f t="shared" si="7"/>
        <v>12.416666666666666</v>
      </c>
      <c r="T30" s="513">
        <f t="shared" si="8"/>
        <v>0</v>
      </c>
      <c r="U30" s="461">
        <f t="shared" si="9"/>
        <v>0</v>
      </c>
      <c r="V30" s="112">
        <v>2018</v>
      </c>
      <c r="W30" s="252" t="str">
        <f>+C30</f>
        <v>Merlot</v>
      </c>
      <c r="X30" s="105"/>
      <c r="Y30" s="105"/>
      <c r="Z30" s="105"/>
      <c r="AA30" s="265">
        <v>44350</v>
      </c>
      <c r="AB30" s="268" t="s">
        <v>377</v>
      </c>
      <c r="AC30" s="265" t="s">
        <v>480</v>
      </c>
      <c r="AD30" s="269">
        <v>10</v>
      </c>
      <c r="AE30" s="265" t="s">
        <v>102</v>
      </c>
      <c r="AF30" s="104"/>
      <c r="AG30" s="104"/>
      <c r="AH30" s="104"/>
      <c r="AI30" s="104"/>
      <c r="AJ30" s="104"/>
      <c r="AK30" s="104"/>
      <c r="AL30" s="104"/>
      <c r="AM30" s="104"/>
      <c r="AN30" s="104"/>
    </row>
    <row r="31" spans="1:40" ht="15" customHeight="1" x14ac:dyDescent="0.2">
      <c r="A31" s="252">
        <v>14826</v>
      </c>
      <c r="B31" s="116" t="s">
        <v>133</v>
      </c>
      <c r="C31" s="252" t="s">
        <v>417</v>
      </c>
      <c r="D31" s="270"/>
      <c r="E31" s="514">
        <v>0</v>
      </c>
      <c r="F31" s="514"/>
      <c r="G31" s="514"/>
      <c r="H31" s="514"/>
      <c r="I31" s="514"/>
      <c r="J31" s="514"/>
      <c r="K31" s="514"/>
      <c r="L31" s="514"/>
      <c r="M31" s="514"/>
      <c r="N31" s="514"/>
      <c r="O31" s="514"/>
      <c r="P31" s="514"/>
      <c r="Q31" s="514"/>
      <c r="R31" s="255">
        <f t="shared" si="12"/>
        <v>0</v>
      </c>
      <c r="S31" s="519">
        <f t="shared" si="7"/>
        <v>0</v>
      </c>
      <c r="T31" s="513">
        <f t="shared" si="8"/>
        <v>0</v>
      </c>
      <c r="U31" s="461">
        <f t="shared" si="9"/>
        <v>0</v>
      </c>
      <c r="V31" s="116" t="s">
        <v>133</v>
      </c>
      <c r="W31" s="252" t="s">
        <v>325</v>
      </c>
      <c r="X31" s="105"/>
      <c r="Y31" s="105"/>
      <c r="Z31" s="105"/>
      <c r="AA31" s="265">
        <v>44364</v>
      </c>
      <c r="AB31" s="268" t="s">
        <v>415</v>
      </c>
      <c r="AC31" s="265" t="s">
        <v>481</v>
      </c>
      <c r="AD31" s="269">
        <v>40</v>
      </c>
      <c r="AE31" s="265" t="s">
        <v>470</v>
      </c>
      <c r="AF31" s="104"/>
      <c r="AG31" s="104"/>
      <c r="AH31" s="104"/>
      <c r="AI31" s="104"/>
      <c r="AJ31" s="104"/>
      <c r="AK31" s="104"/>
      <c r="AL31" s="104"/>
      <c r="AM31" s="104"/>
      <c r="AN31" s="104"/>
    </row>
    <row r="32" spans="1:40" ht="15" customHeight="1" x14ac:dyDescent="0.2">
      <c r="A32" s="252"/>
      <c r="B32" s="112"/>
      <c r="C32" s="252"/>
      <c r="D32" s="270"/>
      <c r="E32" s="514"/>
      <c r="F32" s="514"/>
      <c r="G32" s="514"/>
      <c r="H32" s="514"/>
      <c r="I32" s="514"/>
      <c r="J32" s="514"/>
      <c r="K32" s="514"/>
      <c r="L32" s="514"/>
      <c r="M32" s="514"/>
      <c r="N32" s="514"/>
      <c r="O32" s="514"/>
      <c r="P32" s="514"/>
      <c r="Q32" s="514"/>
      <c r="R32" s="255"/>
      <c r="S32" s="519"/>
      <c r="T32" s="513"/>
      <c r="U32" s="461"/>
      <c r="V32" s="112"/>
      <c r="W32" s="252"/>
      <c r="X32" s="105"/>
      <c r="Y32" s="105"/>
      <c r="Z32" s="105"/>
      <c r="AA32" s="265">
        <v>44364</v>
      </c>
      <c r="AB32" s="268" t="s">
        <v>415</v>
      </c>
      <c r="AC32" s="265" t="s">
        <v>481</v>
      </c>
      <c r="AD32" s="269">
        <v>191</v>
      </c>
      <c r="AE32" s="265" t="s">
        <v>102</v>
      </c>
      <c r="AF32" s="104"/>
      <c r="AG32" s="104"/>
      <c r="AH32" s="104"/>
      <c r="AI32" s="104"/>
      <c r="AJ32" s="104"/>
      <c r="AK32" s="104"/>
      <c r="AL32" s="104"/>
      <c r="AM32" s="104"/>
      <c r="AN32" s="104"/>
    </row>
    <row r="33" spans="1:40" x14ac:dyDescent="0.2">
      <c r="A33" s="249"/>
      <c r="B33" s="165"/>
      <c r="C33" s="249"/>
      <c r="D33" s="271"/>
      <c r="E33" s="509"/>
      <c r="F33" s="509"/>
      <c r="G33" s="509"/>
      <c r="H33" s="509"/>
      <c r="I33" s="509"/>
      <c r="J33" s="509"/>
      <c r="K33" s="509"/>
      <c r="L33" s="509"/>
      <c r="M33" s="509"/>
      <c r="N33" s="509"/>
      <c r="O33" s="509"/>
      <c r="P33" s="509"/>
      <c r="Q33" s="509"/>
      <c r="R33" s="251"/>
      <c r="S33" s="510"/>
      <c r="T33" s="511"/>
      <c r="U33" s="462"/>
      <c r="V33" s="165"/>
      <c r="W33" s="249"/>
      <c r="X33" s="105"/>
      <c r="Y33" s="105"/>
      <c r="Z33" s="105"/>
      <c r="AA33" s="265">
        <v>44461</v>
      </c>
      <c r="AB33" s="268" t="s">
        <v>482</v>
      </c>
      <c r="AC33" s="265" t="s">
        <v>483</v>
      </c>
      <c r="AD33" s="269">
        <v>300</v>
      </c>
      <c r="AE33" s="265" t="s">
        <v>104</v>
      </c>
      <c r="AF33" s="104"/>
      <c r="AG33" s="104"/>
      <c r="AH33" s="104"/>
      <c r="AI33" s="104"/>
      <c r="AJ33" s="104"/>
      <c r="AK33" s="104"/>
      <c r="AL33" s="104"/>
      <c r="AM33" s="104"/>
      <c r="AN33" s="104"/>
    </row>
    <row r="34" spans="1:40" ht="15.75" customHeight="1" x14ac:dyDescent="0.2">
      <c r="A34" s="252">
        <v>152192</v>
      </c>
      <c r="B34" s="116" t="s">
        <v>133</v>
      </c>
      <c r="C34" s="252" t="s">
        <v>328</v>
      </c>
      <c r="D34" s="270" t="s">
        <v>35</v>
      </c>
      <c r="E34" s="514">
        <v>746</v>
      </c>
      <c r="F34" s="514">
        <v>70</v>
      </c>
      <c r="G34" s="514">
        <v>8</v>
      </c>
      <c r="H34" s="514">
        <v>42</v>
      </c>
      <c r="I34" s="514">
        <v>126</v>
      </c>
      <c r="J34" s="514">
        <v>34</v>
      </c>
      <c r="K34" s="514">
        <v>49</v>
      </c>
      <c r="L34" s="514">
        <v>42</v>
      </c>
      <c r="M34" s="514">
        <v>32</v>
      </c>
      <c r="N34" s="514">
        <v>27</v>
      </c>
      <c r="O34" s="514">
        <v>12</v>
      </c>
      <c r="P34" s="514">
        <v>90</v>
      </c>
      <c r="Q34" s="514">
        <v>12</v>
      </c>
      <c r="R34" s="256">
        <f t="shared" ref="R34:R45" si="13">SUM(F34:Q34)</f>
        <v>544</v>
      </c>
      <c r="S34" s="512">
        <f t="shared" ref="S34:S46" si="14">IFERROR((AVERAGE(F34:Q34)),0)</f>
        <v>45.333333333333336</v>
      </c>
      <c r="T34" s="513">
        <f t="shared" ref="T34:T46" si="15">IFERROR((U34/S34),0)</f>
        <v>4.4558823529411766</v>
      </c>
      <c r="U34" s="461">
        <f t="shared" ref="U34:U46" si="16">SUM(E34-R34)</f>
        <v>202</v>
      </c>
      <c r="V34" s="112">
        <v>2019</v>
      </c>
      <c r="W34" s="252" t="s">
        <v>328</v>
      </c>
      <c r="X34" s="105">
        <v>466</v>
      </c>
      <c r="Y34" s="105"/>
      <c r="Z34" s="105"/>
      <c r="AA34" s="265">
        <v>44461</v>
      </c>
      <c r="AB34" s="268" t="s">
        <v>482</v>
      </c>
      <c r="AC34" s="265" t="s">
        <v>484</v>
      </c>
      <c r="AD34" s="269">
        <v>180</v>
      </c>
      <c r="AE34" s="265" t="s">
        <v>104</v>
      </c>
      <c r="AF34" s="104"/>
      <c r="AG34" s="104"/>
      <c r="AH34" s="104"/>
      <c r="AI34" s="104"/>
      <c r="AJ34" s="104"/>
      <c r="AK34" s="104"/>
      <c r="AL34" s="104"/>
      <c r="AM34" s="104"/>
      <c r="AN34" s="104"/>
    </row>
    <row r="35" spans="1:40" ht="15.75" customHeight="1" x14ac:dyDescent="0.2">
      <c r="A35" s="252">
        <v>11198</v>
      </c>
      <c r="B35" s="112">
        <v>2019</v>
      </c>
      <c r="C35" s="252" t="s">
        <v>46</v>
      </c>
      <c r="D35" s="270">
        <v>26</v>
      </c>
      <c r="E35" s="514">
        <v>160</v>
      </c>
      <c r="F35" s="517">
        <v>2</v>
      </c>
      <c r="G35" s="517">
        <v>4</v>
      </c>
      <c r="H35" s="515">
        <v>24</v>
      </c>
      <c r="I35" s="515">
        <v>23</v>
      </c>
      <c r="J35" s="515">
        <v>35</v>
      </c>
      <c r="K35" s="515">
        <v>31</v>
      </c>
      <c r="L35" s="515">
        <v>33</v>
      </c>
      <c r="M35" s="515">
        <v>8</v>
      </c>
      <c r="N35" s="516"/>
      <c r="O35" s="516"/>
      <c r="P35" s="516"/>
      <c r="Q35" s="516"/>
      <c r="R35" s="256">
        <f t="shared" si="13"/>
        <v>160</v>
      </c>
      <c r="S35" s="512">
        <f t="shared" si="14"/>
        <v>20</v>
      </c>
      <c r="T35" s="513">
        <f t="shared" si="15"/>
        <v>0</v>
      </c>
      <c r="U35" s="461">
        <f t="shared" si="16"/>
        <v>0</v>
      </c>
      <c r="V35" s="112">
        <v>2019</v>
      </c>
      <c r="W35" s="252" t="s">
        <v>46</v>
      </c>
      <c r="X35" s="105">
        <v>396</v>
      </c>
      <c r="Y35" s="105" t="s">
        <v>485</v>
      </c>
      <c r="Z35" s="105">
        <v>300</v>
      </c>
      <c r="AA35" s="265">
        <v>44475</v>
      </c>
      <c r="AB35" s="268" t="s">
        <v>482</v>
      </c>
      <c r="AC35" s="265" t="s">
        <v>486</v>
      </c>
      <c r="AD35" s="269">
        <v>605</v>
      </c>
      <c r="AE35" s="265" t="s">
        <v>104</v>
      </c>
      <c r="AF35" s="104"/>
      <c r="AG35" s="104"/>
      <c r="AH35" s="104"/>
      <c r="AI35" s="104"/>
      <c r="AJ35" s="104"/>
      <c r="AK35" s="104"/>
      <c r="AL35" s="104"/>
      <c r="AM35" s="104"/>
      <c r="AN35" s="104"/>
    </row>
    <row r="36" spans="1:40" ht="15.75" customHeight="1" x14ac:dyDescent="0.2">
      <c r="A36" s="252">
        <v>151516</v>
      </c>
      <c r="B36" s="112">
        <v>2019</v>
      </c>
      <c r="C36" s="252" t="s">
        <v>330</v>
      </c>
      <c r="D36" s="190">
        <v>19</v>
      </c>
      <c r="E36" s="514">
        <v>342</v>
      </c>
      <c r="F36" s="514">
        <v>3</v>
      </c>
      <c r="G36" s="514">
        <v>0</v>
      </c>
      <c r="H36" s="514">
        <v>13</v>
      </c>
      <c r="I36" s="514">
        <v>14</v>
      </c>
      <c r="J36" s="514">
        <v>12</v>
      </c>
      <c r="K36" s="514">
        <v>10</v>
      </c>
      <c r="L36" s="514">
        <v>25</v>
      </c>
      <c r="M36" s="514">
        <v>43</v>
      </c>
      <c r="N36" s="514">
        <v>38</v>
      </c>
      <c r="O36" s="514">
        <v>14</v>
      </c>
      <c r="P36" s="514">
        <v>12</v>
      </c>
      <c r="Q36" s="514">
        <v>9</v>
      </c>
      <c r="R36" s="256">
        <f t="shared" si="13"/>
        <v>193</v>
      </c>
      <c r="S36" s="512">
        <f t="shared" si="14"/>
        <v>16.083333333333332</v>
      </c>
      <c r="T36" s="513">
        <f t="shared" si="15"/>
        <v>9.2642487046632134</v>
      </c>
      <c r="U36" s="461">
        <f t="shared" si="16"/>
        <v>149</v>
      </c>
      <c r="V36" s="112">
        <v>2019</v>
      </c>
      <c r="W36" s="252" t="s">
        <v>330</v>
      </c>
      <c r="X36" s="105">
        <v>300</v>
      </c>
      <c r="Y36" s="105"/>
      <c r="Z36" s="105">
        <v>0</v>
      </c>
      <c r="AA36" s="265">
        <v>44481</v>
      </c>
      <c r="AB36" s="268" t="s">
        <v>482</v>
      </c>
      <c r="AC36" s="265" t="s">
        <v>487</v>
      </c>
      <c r="AD36" s="269">
        <v>330</v>
      </c>
      <c r="AE36" s="265" t="s">
        <v>104</v>
      </c>
      <c r="AF36" s="104"/>
      <c r="AG36" s="104"/>
      <c r="AH36" s="104"/>
      <c r="AI36" s="104"/>
      <c r="AJ36" s="104"/>
      <c r="AK36" s="104"/>
      <c r="AL36" s="104"/>
      <c r="AM36" s="104"/>
      <c r="AN36" s="104"/>
    </row>
    <row r="37" spans="1:40" ht="15.75" customHeight="1" x14ac:dyDescent="0.2">
      <c r="A37" s="252">
        <v>57632</v>
      </c>
      <c r="B37" s="112">
        <v>2019</v>
      </c>
      <c r="C37" s="252" t="s">
        <v>31</v>
      </c>
      <c r="D37" s="191">
        <v>36</v>
      </c>
      <c r="E37" s="514">
        <v>484</v>
      </c>
      <c r="F37" s="517">
        <v>4</v>
      </c>
      <c r="G37" s="517">
        <v>0</v>
      </c>
      <c r="H37" s="517">
        <v>0</v>
      </c>
      <c r="I37" s="517">
        <v>4</v>
      </c>
      <c r="J37" s="517">
        <v>0</v>
      </c>
      <c r="K37" s="517">
        <v>1</v>
      </c>
      <c r="L37" s="517">
        <v>0</v>
      </c>
      <c r="M37" s="517">
        <v>0</v>
      </c>
      <c r="N37" s="517">
        <v>0</v>
      </c>
      <c r="O37" s="517">
        <v>0</v>
      </c>
      <c r="P37" s="515">
        <v>41</v>
      </c>
      <c r="Q37" s="515">
        <v>20</v>
      </c>
      <c r="R37" s="256">
        <f t="shared" si="13"/>
        <v>70</v>
      </c>
      <c r="S37" s="512">
        <f t="shared" si="14"/>
        <v>5.833333333333333</v>
      </c>
      <c r="T37" s="513">
        <f t="shared" si="15"/>
        <v>70.971428571428575</v>
      </c>
      <c r="U37" s="461">
        <f t="shared" si="16"/>
        <v>414</v>
      </c>
      <c r="V37" s="112">
        <v>2019</v>
      </c>
      <c r="W37" s="252" t="s">
        <v>31</v>
      </c>
      <c r="X37" s="105">
        <v>1036</v>
      </c>
      <c r="Y37" s="105" t="s">
        <v>488</v>
      </c>
      <c r="Z37" s="105">
        <v>200</v>
      </c>
      <c r="AA37" s="265">
        <v>44481</v>
      </c>
      <c r="AB37" s="268" t="s">
        <v>482</v>
      </c>
      <c r="AC37" s="265" t="s">
        <v>489</v>
      </c>
      <c r="AD37" s="269">
        <v>330</v>
      </c>
      <c r="AE37" s="265" t="s">
        <v>104</v>
      </c>
      <c r="AF37" s="104"/>
      <c r="AG37" s="104"/>
      <c r="AH37" s="104"/>
      <c r="AI37" s="104"/>
      <c r="AJ37" s="104"/>
      <c r="AK37" s="104"/>
      <c r="AL37" s="104"/>
      <c r="AM37" s="104"/>
      <c r="AN37" s="104"/>
    </row>
    <row r="38" spans="1:40" ht="15.75" customHeight="1" x14ac:dyDescent="0.2">
      <c r="A38" s="252">
        <v>57630</v>
      </c>
      <c r="B38" s="112">
        <v>2019</v>
      </c>
      <c r="C38" s="252" t="s">
        <v>25</v>
      </c>
      <c r="D38" s="270">
        <v>30</v>
      </c>
      <c r="E38" s="514">
        <v>388</v>
      </c>
      <c r="F38" s="517">
        <v>24</v>
      </c>
      <c r="G38" s="517">
        <v>3</v>
      </c>
      <c r="H38" s="517" t="s">
        <v>35</v>
      </c>
      <c r="I38" s="517" t="s">
        <v>35</v>
      </c>
      <c r="J38" s="517" t="s">
        <v>35</v>
      </c>
      <c r="K38" s="517" t="s">
        <v>35</v>
      </c>
      <c r="L38" s="517" t="s">
        <v>35</v>
      </c>
      <c r="M38" s="517" t="s">
        <v>35</v>
      </c>
      <c r="N38" s="517" t="s">
        <v>35</v>
      </c>
      <c r="O38" s="517" t="s">
        <v>35</v>
      </c>
      <c r="P38" s="517" t="s">
        <v>35</v>
      </c>
      <c r="Q38" s="517" t="s">
        <v>35</v>
      </c>
      <c r="R38" s="256">
        <f t="shared" si="13"/>
        <v>27</v>
      </c>
      <c r="S38" s="512">
        <f t="shared" si="14"/>
        <v>13.5</v>
      </c>
      <c r="T38" s="513">
        <f t="shared" si="15"/>
        <v>26.74074074074074</v>
      </c>
      <c r="U38" s="461">
        <f t="shared" si="16"/>
        <v>361</v>
      </c>
      <c r="V38" s="112">
        <v>2019</v>
      </c>
      <c r="W38" s="252" t="s">
        <v>25</v>
      </c>
      <c r="X38" s="105">
        <v>1103</v>
      </c>
      <c r="Y38" s="105" t="s">
        <v>488</v>
      </c>
      <c r="Z38" s="105">
        <v>350</v>
      </c>
      <c r="AA38" s="265">
        <v>44481</v>
      </c>
      <c r="AB38" s="268" t="s">
        <v>482</v>
      </c>
      <c r="AC38" s="265" t="s">
        <v>490</v>
      </c>
      <c r="AD38" s="269">
        <v>330</v>
      </c>
      <c r="AE38" s="265" t="s">
        <v>104</v>
      </c>
      <c r="AF38" s="104"/>
      <c r="AG38" s="104"/>
      <c r="AH38" s="104"/>
      <c r="AI38" s="104"/>
      <c r="AJ38" s="104"/>
      <c r="AK38" s="104"/>
      <c r="AL38" s="104"/>
      <c r="AM38" s="104"/>
      <c r="AN38" s="104"/>
    </row>
    <row r="39" spans="1:40" ht="15.75" customHeight="1" x14ac:dyDescent="0.2">
      <c r="A39" s="252">
        <v>22384</v>
      </c>
      <c r="B39" s="112">
        <v>2019</v>
      </c>
      <c r="C39" s="252" t="s">
        <v>26</v>
      </c>
      <c r="D39" s="191">
        <v>0</v>
      </c>
      <c r="E39" s="514">
        <v>227</v>
      </c>
      <c r="F39" s="517" t="s">
        <v>35</v>
      </c>
      <c r="G39" s="517" t="s">
        <v>35</v>
      </c>
      <c r="H39" s="517" t="s">
        <v>35</v>
      </c>
      <c r="I39" s="517" t="s">
        <v>35</v>
      </c>
      <c r="J39" s="517" t="s">
        <v>35</v>
      </c>
      <c r="K39" s="517" t="s">
        <v>35</v>
      </c>
      <c r="L39" s="517" t="s">
        <v>35</v>
      </c>
      <c r="M39" s="517" t="s">
        <v>35</v>
      </c>
      <c r="N39" s="517" t="s">
        <v>35</v>
      </c>
      <c r="O39" s="517" t="s">
        <v>35</v>
      </c>
      <c r="P39" s="517">
        <v>64</v>
      </c>
      <c r="Q39" s="517">
        <v>7</v>
      </c>
      <c r="R39" s="256">
        <f t="shared" si="13"/>
        <v>71</v>
      </c>
      <c r="S39" s="512">
        <f t="shared" si="14"/>
        <v>35.5</v>
      </c>
      <c r="T39" s="513">
        <f t="shared" si="15"/>
        <v>4.394366197183099</v>
      </c>
      <c r="U39" s="461">
        <f t="shared" si="16"/>
        <v>156</v>
      </c>
      <c r="V39" s="112">
        <v>2019</v>
      </c>
      <c r="W39" s="252" t="s">
        <v>26</v>
      </c>
      <c r="X39" s="105"/>
      <c r="Y39" s="105"/>
      <c r="Z39" s="105">
        <v>0</v>
      </c>
      <c r="AA39" s="265">
        <v>44481</v>
      </c>
      <c r="AB39" s="268" t="s">
        <v>482</v>
      </c>
      <c r="AC39" s="265" t="s">
        <v>490</v>
      </c>
      <c r="AD39" s="269">
        <v>300</v>
      </c>
      <c r="AE39" s="265" t="s">
        <v>104</v>
      </c>
      <c r="AF39" s="104"/>
      <c r="AG39" s="104"/>
      <c r="AH39" s="104"/>
      <c r="AI39" s="104"/>
      <c r="AJ39" s="104"/>
      <c r="AK39" s="104"/>
      <c r="AL39" s="104"/>
      <c r="AM39" s="104"/>
      <c r="AN39" s="104"/>
    </row>
    <row r="40" spans="1:40" ht="15.75" customHeight="1" x14ac:dyDescent="0.2">
      <c r="A40" s="252">
        <v>133688</v>
      </c>
      <c r="B40" s="112">
        <v>2019</v>
      </c>
      <c r="C40" s="252" t="s">
        <v>23</v>
      </c>
      <c r="D40" s="257">
        <v>39</v>
      </c>
      <c r="E40" s="514">
        <v>657</v>
      </c>
      <c r="F40" s="517">
        <v>9</v>
      </c>
      <c r="G40" s="517">
        <v>2</v>
      </c>
      <c r="H40" s="517">
        <v>4</v>
      </c>
      <c r="I40" s="517" t="s">
        <v>35</v>
      </c>
      <c r="J40" s="517" t="s">
        <v>35</v>
      </c>
      <c r="K40" s="517" t="s">
        <v>35</v>
      </c>
      <c r="L40" s="517" t="s">
        <v>35</v>
      </c>
      <c r="M40" s="517" t="s">
        <v>35</v>
      </c>
      <c r="N40" s="517" t="s">
        <v>35</v>
      </c>
      <c r="O40" s="517" t="s">
        <v>35</v>
      </c>
      <c r="P40" s="517" t="s">
        <v>35</v>
      </c>
      <c r="Q40" s="517">
        <v>2</v>
      </c>
      <c r="R40" s="256">
        <f t="shared" si="13"/>
        <v>17</v>
      </c>
      <c r="S40" s="512">
        <f t="shared" si="14"/>
        <v>4.25</v>
      </c>
      <c r="T40" s="513">
        <f t="shared" si="15"/>
        <v>150.58823529411765</v>
      </c>
      <c r="U40" s="461">
        <f t="shared" si="16"/>
        <v>640</v>
      </c>
      <c r="V40" s="112">
        <v>2019</v>
      </c>
      <c r="W40" s="252" t="s">
        <v>23</v>
      </c>
      <c r="X40" s="105"/>
      <c r="Y40" s="105"/>
      <c r="Z40" s="105"/>
      <c r="AA40" s="265">
        <v>44487</v>
      </c>
      <c r="AB40" s="268" t="s">
        <v>482</v>
      </c>
      <c r="AC40" s="265" t="s">
        <v>491</v>
      </c>
      <c r="AD40" s="269">
        <v>660</v>
      </c>
      <c r="AE40" s="265" t="s">
        <v>104</v>
      </c>
      <c r="AF40" s="104"/>
      <c r="AG40" s="104"/>
      <c r="AH40" s="104"/>
      <c r="AI40" s="104"/>
      <c r="AJ40" s="104"/>
      <c r="AK40" s="104"/>
      <c r="AL40" s="104"/>
      <c r="AM40" s="104"/>
      <c r="AN40" s="104"/>
    </row>
    <row r="41" spans="1:40" ht="15.75" customHeight="1" x14ac:dyDescent="0.2">
      <c r="A41" s="252">
        <v>133687</v>
      </c>
      <c r="B41" s="112">
        <v>2019</v>
      </c>
      <c r="C41" s="252" t="s">
        <v>93</v>
      </c>
      <c r="D41" s="257" t="s">
        <v>35</v>
      </c>
      <c r="E41" s="514">
        <v>298</v>
      </c>
      <c r="F41" s="517">
        <v>1</v>
      </c>
      <c r="G41" s="517" t="s">
        <v>35</v>
      </c>
      <c r="H41" s="517" t="s">
        <v>35</v>
      </c>
      <c r="I41" s="517" t="s">
        <v>35</v>
      </c>
      <c r="J41" s="517" t="s">
        <v>35</v>
      </c>
      <c r="K41" s="517" t="s">
        <v>35</v>
      </c>
      <c r="L41" s="517" t="s">
        <v>35</v>
      </c>
      <c r="M41" s="517" t="s">
        <v>35</v>
      </c>
      <c r="N41" s="517" t="s">
        <v>35</v>
      </c>
      <c r="O41" s="517" t="s">
        <v>35</v>
      </c>
      <c r="P41" s="515">
        <v>22</v>
      </c>
      <c r="Q41" s="515">
        <v>16</v>
      </c>
      <c r="R41" s="256">
        <f t="shared" si="13"/>
        <v>39</v>
      </c>
      <c r="S41" s="512">
        <f t="shared" si="14"/>
        <v>13</v>
      </c>
      <c r="T41" s="513">
        <f t="shared" si="15"/>
        <v>19.923076923076923</v>
      </c>
      <c r="U41" s="461">
        <f>SUM(E41-R41)</f>
        <v>259</v>
      </c>
      <c r="V41" s="112">
        <v>2019</v>
      </c>
      <c r="W41" s="252" t="s">
        <v>427</v>
      </c>
      <c r="X41" s="105"/>
      <c r="Y41" s="105"/>
      <c r="Z41" s="105"/>
      <c r="AA41" s="265">
        <v>44487</v>
      </c>
      <c r="AB41" s="268" t="s">
        <v>482</v>
      </c>
      <c r="AC41" s="265" t="s">
        <v>492</v>
      </c>
      <c r="AD41" s="269">
        <v>230</v>
      </c>
      <c r="AE41" s="265" t="s">
        <v>104</v>
      </c>
      <c r="AF41" s="104"/>
      <c r="AG41" s="104"/>
      <c r="AH41" s="104"/>
      <c r="AI41" s="104"/>
      <c r="AJ41" s="104"/>
      <c r="AK41" s="104"/>
      <c r="AL41" s="104"/>
      <c r="AM41" s="104"/>
      <c r="AN41" s="104"/>
    </row>
    <row r="42" spans="1:40" ht="15.75" customHeight="1" x14ac:dyDescent="0.2">
      <c r="A42" s="252">
        <v>27736</v>
      </c>
      <c r="B42" s="112">
        <v>2019</v>
      </c>
      <c r="C42" s="252" t="s">
        <v>70</v>
      </c>
      <c r="D42" s="257">
        <v>29</v>
      </c>
      <c r="E42" s="514">
        <v>391</v>
      </c>
      <c r="F42" s="517">
        <v>40</v>
      </c>
      <c r="G42" s="517">
        <v>5</v>
      </c>
      <c r="H42" s="517">
        <v>3</v>
      </c>
      <c r="I42" s="517" t="s">
        <v>35</v>
      </c>
      <c r="J42" s="517" t="s">
        <v>35</v>
      </c>
      <c r="K42" s="517">
        <v>1</v>
      </c>
      <c r="L42" s="517" t="s">
        <v>35</v>
      </c>
      <c r="M42" s="517" t="s">
        <v>35</v>
      </c>
      <c r="N42" s="517" t="s">
        <v>493</v>
      </c>
      <c r="O42" s="517" t="s">
        <v>35</v>
      </c>
      <c r="P42" s="515">
        <v>25</v>
      </c>
      <c r="Q42" s="515">
        <v>21</v>
      </c>
      <c r="R42" s="256">
        <f t="shared" si="13"/>
        <v>95</v>
      </c>
      <c r="S42" s="512">
        <f t="shared" si="14"/>
        <v>15.833333333333334</v>
      </c>
      <c r="T42" s="513">
        <f t="shared" si="15"/>
        <v>18.694736842105261</v>
      </c>
      <c r="U42" s="461">
        <f t="shared" si="16"/>
        <v>296</v>
      </c>
      <c r="V42" s="112">
        <v>2019</v>
      </c>
      <c r="W42" s="252" t="s">
        <v>70</v>
      </c>
      <c r="X42" s="105"/>
      <c r="Y42" s="105"/>
      <c r="Z42" s="105"/>
      <c r="AA42" s="265">
        <v>44487</v>
      </c>
      <c r="AB42" s="268" t="s">
        <v>482</v>
      </c>
      <c r="AC42" s="265" t="s">
        <v>494</v>
      </c>
      <c r="AD42" s="269">
        <v>175</v>
      </c>
      <c r="AE42" s="265" t="s">
        <v>104</v>
      </c>
      <c r="AF42" s="104"/>
      <c r="AG42" s="104"/>
      <c r="AH42" s="104"/>
      <c r="AI42" s="104"/>
      <c r="AJ42" s="104"/>
      <c r="AK42" s="104"/>
      <c r="AL42" s="104"/>
      <c r="AM42" s="104"/>
      <c r="AN42" s="104"/>
    </row>
    <row r="43" spans="1:40" ht="15.75" customHeight="1" x14ac:dyDescent="0.2">
      <c r="A43" s="252">
        <v>135371</v>
      </c>
      <c r="B43" s="112">
        <v>2019</v>
      </c>
      <c r="C43" s="252" t="s">
        <v>307</v>
      </c>
      <c r="D43" s="254">
        <v>0</v>
      </c>
      <c r="E43" s="514">
        <v>93</v>
      </c>
      <c r="F43" s="517">
        <v>8</v>
      </c>
      <c r="G43" s="517">
        <v>2</v>
      </c>
      <c r="H43" s="517" t="s">
        <v>35</v>
      </c>
      <c r="I43" s="517">
        <v>3</v>
      </c>
      <c r="J43" s="517" t="s">
        <v>35</v>
      </c>
      <c r="K43" s="517" t="s">
        <v>35</v>
      </c>
      <c r="L43" s="517" t="s">
        <v>35</v>
      </c>
      <c r="M43" s="517" t="s">
        <v>35</v>
      </c>
      <c r="N43" s="517" t="s">
        <v>35</v>
      </c>
      <c r="O43" s="517" t="s">
        <v>35</v>
      </c>
      <c r="P43" s="517" t="s">
        <v>35</v>
      </c>
      <c r="Q43" s="517">
        <v>2</v>
      </c>
      <c r="R43" s="256">
        <f t="shared" si="13"/>
        <v>15</v>
      </c>
      <c r="S43" s="512">
        <f t="shared" si="14"/>
        <v>3.75</v>
      </c>
      <c r="T43" s="513">
        <f t="shared" si="15"/>
        <v>20.8</v>
      </c>
      <c r="U43" s="461">
        <f t="shared" si="16"/>
        <v>78</v>
      </c>
      <c r="V43" s="112">
        <v>2019</v>
      </c>
      <c r="W43" s="252" t="s">
        <v>307</v>
      </c>
      <c r="X43" s="105"/>
      <c r="Y43" s="105"/>
      <c r="Z43" s="105"/>
      <c r="AA43" s="265">
        <v>44497</v>
      </c>
      <c r="AB43" s="268" t="s">
        <v>482</v>
      </c>
      <c r="AC43" s="265" t="s">
        <v>495</v>
      </c>
      <c r="AD43" s="269">
        <v>70</v>
      </c>
      <c r="AE43" s="265" t="s">
        <v>104</v>
      </c>
      <c r="AF43" s="104"/>
      <c r="AG43" s="104"/>
      <c r="AH43" s="104"/>
      <c r="AI43" s="104"/>
      <c r="AJ43" s="104"/>
      <c r="AK43" s="104"/>
      <c r="AL43" s="104"/>
      <c r="AM43" s="104"/>
      <c r="AN43" s="104"/>
    </row>
    <row r="44" spans="1:40" ht="15.75" customHeight="1" x14ac:dyDescent="0.2">
      <c r="A44" s="252">
        <v>22921</v>
      </c>
      <c r="B44" s="112">
        <v>2019</v>
      </c>
      <c r="C44" s="252" t="s">
        <v>278</v>
      </c>
      <c r="D44" s="257">
        <v>54</v>
      </c>
      <c r="E44" s="514">
        <v>560</v>
      </c>
      <c r="F44" s="517">
        <v>7</v>
      </c>
      <c r="G44" s="517">
        <v>7</v>
      </c>
      <c r="H44" s="517" t="s">
        <v>35</v>
      </c>
      <c r="I44" s="517" t="s">
        <v>35</v>
      </c>
      <c r="J44" s="517" t="s">
        <v>35</v>
      </c>
      <c r="K44" s="517" t="s">
        <v>35</v>
      </c>
      <c r="L44" s="517" t="s">
        <v>35</v>
      </c>
      <c r="M44" s="517" t="s">
        <v>35</v>
      </c>
      <c r="N44" s="517" t="s">
        <v>35</v>
      </c>
      <c r="O44" s="517" t="s">
        <v>35</v>
      </c>
      <c r="P44" s="517" t="s">
        <v>35</v>
      </c>
      <c r="Q44" s="517" t="s">
        <v>35</v>
      </c>
      <c r="R44" s="256">
        <f t="shared" si="13"/>
        <v>14</v>
      </c>
      <c r="S44" s="512">
        <f t="shared" si="14"/>
        <v>7</v>
      </c>
      <c r="T44" s="513">
        <f t="shared" si="15"/>
        <v>78</v>
      </c>
      <c r="U44" s="461">
        <f t="shared" si="16"/>
        <v>546</v>
      </c>
      <c r="V44" s="112">
        <v>2019</v>
      </c>
      <c r="W44" s="252" t="s">
        <v>278</v>
      </c>
      <c r="X44" s="105"/>
      <c r="Y44" s="105"/>
      <c r="Z44" s="105"/>
      <c r="AA44" s="265">
        <v>44497</v>
      </c>
      <c r="AB44" s="268" t="s">
        <v>482</v>
      </c>
      <c r="AC44" s="265" t="s">
        <v>496</v>
      </c>
      <c r="AD44" s="269">
        <v>140</v>
      </c>
      <c r="AE44" s="265" t="s">
        <v>104</v>
      </c>
      <c r="AF44" s="104"/>
      <c r="AG44" s="104"/>
      <c r="AH44" s="104"/>
      <c r="AI44" s="104"/>
      <c r="AJ44" s="104"/>
      <c r="AK44" s="104"/>
      <c r="AL44" s="104"/>
      <c r="AM44" s="104"/>
      <c r="AN44" s="104"/>
    </row>
    <row r="45" spans="1:40" ht="15.75" customHeight="1" x14ac:dyDescent="0.2">
      <c r="A45" s="252">
        <v>168932</v>
      </c>
      <c r="B45" s="112" t="s">
        <v>338</v>
      </c>
      <c r="C45" s="252" t="s">
        <v>94</v>
      </c>
      <c r="D45" s="257">
        <v>0</v>
      </c>
      <c r="E45" s="514">
        <v>879</v>
      </c>
      <c r="F45" s="517">
        <v>25</v>
      </c>
      <c r="G45" s="517">
        <v>19</v>
      </c>
      <c r="H45" s="517">
        <v>15</v>
      </c>
      <c r="I45" s="517">
        <v>1</v>
      </c>
      <c r="J45" s="517">
        <v>1</v>
      </c>
      <c r="K45" s="517">
        <v>1</v>
      </c>
      <c r="L45" s="517">
        <v>2</v>
      </c>
      <c r="M45" s="517" t="s">
        <v>35</v>
      </c>
      <c r="N45" s="517" t="s">
        <v>35</v>
      </c>
      <c r="O45" s="517" t="s">
        <v>35</v>
      </c>
      <c r="P45" s="517" t="s">
        <v>35</v>
      </c>
      <c r="Q45" s="517">
        <v>9</v>
      </c>
      <c r="R45" s="256">
        <f t="shared" si="13"/>
        <v>73</v>
      </c>
      <c r="S45" s="512">
        <f t="shared" si="14"/>
        <v>9.125</v>
      </c>
      <c r="T45" s="513">
        <f t="shared" si="15"/>
        <v>88.328767123287676</v>
      </c>
      <c r="U45" s="461">
        <f t="shared" si="16"/>
        <v>806</v>
      </c>
      <c r="V45" s="112" t="s">
        <v>338</v>
      </c>
      <c r="W45" s="252" t="s">
        <v>94</v>
      </c>
      <c r="X45" s="105"/>
      <c r="Y45" s="105"/>
      <c r="Z45" s="105">
        <v>0</v>
      </c>
      <c r="AA45" s="265">
        <v>44505</v>
      </c>
      <c r="AB45" s="268" t="s">
        <v>482</v>
      </c>
      <c r="AC45" s="265" t="s">
        <v>486</v>
      </c>
      <c r="AD45" s="269">
        <v>330</v>
      </c>
      <c r="AE45" s="265" t="s">
        <v>104</v>
      </c>
      <c r="AF45" s="104"/>
      <c r="AG45" s="104"/>
      <c r="AH45" s="104"/>
      <c r="AI45" s="104"/>
      <c r="AJ45" s="104"/>
      <c r="AK45" s="104"/>
      <c r="AL45" s="104"/>
      <c r="AM45" s="104"/>
      <c r="AN45" s="104"/>
    </row>
    <row r="46" spans="1:40" ht="15.75" customHeight="1" x14ac:dyDescent="0.2">
      <c r="A46" s="252"/>
      <c r="B46" s="112"/>
      <c r="C46" s="252" t="s">
        <v>433</v>
      </c>
      <c r="D46" s="257"/>
      <c r="E46" s="514">
        <v>78</v>
      </c>
      <c r="F46" s="514">
        <v>5</v>
      </c>
      <c r="G46" s="514">
        <v>9</v>
      </c>
      <c r="H46" s="514">
        <v>12</v>
      </c>
      <c r="I46" s="514">
        <v>14</v>
      </c>
      <c r="J46" s="514">
        <v>8</v>
      </c>
      <c r="K46" s="514">
        <v>4</v>
      </c>
      <c r="L46" s="514">
        <v>16</v>
      </c>
      <c r="M46" s="514" t="s">
        <v>35</v>
      </c>
      <c r="N46" s="514"/>
      <c r="O46" s="514"/>
      <c r="P46" s="514">
        <v>0</v>
      </c>
      <c r="Q46" s="514"/>
      <c r="R46" s="256">
        <f t="shared" ref="R46" si="17">SUM(F46:Q46)</f>
        <v>68</v>
      </c>
      <c r="S46" s="512">
        <f t="shared" si="14"/>
        <v>8.5</v>
      </c>
      <c r="T46" s="513">
        <f t="shared" si="15"/>
        <v>1.1764705882352942</v>
      </c>
      <c r="U46" s="461">
        <f t="shared" si="16"/>
        <v>10</v>
      </c>
      <c r="V46" s="112"/>
      <c r="W46" s="252" t="s">
        <v>434</v>
      </c>
      <c r="X46" s="105"/>
      <c r="Y46" s="105"/>
      <c r="Z46" s="105"/>
      <c r="AA46" s="265">
        <v>44505</v>
      </c>
      <c r="AB46" s="268" t="s">
        <v>482</v>
      </c>
      <c r="AC46" s="265" t="s">
        <v>497</v>
      </c>
      <c r="AD46" s="269">
        <v>935</v>
      </c>
      <c r="AE46" s="265" t="s">
        <v>104</v>
      </c>
      <c r="AF46" s="104"/>
      <c r="AG46" s="104"/>
      <c r="AH46" s="104"/>
      <c r="AI46" s="104"/>
      <c r="AJ46" s="104"/>
      <c r="AK46" s="104"/>
      <c r="AL46" s="104"/>
      <c r="AM46" s="104"/>
      <c r="AN46" s="104"/>
    </row>
    <row r="47" spans="1:40" x14ac:dyDescent="0.2">
      <c r="A47" s="249"/>
      <c r="B47" s="165"/>
      <c r="C47" s="249"/>
      <c r="D47" s="271"/>
      <c r="E47" s="509"/>
      <c r="F47" s="509"/>
      <c r="G47" s="509"/>
      <c r="H47" s="509"/>
      <c r="I47" s="509"/>
      <c r="J47" s="509"/>
      <c r="K47" s="509"/>
      <c r="L47" s="509"/>
      <c r="M47" s="509"/>
      <c r="N47" s="509"/>
      <c r="O47" s="509"/>
      <c r="P47" s="509"/>
      <c r="Q47" s="509"/>
      <c r="R47" s="251"/>
      <c r="S47" s="510"/>
      <c r="T47" s="511"/>
      <c r="U47" s="462"/>
      <c r="V47" s="165"/>
      <c r="W47" s="249"/>
      <c r="X47" s="105"/>
      <c r="Y47" s="105"/>
      <c r="Z47" s="105"/>
      <c r="AA47" s="265">
        <v>44507</v>
      </c>
      <c r="AB47" s="268" t="s">
        <v>415</v>
      </c>
      <c r="AC47" s="265" t="s">
        <v>498</v>
      </c>
      <c r="AD47" s="269">
        <v>130</v>
      </c>
      <c r="AE47" s="265" t="s">
        <v>104</v>
      </c>
      <c r="AF47" s="104"/>
      <c r="AG47" s="104"/>
      <c r="AH47" s="104"/>
      <c r="AI47" s="104"/>
      <c r="AJ47" s="104"/>
      <c r="AK47" s="104"/>
      <c r="AL47" s="104"/>
      <c r="AM47" s="104"/>
      <c r="AN47" s="104"/>
    </row>
    <row r="48" spans="1:40" ht="15.75" customHeight="1" x14ac:dyDescent="0.2">
      <c r="A48" s="252">
        <v>11198</v>
      </c>
      <c r="B48" s="112">
        <v>2020</v>
      </c>
      <c r="C48" s="252" t="s">
        <v>46</v>
      </c>
      <c r="D48" s="270">
        <v>26</v>
      </c>
      <c r="E48" s="520">
        <v>336</v>
      </c>
      <c r="F48" s="517"/>
      <c r="G48" s="517"/>
      <c r="H48" s="517"/>
      <c r="I48" s="517">
        <v>6</v>
      </c>
      <c r="J48" s="517">
        <v>6</v>
      </c>
      <c r="K48" s="517">
        <v>8</v>
      </c>
      <c r="L48" s="517">
        <v>6</v>
      </c>
      <c r="M48" s="520">
        <v>25</v>
      </c>
      <c r="N48" s="520">
        <v>30</v>
      </c>
      <c r="O48" s="520">
        <v>24</v>
      </c>
      <c r="P48" s="520">
        <v>29</v>
      </c>
      <c r="Q48" s="520">
        <v>22</v>
      </c>
      <c r="R48" s="256">
        <f t="shared" ref="R48:R54" si="18">SUM(F48:Q48)</f>
        <v>156</v>
      </c>
      <c r="S48" s="512">
        <f t="shared" ref="S48:S54" si="19">IFERROR((AVERAGE(F48:Q48)),0)</f>
        <v>17.333333333333332</v>
      </c>
      <c r="T48" s="513">
        <f t="shared" ref="T48:T54" si="20">IFERROR((U48/S48),0)</f>
        <v>10.384615384615385</v>
      </c>
      <c r="U48" s="461">
        <f t="shared" ref="U48:U53" si="21">SUM(E48-R48)</f>
        <v>180</v>
      </c>
      <c r="V48" s="112">
        <v>2020</v>
      </c>
      <c r="W48" s="252" t="s">
        <v>46</v>
      </c>
      <c r="X48" s="105"/>
      <c r="Y48" s="105"/>
      <c r="Z48" s="105"/>
      <c r="AA48" s="265">
        <v>44512</v>
      </c>
      <c r="AB48" s="268" t="s">
        <v>402</v>
      </c>
      <c r="AC48" s="265" t="s">
        <v>414</v>
      </c>
      <c r="AD48" s="269">
        <v>56</v>
      </c>
      <c r="AE48" s="265" t="s">
        <v>378</v>
      </c>
      <c r="AF48" s="104"/>
      <c r="AG48" s="104"/>
      <c r="AH48" s="104"/>
      <c r="AI48" s="104"/>
      <c r="AJ48" s="104"/>
      <c r="AK48" s="104"/>
      <c r="AL48" s="104"/>
      <c r="AM48" s="104"/>
      <c r="AN48" s="104"/>
    </row>
    <row r="49" spans="1:40" ht="15.75" customHeight="1" x14ac:dyDescent="0.2">
      <c r="A49" s="252">
        <v>168933</v>
      </c>
      <c r="B49" s="112">
        <v>2020</v>
      </c>
      <c r="C49" s="252" t="s">
        <v>468</v>
      </c>
      <c r="D49" s="190">
        <v>19</v>
      </c>
      <c r="E49" s="521">
        <v>113</v>
      </c>
      <c r="F49" s="517"/>
      <c r="G49" s="517"/>
      <c r="H49" s="517"/>
      <c r="I49" s="517">
        <v>17</v>
      </c>
      <c r="J49" s="517">
        <v>49</v>
      </c>
      <c r="K49" s="517">
        <v>27</v>
      </c>
      <c r="L49" s="517">
        <v>17</v>
      </c>
      <c r="M49" s="517">
        <v>3</v>
      </c>
      <c r="N49" s="517"/>
      <c r="O49" s="517"/>
      <c r="P49" s="517"/>
      <c r="Q49" s="517"/>
      <c r="R49" s="256">
        <f t="shared" si="18"/>
        <v>113</v>
      </c>
      <c r="S49" s="512">
        <f t="shared" si="19"/>
        <v>22.6</v>
      </c>
      <c r="T49" s="513">
        <f t="shared" si="20"/>
        <v>0</v>
      </c>
      <c r="U49" s="461">
        <f t="shared" si="21"/>
        <v>0</v>
      </c>
      <c r="V49" s="112">
        <v>2020</v>
      </c>
      <c r="W49" s="252" t="s">
        <v>468</v>
      </c>
      <c r="X49" s="105">
        <v>47</v>
      </c>
      <c r="Y49" s="105" t="s">
        <v>499</v>
      </c>
      <c r="Z49" s="105"/>
      <c r="AA49" s="265">
        <v>44516</v>
      </c>
      <c r="AB49" s="268" t="s">
        <v>482</v>
      </c>
      <c r="AC49" s="265" t="s">
        <v>500</v>
      </c>
      <c r="AD49" s="269">
        <v>330</v>
      </c>
      <c r="AE49" s="265" t="s">
        <v>104</v>
      </c>
      <c r="AF49" s="104"/>
      <c r="AG49" s="104"/>
      <c r="AH49" s="104"/>
      <c r="AI49" s="104"/>
      <c r="AJ49" s="104"/>
      <c r="AK49" s="104"/>
      <c r="AL49" s="104"/>
      <c r="AM49" s="104"/>
      <c r="AN49" s="104"/>
    </row>
    <row r="50" spans="1:40" ht="15.75" customHeight="1" x14ac:dyDescent="0.2">
      <c r="A50" s="252">
        <v>57632</v>
      </c>
      <c r="B50" s="112">
        <v>2020</v>
      </c>
      <c r="C50" s="252" t="s">
        <v>31</v>
      </c>
      <c r="D50" s="191">
        <v>36</v>
      </c>
      <c r="E50" s="514">
        <v>419</v>
      </c>
      <c r="F50" s="517"/>
      <c r="G50" s="517"/>
      <c r="H50" s="517"/>
      <c r="I50" s="517"/>
      <c r="J50" s="517"/>
      <c r="K50" s="517">
        <v>2</v>
      </c>
      <c r="L50" s="517" t="s">
        <v>35</v>
      </c>
      <c r="M50" s="517" t="s">
        <v>35</v>
      </c>
      <c r="N50" s="517" t="s">
        <v>35</v>
      </c>
      <c r="O50" s="517" t="s">
        <v>35</v>
      </c>
      <c r="P50" s="517" t="s">
        <v>35</v>
      </c>
      <c r="Q50" s="517" t="s">
        <v>35</v>
      </c>
      <c r="R50" s="256">
        <f t="shared" si="18"/>
        <v>2</v>
      </c>
      <c r="S50" s="512">
        <f t="shared" si="19"/>
        <v>2</v>
      </c>
      <c r="T50" s="513">
        <f t="shared" si="20"/>
        <v>208.5</v>
      </c>
      <c r="U50" s="461">
        <f t="shared" si="21"/>
        <v>417</v>
      </c>
      <c r="V50" s="112">
        <v>2020</v>
      </c>
      <c r="W50" s="252" t="s">
        <v>31</v>
      </c>
      <c r="X50" s="105"/>
      <c r="Y50" s="105"/>
      <c r="Z50" s="105"/>
      <c r="AA50" s="265">
        <v>44517</v>
      </c>
      <c r="AB50" s="268" t="s">
        <v>482</v>
      </c>
      <c r="AC50" s="265" t="s">
        <v>501</v>
      </c>
      <c r="AD50" s="269">
        <v>550</v>
      </c>
      <c r="AE50" s="265" t="s">
        <v>104</v>
      </c>
      <c r="AF50" s="104"/>
      <c r="AG50" s="104"/>
      <c r="AH50" s="104"/>
      <c r="AI50" s="104"/>
      <c r="AJ50" s="104"/>
      <c r="AK50" s="104"/>
      <c r="AL50" s="104"/>
      <c r="AM50" s="104"/>
      <c r="AN50" s="104"/>
    </row>
    <row r="51" spans="1:40" ht="15.75" customHeight="1" x14ac:dyDescent="0.2">
      <c r="A51" s="252">
        <v>57630</v>
      </c>
      <c r="B51" s="112">
        <v>2020</v>
      </c>
      <c r="C51" s="252" t="s">
        <v>25</v>
      </c>
      <c r="D51" s="270">
        <v>30</v>
      </c>
      <c r="E51" s="514">
        <v>0</v>
      </c>
      <c r="F51" s="517"/>
      <c r="G51" s="517"/>
      <c r="H51" s="517"/>
      <c r="I51" s="517"/>
      <c r="J51" s="517"/>
      <c r="K51" s="517"/>
      <c r="L51" s="517"/>
      <c r="M51" s="517"/>
      <c r="N51" s="517"/>
      <c r="O51" s="517"/>
      <c r="P51" s="517"/>
      <c r="Q51" s="517"/>
      <c r="R51" s="256">
        <f t="shared" si="18"/>
        <v>0</v>
      </c>
      <c r="S51" s="512">
        <f t="shared" si="19"/>
        <v>0</v>
      </c>
      <c r="T51" s="513">
        <f t="shared" si="20"/>
        <v>0</v>
      </c>
      <c r="U51" s="461">
        <f t="shared" si="21"/>
        <v>0</v>
      </c>
      <c r="V51" s="112">
        <v>2020</v>
      </c>
      <c r="W51" s="252" t="s">
        <v>25</v>
      </c>
      <c r="X51" s="105"/>
      <c r="Y51" s="105"/>
      <c r="Z51" s="105"/>
      <c r="AA51" s="265">
        <v>44517</v>
      </c>
      <c r="AB51" s="268" t="s">
        <v>482</v>
      </c>
      <c r="AC51" s="265" t="s">
        <v>502</v>
      </c>
      <c r="AD51" s="269">
        <v>330</v>
      </c>
      <c r="AE51" s="265" t="s">
        <v>104</v>
      </c>
      <c r="AF51" s="104"/>
      <c r="AG51" s="104"/>
      <c r="AH51" s="104"/>
      <c r="AI51" s="104"/>
      <c r="AJ51" s="104"/>
      <c r="AK51" s="104"/>
      <c r="AL51" s="104"/>
      <c r="AM51" s="104"/>
      <c r="AN51" s="104"/>
    </row>
    <row r="52" spans="1:40" ht="15.75" customHeight="1" x14ac:dyDescent="0.2">
      <c r="A52" s="522">
        <v>34641</v>
      </c>
      <c r="B52" s="112">
        <v>2020</v>
      </c>
      <c r="C52" s="252" t="s">
        <v>118</v>
      </c>
      <c r="D52" s="191">
        <v>0</v>
      </c>
      <c r="E52" s="514">
        <v>403</v>
      </c>
      <c r="F52" s="517"/>
      <c r="G52" s="517"/>
      <c r="H52" s="517"/>
      <c r="I52" s="517"/>
      <c r="J52" s="517"/>
      <c r="K52" s="517"/>
      <c r="L52" s="517"/>
      <c r="M52" s="517"/>
      <c r="N52" s="517"/>
      <c r="O52" s="517"/>
      <c r="P52" s="517"/>
      <c r="Q52" s="517">
        <v>10</v>
      </c>
      <c r="R52" s="256">
        <f t="shared" si="18"/>
        <v>10</v>
      </c>
      <c r="S52" s="512">
        <f t="shared" si="19"/>
        <v>10</v>
      </c>
      <c r="T52" s="513">
        <f t="shared" si="20"/>
        <v>39.299999999999997</v>
      </c>
      <c r="U52" s="461">
        <f t="shared" si="21"/>
        <v>393</v>
      </c>
      <c r="V52" s="112">
        <v>2020</v>
      </c>
      <c r="W52" s="252" t="s">
        <v>118</v>
      </c>
      <c r="X52" s="105"/>
      <c r="Y52" s="105"/>
      <c r="Z52" s="105"/>
      <c r="AA52" s="265">
        <v>44517</v>
      </c>
      <c r="AB52" s="268" t="s">
        <v>482</v>
      </c>
      <c r="AC52" s="265" t="s">
        <v>503</v>
      </c>
      <c r="AD52" s="269">
        <v>330</v>
      </c>
      <c r="AE52" s="265" t="s">
        <v>104</v>
      </c>
      <c r="AF52" s="104"/>
      <c r="AG52" s="104"/>
      <c r="AH52" s="104"/>
      <c r="AI52" s="104"/>
      <c r="AJ52" s="104"/>
      <c r="AK52" s="104"/>
      <c r="AL52" s="104"/>
      <c r="AM52" s="104"/>
      <c r="AN52" s="104"/>
    </row>
    <row r="53" spans="1:40" ht="15.75" customHeight="1" x14ac:dyDescent="0.2">
      <c r="A53" s="252">
        <v>133688</v>
      </c>
      <c r="B53" s="112">
        <v>2020</v>
      </c>
      <c r="C53" s="252" t="s">
        <v>23</v>
      </c>
      <c r="D53" s="257">
        <v>39</v>
      </c>
      <c r="E53" s="514">
        <v>424</v>
      </c>
      <c r="F53" s="517"/>
      <c r="G53" s="517"/>
      <c r="H53" s="517"/>
      <c r="I53" s="517"/>
      <c r="J53" s="517"/>
      <c r="K53" s="517"/>
      <c r="L53" s="517"/>
      <c r="M53" s="517"/>
      <c r="N53" s="517"/>
      <c r="O53" s="517"/>
      <c r="P53" s="517"/>
      <c r="Q53" s="517">
        <v>26</v>
      </c>
      <c r="R53" s="256">
        <f t="shared" si="18"/>
        <v>26</v>
      </c>
      <c r="S53" s="512">
        <f t="shared" si="19"/>
        <v>26</v>
      </c>
      <c r="T53" s="513">
        <f t="shared" si="20"/>
        <v>15.307692307692308</v>
      </c>
      <c r="U53" s="461">
        <f t="shared" si="21"/>
        <v>398</v>
      </c>
      <c r="V53" s="112">
        <v>2020</v>
      </c>
      <c r="W53" s="252" t="s">
        <v>23</v>
      </c>
      <c r="X53" s="105"/>
      <c r="Y53" s="105"/>
      <c r="Z53" s="105"/>
      <c r="AA53" s="265">
        <v>44517</v>
      </c>
      <c r="AB53" s="268" t="s">
        <v>482</v>
      </c>
      <c r="AC53" s="265" t="s">
        <v>503</v>
      </c>
      <c r="AD53" s="269">
        <v>275</v>
      </c>
      <c r="AE53" s="265" t="s">
        <v>104</v>
      </c>
      <c r="AF53" s="104"/>
      <c r="AG53" s="104"/>
      <c r="AH53" s="104"/>
      <c r="AI53" s="104"/>
      <c r="AJ53" s="104"/>
      <c r="AK53" s="104"/>
      <c r="AL53" s="104"/>
      <c r="AM53" s="104"/>
      <c r="AN53" s="104"/>
    </row>
    <row r="54" spans="1:40" ht="15.75" customHeight="1" x14ac:dyDescent="0.2">
      <c r="A54" s="252">
        <v>133687</v>
      </c>
      <c r="B54" s="112">
        <v>2020</v>
      </c>
      <c r="C54" s="252" t="s">
        <v>93</v>
      </c>
      <c r="D54" s="257" t="s">
        <v>35</v>
      </c>
      <c r="E54" s="514">
        <v>236</v>
      </c>
      <c r="F54" s="517"/>
      <c r="G54" s="517"/>
      <c r="H54" s="517"/>
      <c r="I54" s="517"/>
      <c r="J54" s="517"/>
      <c r="K54" s="517"/>
      <c r="L54" s="517"/>
      <c r="M54" s="517"/>
      <c r="N54" s="517"/>
      <c r="O54" s="517"/>
      <c r="P54" s="517"/>
      <c r="Q54" s="517">
        <v>0</v>
      </c>
      <c r="R54" s="256">
        <f t="shared" si="18"/>
        <v>0</v>
      </c>
      <c r="S54" s="512">
        <f t="shared" si="19"/>
        <v>0</v>
      </c>
      <c r="T54" s="513">
        <f t="shared" si="20"/>
        <v>0</v>
      </c>
      <c r="U54" s="461">
        <f>SUM(E54-R54)</f>
        <v>236</v>
      </c>
      <c r="V54" s="112">
        <v>2020</v>
      </c>
      <c r="W54" s="252" t="s">
        <v>427</v>
      </c>
      <c r="X54" s="105"/>
      <c r="Y54" s="105"/>
      <c r="Z54" s="105"/>
      <c r="AA54" s="265">
        <v>44518</v>
      </c>
      <c r="AB54" s="268" t="s">
        <v>482</v>
      </c>
      <c r="AC54" s="265" t="s">
        <v>502</v>
      </c>
      <c r="AD54" s="269">
        <v>330</v>
      </c>
      <c r="AE54" s="265" t="s">
        <v>104</v>
      </c>
      <c r="AF54" s="104"/>
      <c r="AG54" s="104"/>
      <c r="AH54" s="104"/>
      <c r="AI54" s="104"/>
      <c r="AJ54" s="104"/>
      <c r="AK54" s="104"/>
      <c r="AL54" s="104"/>
      <c r="AM54" s="104"/>
      <c r="AN54" s="104"/>
    </row>
    <row r="55" spans="1:40" ht="15.75" customHeight="1" x14ac:dyDescent="0.2">
      <c r="A55" s="252">
        <v>27736</v>
      </c>
      <c r="B55" s="112">
        <v>2020</v>
      </c>
      <c r="C55" s="252" t="s">
        <v>70</v>
      </c>
      <c r="D55" s="257">
        <v>29</v>
      </c>
      <c r="E55" s="514">
        <v>345</v>
      </c>
      <c r="F55" s="517"/>
      <c r="G55" s="517"/>
      <c r="H55" s="517"/>
      <c r="I55" s="517"/>
      <c r="J55" s="517"/>
      <c r="K55" s="517"/>
      <c r="L55" s="517"/>
      <c r="M55" s="517"/>
      <c r="N55" s="517"/>
      <c r="O55" s="517"/>
      <c r="P55" s="517"/>
      <c r="Q55" s="517">
        <v>23</v>
      </c>
      <c r="R55" s="256">
        <f t="shared" ref="R55:R59" si="22">SUM(F55:Q55)</f>
        <v>23</v>
      </c>
      <c r="S55" s="512">
        <f t="shared" ref="S55:S60" si="23">IFERROR((AVERAGE(F55:Q55)),0)</f>
        <v>23</v>
      </c>
      <c r="T55" s="513">
        <f t="shared" ref="T55:T60" si="24">IFERROR((U55/S55),0)</f>
        <v>14</v>
      </c>
      <c r="U55" s="461">
        <f t="shared" ref="U55:U68" si="25">SUM(E55-R55)</f>
        <v>322</v>
      </c>
      <c r="V55" s="112">
        <v>2020</v>
      </c>
      <c r="W55" s="252" t="s">
        <v>70</v>
      </c>
      <c r="X55" s="105"/>
      <c r="Y55" s="105"/>
      <c r="Z55" s="105"/>
      <c r="AA55" s="265">
        <v>44518</v>
      </c>
      <c r="AB55" s="268" t="s">
        <v>482</v>
      </c>
      <c r="AC55" s="265" t="s">
        <v>504</v>
      </c>
      <c r="AD55" s="269">
        <v>550</v>
      </c>
      <c r="AE55" s="265" t="s">
        <v>104</v>
      </c>
      <c r="AF55" s="104"/>
      <c r="AG55" s="104"/>
      <c r="AH55" s="104"/>
      <c r="AI55" s="104"/>
      <c r="AJ55" s="104"/>
      <c r="AK55" s="104"/>
      <c r="AL55" s="104"/>
      <c r="AM55" s="104"/>
      <c r="AN55" s="104"/>
    </row>
    <row r="56" spans="1:40" ht="15.75" customHeight="1" x14ac:dyDescent="0.2">
      <c r="A56" s="252">
        <v>135370</v>
      </c>
      <c r="B56" s="112">
        <v>2020</v>
      </c>
      <c r="C56" s="252" t="s">
        <v>217</v>
      </c>
      <c r="D56" s="257"/>
      <c r="E56" s="514">
        <v>319</v>
      </c>
      <c r="F56" s="517"/>
      <c r="G56" s="517"/>
      <c r="H56" s="517"/>
      <c r="I56" s="517"/>
      <c r="J56" s="517"/>
      <c r="K56" s="517"/>
      <c r="L56" s="517"/>
      <c r="M56" s="517"/>
      <c r="N56" s="517"/>
      <c r="O56" s="517"/>
      <c r="P56" s="517"/>
      <c r="Q56" s="517">
        <v>31</v>
      </c>
      <c r="R56" s="256">
        <f t="shared" ref="R56" si="26">SUM(F56:Q56)</f>
        <v>31</v>
      </c>
      <c r="S56" s="512">
        <f t="shared" ref="S56" si="27">IFERROR((AVERAGE(F56:Q56)),0)</f>
        <v>31</v>
      </c>
      <c r="T56" s="513">
        <f t="shared" ref="T56" si="28">IFERROR((U56/S56),0)</f>
        <v>9.2903225806451619</v>
      </c>
      <c r="U56" s="461">
        <f t="shared" ref="U56" si="29">SUM(E56-R56)</f>
        <v>288</v>
      </c>
      <c r="V56" s="112">
        <v>2020</v>
      </c>
      <c r="W56" s="252" t="s">
        <v>505</v>
      </c>
      <c r="X56" s="105"/>
      <c r="Y56" s="105"/>
      <c r="Z56" s="105"/>
      <c r="AA56" s="265">
        <v>44528</v>
      </c>
      <c r="AB56" s="268" t="s">
        <v>415</v>
      </c>
      <c r="AC56" s="265" t="s">
        <v>506</v>
      </c>
      <c r="AD56" s="269">
        <v>125</v>
      </c>
      <c r="AE56" s="265" t="s">
        <v>104</v>
      </c>
      <c r="AF56" s="104"/>
      <c r="AG56" s="104"/>
      <c r="AH56" s="104"/>
      <c r="AI56" s="104"/>
      <c r="AJ56" s="104"/>
      <c r="AK56" s="104"/>
      <c r="AL56" s="104"/>
      <c r="AM56" s="104"/>
      <c r="AN56" s="104"/>
    </row>
    <row r="57" spans="1:40" ht="15.75" customHeight="1" x14ac:dyDescent="0.2">
      <c r="A57" s="252">
        <v>135371</v>
      </c>
      <c r="B57" s="112">
        <v>2020</v>
      </c>
      <c r="C57" s="252" t="s">
        <v>307</v>
      </c>
      <c r="D57" s="254">
        <v>0</v>
      </c>
      <c r="E57" s="514">
        <v>139</v>
      </c>
      <c r="F57" s="517"/>
      <c r="G57" s="517"/>
      <c r="H57" s="517"/>
      <c r="I57" s="517"/>
      <c r="J57" s="517"/>
      <c r="K57" s="517"/>
      <c r="L57" s="517"/>
      <c r="M57" s="517"/>
      <c r="N57" s="517"/>
      <c r="O57" s="517"/>
      <c r="P57" s="517"/>
      <c r="Q57" s="517">
        <v>0</v>
      </c>
      <c r="R57" s="256">
        <f t="shared" si="22"/>
        <v>0</v>
      </c>
      <c r="S57" s="512">
        <f t="shared" si="23"/>
        <v>0</v>
      </c>
      <c r="T57" s="513">
        <f t="shared" si="24"/>
        <v>0</v>
      </c>
      <c r="U57" s="461">
        <f t="shared" si="25"/>
        <v>139</v>
      </c>
      <c r="V57" s="112">
        <v>2020</v>
      </c>
      <c r="W57" s="252" t="s">
        <v>307</v>
      </c>
      <c r="X57" s="105"/>
      <c r="Y57" s="105"/>
      <c r="Z57" s="105"/>
      <c r="AA57" s="265">
        <v>44543</v>
      </c>
      <c r="AB57" s="268" t="s">
        <v>482</v>
      </c>
      <c r="AC57" s="265" t="s">
        <v>507</v>
      </c>
      <c r="AD57" s="269">
        <v>550</v>
      </c>
      <c r="AE57" s="265" t="s">
        <v>104</v>
      </c>
      <c r="AF57" s="104"/>
      <c r="AG57" s="104"/>
      <c r="AH57" s="104"/>
      <c r="AI57" s="104"/>
      <c r="AJ57" s="104"/>
      <c r="AK57" s="104"/>
      <c r="AL57" s="104"/>
      <c r="AM57" s="104"/>
      <c r="AN57" s="104"/>
    </row>
    <row r="58" spans="1:40" ht="15.75" customHeight="1" x14ac:dyDescent="0.2">
      <c r="A58" s="252">
        <v>133687</v>
      </c>
      <c r="B58" s="112">
        <v>2020</v>
      </c>
      <c r="C58" s="252" t="s">
        <v>278</v>
      </c>
      <c r="D58" s="257">
        <v>54</v>
      </c>
      <c r="E58" s="514">
        <v>666</v>
      </c>
      <c r="F58" s="517"/>
      <c r="G58" s="517"/>
      <c r="H58" s="517"/>
      <c r="I58" s="517"/>
      <c r="J58" s="517"/>
      <c r="K58" s="517"/>
      <c r="L58" s="517"/>
      <c r="M58" s="517"/>
      <c r="N58" s="517"/>
      <c r="O58" s="517"/>
      <c r="P58" s="517"/>
      <c r="Q58" s="517">
        <v>0</v>
      </c>
      <c r="R58" s="256">
        <f t="shared" si="22"/>
        <v>0</v>
      </c>
      <c r="S58" s="512">
        <f t="shared" si="23"/>
        <v>0</v>
      </c>
      <c r="T58" s="513">
        <f t="shared" si="24"/>
        <v>0</v>
      </c>
      <c r="U58" s="461">
        <f t="shared" si="25"/>
        <v>666</v>
      </c>
      <c r="V58" s="112">
        <v>2020</v>
      </c>
      <c r="W58" s="252" t="s">
        <v>278</v>
      </c>
      <c r="X58" s="105"/>
      <c r="Y58" s="105"/>
      <c r="Z58" s="105"/>
      <c r="AA58" s="265">
        <v>44543</v>
      </c>
      <c r="AB58" s="268" t="s">
        <v>482</v>
      </c>
      <c r="AC58" s="265" t="s">
        <v>425</v>
      </c>
      <c r="AD58" s="269">
        <v>330</v>
      </c>
      <c r="AE58" s="265" t="s">
        <v>104</v>
      </c>
      <c r="AF58" s="104"/>
      <c r="AG58" s="104"/>
      <c r="AH58" s="104"/>
      <c r="AI58" s="104"/>
      <c r="AJ58" s="104"/>
      <c r="AK58" s="104"/>
      <c r="AL58" s="104"/>
      <c r="AM58" s="104"/>
      <c r="AN58" s="104"/>
    </row>
    <row r="59" spans="1:40" ht="15.75" customHeight="1" x14ac:dyDescent="0.2">
      <c r="A59" s="252"/>
      <c r="B59" s="112" t="s">
        <v>508</v>
      </c>
      <c r="C59" s="252" t="s">
        <v>94</v>
      </c>
      <c r="D59" s="257">
        <v>0</v>
      </c>
      <c r="E59" s="514">
        <v>599</v>
      </c>
      <c r="F59" s="517"/>
      <c r="G59" s="517"/>
      <c r="H59" s="517"/>
      <c r="I59" s="517"/>
      <c r="J59" s="517"/>
      <c r="K59" s="517"/>
      <c r="L59" s="517"/>
      <c r="M59" s="517"/>
      <c r="N59" s="517"/>
      <c r="O59" s="517"/>
      <c r="P59" s="517"/>
      <c r="Q59" s="517">
        <v>3</v>
      </c>
      <c r="R59" s="256">
        <f t="shared" si="22"/>
        <v>3</v>
      </c>
      <c r="S59" s="512">
        <f t="shared" si="23"/>
        <v>3</v>
      </c>
      <c r="T59" s="513">
        <f t="shared" si="24"/>
        <v>198.66666666666666</v>
      </c>
      <c r="U59" s="461">
        <f t="shared" si="25"/>
        <v>596</v>
      </c>
      <c r="V59" s="112" t="s">
        <v>508</v>
      </c>
      <c r="W59" s="252" t="s">
        <v>94</v>
      </c>
      <c r="X59" s="105"/>
      <c r="Y59" s="105"/>
      <c r="Z59" s="105"/>
      <c r="AA59" s="265">
        <v>44550</v>
      </c>
      <c r="AB59" s="268" t="s">
        <v>482</v>
      </c>
      <c r="AC59" s="265" t="s">
        <v>509</v>
      </c>
      <c r="AD59" s="269">
        <v>275</v>
      </c>
      <c r="AE59" s="265" t="s">
        <v>104</v>
      </c>
      <c r="AF59" s="104"/>
      <c r="AG59" s="104"/>
      <c r="AH59" s="104"/>
      <c r="AI59" s="104"/>
      <c r="AJ59" s="104"/>
      <c r="AK59" s="104"/>
      <c r="AL59" s="104"/>
      <c r="AM59" s="104"/>
      <c r="AN59" s="104"/>
    </row>
    <row r="60" spans="1:40" ht="15.75" customHeight="1" x14ac:dyDescent="0.25">
      <c r="A60" s="252"/>
      <c r="B60" s="112"/>
      <c r="C60" s="252" t="s">
        <v>433</v>
      </c>
      <c r="D60" s="257"/>
      <c r="E60" s="523">
        <v>73</v>
      </c>
      <c r="F60" s="514"/>
      <c r="G60" s="514"/>
      <c r="H60" s="514"/>
      <c r="I60" s="514"/>
      <c r="J60" s="514"/>
      <c r="K60" s="514"/>
      <c r="L60" s="514"/>
      <c r="M60" s="514">
        <v>0</v>
      </c>
      <c r="N60" s="514">
        <v>8</v>
      </c>
      <c r="O60" s="514">
        <v>11</v>
      </c>
      <c r="P60" s="514">
        <v>13</v>
      </c>
      <c r="Q60" s="514">
        <v>8</v>
      </c>
      <c r="R60" s="256">
        <f t="shared" ref="R60:R68" si="30">SUM(F60:Q60)</f>
        <v>40</v>
      </c>
      <c r="S60" s="512">
        <f t="shared" si="23"/>
        <v>8</v>
      </c>
      <c r="T60" s="513">
        <f t="shared" si="24"/>
        <v>4.125</v>
      </c>
      <c r="U60" s="461">
        <f t="shared" si="25"/>
        <v>33</v>
      </c>
      <c r="V60" s="112"/>
      <c r="W60" s="252" t="s">
        <v>434</v>
      </c>
      <c r="X60" s="105"/>
      <c r="Y60" s="105"/>
      <c r="Z60" s="105"/>
      <c r="AA60" s="265">
        <v>44550</v>
      </c>
      <c r="AB60" s="268" t="s">
        <v>482</v>
      </c>
      <c r="AC60" s="265" t="s">
        <v>510</v>
      </c>
      <c r="AD60" s="269">
        <v>275</v>
      </c>
      <c r="AE60" s="265" t="s">
        <v>104</v>
      </c>
      <c r="AF60" s="104"/>
      <c r="AG60" s="104"/>
      <c r="AH60" s="104"/>
      <c r="AI60" s="104"/>
      <c r="AJ60" s="104"/>
      <c r="AK60" s="104"/>
      <c r="AL60" s="104"/>
      <c r="AM60" s="104"/>
      <c r="AN60" s="104"/>
    </row>
    <row r="61" spans="1:40" ht="15.75" customHeight="1" x14ac:dyDescent="0.2">
      <c r="A61" s="249"/>
      <c r="B61" s="165"/>
      <c r="C61" s="249"/>
      <c r="D61" s="249"/>
      <c r="E61" s="509"/>
      <c r="F61" s="509"/>
      <c r="G61" s="509"/>
      <c r="H61" s="509"/>
      <c r="I61" s="509"/>
      <c r="J61" s="509"/>
      <c r="K61" s="509"/>
      <c r="L61" s="509"/>
      <c r="M61" s="509"/>
      <c r="N61" s="509"/>
      <c r="O61" s="509"/>
      <c r="P61" s="509"/>
      <c r="Q61" s="509"/>
      <c r="R61" s="251">
        <f t="shared" si="30"/>
        <v>0</v>
      </c>
      <c r="S61" s="510"/>
      <c r="T61" s="511"/>
      <c r="U61" s="462">
        <f t="shared" si="25"/>
        <v>0</v>
      </c>
      <c r="V61" s="165"/>
      <c r="W61" s="249"/>
      <c r="X61" s="105"/>
      <c r="Y61" s="105"/>
      <c r="Z61" s="105"/>
      <c r="AA61" s="265">
        <v>44550</v>
      </c>
      <c r="AB61" s="268" t="s">
        <v>482</v>
      </c>
      <c r="AC61" s="265" t="s">
        <v>426</v>
      </c>
      <c r="AD61" s="269">
        <v>330</v>
      </c>
      <c r="AE61" s="265" t="s">
        <v>104</v>
      </c>
      <c r="AF61" s="104"/>
      <c r="AG61" s="104"/>
      <c r="AH61" s="104"/>
      <c r="AI61" s="104"/>
      <c r="AJ61" s="104"/>
      <c r="AK61" s="104"/>
      <c r="AL61" s="104"/>
      <c r="AM61" s="104"/>
      <c r="AN61" s="104"/>
    </row>
    <row r="62" spans="1:40" x14ac:dyDescent="0.2">
      <c r="A62" s="252"/>
      <c r="B62" s="112">
        <v>2015</v>
      </c>
      <c r="C62" s="252"/>
      <c r="D62" s="272"/>
      <c r="E62" s="512">
        <f t="shared" ref="E62:P62" si="31">SUM(E9:E9)</f>
        <v>175</v>
      </c>
      <c r="F62" s="512">
        <f t="shared" si="31"/>
        <v>0</v>
      </c>
      <c r="G62" s="512">
        <f t="shared" si="31"/>
        <v>0</v>
      </c>
      <c r="H62" s="512">
        <f t="shared" si="31"/>
        <v>0</v>
      </c>
      <c r="I62" s="512">
        <f t="shared" si="31"/>
        <v>0</v>
      </c>
      <c r="J62" s="512">
        <f t="shared" si="31"/>
        <v>0</v>
      </c>
      <c r="K62" s="512">
        <f>SUM(K9:K9)</f>
        <v>1</v>
      </c>
      <c r="L62" s="512">
        <f>SUM(L9:L9)</f>
        <v>1</v>
      </c>
      <c r="M62" s="512">
        <f>SUM(M9:M9)</f>
        <v>4</v>
      </c>
      <c r="N62" s="512">
        <f t="shared" si="31"/>
        <v>3</v>
      </c>
      <c r="O62" s="512">
        <f>SUM(O9:O9)</f>
        <v>0</v>
      </c>
      <c r="P62" s="512">
        <f t="shared" si="31"/>
        <v>1</v>
      </c>
      <c r="Q62" s="512">
        <f>SUM(Q9:Q9)</f>
        <v>0</v>
      </c>
      <c r="R62" s="256">
        <f t="shared" si="30"/>
        <v>10</v>
      </c>
      <c r="S62" s="512">
        <f>AVERAGE(F62:Q62)</f>
        <v>0.83333333333333337</v>
      </c>
      <c r="T62" s="513">
        <f>U62/S62</f>
        <v>198</v>
      </c>
      <c r="U62" s="461">
        <f t="shared" si="25"/>
        <v>165</v>
      </c>
      <c r="V62" s="112">
        <v>2015</v>
      </c>
      <c r="W62" s="252"/>
      <c r="X62" s="105"/>
      <c r="Y62" s="105"/>
      <c r="Z62" s="105"/>
      <c r="AA62" s="265">
        <v>44550</v>
      </c>
      <c r="AB62" s="268" t="s">
        <v>482</v>
      </c>
      <c r="AC62" s="265" t="s">
        <v>492</v>
      </c>
      <c r="AD62" s="269">
        <v>275</v>
      </c>
      <c r="AE62" s="265" t="s">
        <v>104</v>
      </c>
      <c r="AF62" s="104"/>
      <c r="AG62" s="104"/>
      <c r="AH62" s="104"/>
      <c r="AI62" s="104"/>
      <c r="AJ62" s="104"/>
      <c r="AK62" s="104"/>
      <c r="AL62" s="104"/>
      <c r="AM62" s="104"/>
      <c r="AN62" s="104"/>
    </row>
    <row r="63" spans="1:40" x14ac:dyDescent="0.2">
      <c r="A63" s="252"/>
      <c r="B63" s="112">
        <v>2016</v>
      </c>
      <c r="C63" s="252"/>
      <c r="D63" s="272"/>
      <c r="E63" s="512">
        <f t="shared" ref="E63:P63" si="32">SUM(E11:E11)</f>
        <v>70</v>
      </c>
      <c r="F63" s="512">
        <f t="shared" si="32"/>
        <v>13</v>
      </c>
      <c r="G63" s="512">
        <f t="shared" si="32"/>
        <v>15</v>
      </c>
      <c r="H63" s="512">
        <f t="shared" si="32"/>
        <v>16</v>
      </c>
      <c r="I63" s="512">
        <f t="shared" si="32"/>
        <v>22</v>
      </c>
      <c r="J63" s="512">
        <f t="shared" si="32"/>
        <v>4</v>
      </c>
      <c r="K63" s="512">
        <f t="shared" si="32"/>
        <v>0</v>
      </c>
      <c r="L63" s="512">
        <f t="shared" si="32"/>
        <v>0</v>
      </c>
      <c r="M63" s="512">
        <f>SUM(M11:M11)</f>
        <v>0</v>
      </c>
      <c r="N63" s="512">
        <f t="shared" si="32"/>
        <v>0</v>
      </c>
      <c r="O63" s="512">
        <f>SUM(O11:O11)</f>
        <v>0</v>
      </c>
      <c r="P63" s="512">
        <f t="shared" si="32"/>
        <v>0</v>
      </c>
      <c r="Q63" s="512">
        <f>SUM(Q11:Q11)</f>
        <v>0</v>
      </c>
      <c r="R63" s="256">
        <f t="shared" si="30"/>
        <v>70</v>
      </c>
      <c r="S63" s="512">
        <f t="shared" ref="S63:S68" si="33">AVERAGE(F63:Q63)</f>
        <v>5.833333333333333</v>
      </c>
      <c r="T63" s="513">
        <f t="shared" ref="T63:T67" si="34">U63/S63</f>
        <v>0</v>
      </c>
      <c r="U63" s="461">
        <f t="shared" si="25"/>
        <v>0</v>
      </c>
      <c r="V63" s="112">
        <v>2016</v>
      </c>
      <c r="W63" s="252"/>
      <c r="X63" s="105"/>
      <c r="Y63" s="105"/>
      <c r="Z63" s="105"/>
      <c r="AA63" s="265">
        <v>44550</v>
      </c>
      <c r="AB63" s="268" t="s">
        <v>482</v>
      </c>
      <c r="AC63" s="265" t="s">
        <v>492</v>
      </c>
      <c r="AD63" s="269">
        <v>330</v>
      </c>
      <c r="AE63" s="265" t="s">
        <v>104</v>
      </c>
      <c r="AF63" s="104"/>
      <c r="AG63" s="104"/>
      <c r="AH63" s="104"/>
      <c r="AI63" s="104"/>
      <c r="AJ63" s="104"/>
      <c r="AK63" s="104"/>
      <c r="AL63" s="104"/>
      <c r="AM63" s="104"/>
      <c r="AN63" s="104"/>
    </row>
    <row r="64" spans="1:40" ht="14.25" customHeight="1" x14ac:dyDescent="0.2">
      <c r="A64" s="252"/>
      <c r="B64" s="112">
        <v>2017</v>
      </c>
      <c r="C64" s="252"/>
      <c r="D64" s="272"/>
      <c r="E64" s="512">
        <f t="shared" ref="E64:P64" si="35">SUM(E13:E20)</f>
        <v>1312</v>
      </c>
      <c r="F64" s="512">
        <f t="shared" si="35"/>
        <v>98</v>
      </c>
      <c r="G64" s="512">
        <f t="shared" si="35"/>
        <v>115</v>
      </c>
      <c r="H64" s="512">
        <f t="shared" si="35"/>
        <v>116</v>
      </c>
      <c r="I64" s="512">
        <f>SUM(I13:I20)</f>
        <v>112</v>
      </c>
      <c r="J64" s="512">
        <f t="shared" si="35"/>
        <v>98</v>
      </c>
      <c r="K64" s="512">
        <f>SUM(K13:K20)</f>
        <v>121</v>
      </c>
      <c r="L64" s="512">
        <f>SUM(L13:L20)</f>
        <v>64</v>
      </c>
      <c r="M64" s="512">
        <f>SUM(M13:M20)</f>
        <v>64</v>
      </c>
      <c r="N64" s="512">
        <f t="shared" si="35"/>
        <v>72</v>
      </c>
      <c r="O64" s="512">
        <f>SUM(O13:O20)</f>
        <v>90</v>
      </c>
      <c r="P64" s="512">
        <f t="shared" si="35"/>
        <v>113</v>
      </c>
      <c r="Q64" s="512">
        <f>SUM(Q13:Q20)</f>
        <v>51</v>
      </c>
      <c r="R64" s="256">
        <f t="shared" si="30"/>
        <v>1114</v>
      </c>
      <c r="S64" s="512">
        <f t="shared" si="33"/>
        <v>92.833333333333329</v>
      </c>
      <c r="T64" s="513">
        <f t="shared" si="34"/>
        <v>2.1328545780969481</v>
      </c>
      <c r="U64" s="461">
        <f t="shared" si="25"/>
        <v>198</v>
      </c>
      <c r="V64" s="112">
        <v>2017</v>
      </c>
      <c r="W64" s="252"/>
      <c r="X64" s="105"/>
      <c r="Y64" s="105"/>
      <c r="Z64" s="105"/>
      <c r="AA64" s="265"/>
      <c r="AB64" s="268"/>
      <c r="AC64" s="265"/>
      <c r="AD64" s="269"/>
      <c r="AE64" s="265"/>
      <c r="AF64" s="104"/>
      <c r="AG64" s="104"/>
      <c r="AH64" s="104"/>
      <c r="AI64" s="104"/>
      <c r="AJ64" s="104"/>
      <c r="AK64" s="104"/>
      <c r="AL64" s="104"/>
      <c r="AM64" s="104"/>
      <c r="AN64" s="104"/>
    </row>
    <row r="65" spans="1:40" x14ac:dyDescent="0.2">
      <c r="A65" s="252"/>
      <c r="B65" s="112">
        <v>2018</v>
      </c>
      <c r="C65" s="252"/>
      <c r="D65" s="272"/>
      <c r="E65" s="512">
        <f t="shared" ref="E65:P65" si="36">SUM(E22:E32)</f>
        <v>3929</v>
      </c>
      <c r="F65" s="512">
        <f t="shared" si="36"/>
        <v>81</v>
      </c>
      <c r="G65" s="512">
        <f t="shared" si="36"/>
        <v>110</v>
      </c>
      <c r="H65" s="512">
        <f t="shared" si="36"/>
        <v>82</v>
      </c>
      <c r="I65" s="512">
        <f>SUM(I22:I32)</f>
        <v>100</v>
      </c>
      <c r="J65" s="512">
        <f t="shared" si="36"/>
        <v>196</v>
      </c>
      <c r="K65" s="512">
        <f>SUM(K22:K32)</f>
        <v>167</v>
      </c>
      <c r="L65" s="512">
        <f>SUM(L22:L32)</f>
        <v>155</v>
      </c>
      <c r="M65" s="512">
        <f>SUM(M22:M32)</f>
        <v>197</v>
      </c>
      <c r="N65" s="512">
        <f t="shared" si="36"/>
        <v>165</v>
      </c>
      <c r="O65" s="512">
        <f>SUM(O22:O32)</f>
        <v>183</v>
      </c>
      <c r="P65" s="512">
        <f t="shared" si="36"/>
        <v>281</v>
      </c>
      <c r="Q65" s="512">
        <f>SUM(Q22:Q32)</f>
        <v>216</v>
      </c>
      <c r="R65" s="256">
        <f t="shared" si="30"/>
        <v>1933</v>
      </c>
      <c r="S65" s="512">
        <f t="shared" si="33"/>
        <v>161.08333333333334</v>
      </c>
      <c r="T65" s="513">
        <f t="shared" si="34"/>
        <v>12.391101914123125</v>
      </c>
      <c r="U65" s="461">
        <f t="shared" si="25"/>
        <v>1996</v>
      </c>
      <c r="V65" s="112">
        <v>2018</v>
      </c>
      <c r="W65" s="252"/>
      <c r="X65" s="105"/>
      <c r="Y65" s="105"/>
      <c r="Z65" s="105"/>
      <c r="AA65" s="265"/>
      <c r="AB65" s="268"/>
      <c r="AC65" s="265"/>
      <c r="AD65" s="269"/>
      <c r="AE65" s="265"/>
      <c r="AF65" s="104"/>
      <c r="AG65" s="104"/>
      <c r="AH65" s="104"/>
      <c r="AI65" s="104"/>
      <c r="AJ65" s="104"/>
      <c r="AK65" s="104"/>
      <c r="AL65" s="104"/>
      <c r="AM65" s="104"/>
      <c r="AN65" s="104"/>
    </row>
    <row r="66" spans="1:40" x14ac:dyDescent="0.2">
      <c r="A66" s="252"/>
      <c r="B66" s="112">
        <v>2019</v>
      </c>
      <c r="C66" s="252"/>
      <c r="D66" s="273"/>
      <c r="E66" s="512">
        <f t="shared" ref="E66:P66" si="37">SUM(E34:E46)</f>
        <v>5303</v>
      </c>
      <c r="F66" s="512">
        <f t="shared" si="37"/>
        <v>198</v>
      </c>
      <c r="G66" s="512">
        <f t="shared" si="37"/>
        <v>59</v>
      </c>
      <c r="H66" s="512">
        <f t="shared" si="37"/>
        <v>113</v>
      </c>
      <c r="I66" s="512">
        <f>SUM(I34:I46)</f>
        <v>185</v>
      </c>
      <c r="J66" s="512">
        <f t="shared" si="37"/>
        <v>90</v>
      </c>
      <c r="K66" s="512">
        <f>SUM(K34:K46)</f>
        <v>97</v>
      </c>
      <c r="L66" s="512">
        <f>SUM(L34:L46)</f>
        <v>118</v>
      </c>
      <c r="M66" s="512">
        <f>SUM(M34:M46)</f>
        <v>83</v>
      </c>
      <c r="N66" s="512">
        <f t="shared" si="37"/>
        <v>65</v>
      </c>
      <c r="O66" s="512">
        <f>SUM(O34:O46)</f>
        <v>26</v>
      </c>
      <c r="P66" s="512">
        <f t="shared" si="37"/>
        <v>254</v>
      </c>
      <c r="Q66" s="512">
        <f>SUM(Q34:Q46)</f>
        <v>98</v>
      </c>
      <c r="R66" s="256">
        <f t="shared" si="30"/>
        <v>1386</v>
      </c>
      <c r="S66" s="512">
        <f t="shared" si="33"/>
        <v>115.5</v>
      </c>
      <c r="T66" s="513">
        <f t="shared" si="34"/>
        <v>33.913419913419915</v>
      </c>
      <c r="U66" s="461">
        <f t="shared" si="25"/>
        <v>3917</v>
      </c>
      <c r="V66" s="112">
        <v>2019</v>
      </c>
      <c r="W66" s="252"/>
      <c r="X66" s="105"/>
      <c r="Y66" s="105"/>
      <c r="Z66" s="105"/>
      <c r="AA66" s="265"/>
      <c r="AB66" s="268"/>
      <c r="AC66" s="265"/>
      <c r="AD66" s="269"/>
      <c r="AE66" s="265"/>
      <c r="AF66" s="104"/>
      <c r="AG66" s="104"/>
      <c r="AH66" s="104"/>
      <c r="AI66" s="104"/>
      <c r="AJ66" s="104"/>
      <c r="AK66" s="104"/>
      <c r="AL66" s="104"/>
      <c r="AM66" s="104"/>
      <c r="AN66" s="104"/>
    </row>
    <row r="67" spans="1:40" ht="18" x14ac:dyDescent="0.25">
      <c r="A67" s="252"/>
      <c r="B67" s="112">
        <v>2020</v>
      </c>
      <c r="C67" s="252"/>
      <c r="D67" s="204"/>
      <c r="E67" s="512">
        <f t="shared" ref="E67:P67" si="38">SUM(E48:E60)</f>
        <v>4072</v>
      </c>
      <c r="F67" s="512">
        <f t="shared" si="38"/>
        <v>0</v>
      </c>
      <c r="G67" s="512">
        <f t="shared" si="38"/>
        <v>0</v>
      </c>
      <c r="H67" s="512">
        <f t="shared" si="38"/>
        <v>0</v>
      </c>
      <c r="I67" s="512">
        <f>SUM(I48:I60)</f>
        <v>23</v>
      </c>
      <c r="J67" s="512">
        <f t="shared" si="38"/>
        <v>55</v>
      </c>
      <c r="K67" s="512">
        <f>SUM(K48:K60)</f>
        <v>37</v>
      </c>
      <c r="L67" s="512">
        <f>SUM(L48:L60)</f>
        <v>23</v>
      </c>
      <c r="M67" s="512">
        <f>SUM(M48:M60)</f>
        <v>28</v>
      </c>
      <c r="N67" s="512">
        <f t="shared" si="38"/>
        <v>38</v>
      </c>
      <c r="O67" s="512">
        <f>SUM(O48:O60)</f>
        <v>35</v>
      </c>
      <c r="P67" s="512">
        <f t="shared" si="38"/>
        <v>42</v>
      </c>
      <c r="Q67" s="512">
        <f>SUM(Q48:Q60)</f>
        <v>123</v>
      </c>
      <c r="R67" s="256">
        <f t="shared" si="30"/>
        <v>404</v>
      </c>
      <c r="S67" s="512">
        <f t="shared" si="33"/>
        <v>33.666666666666664</v>
      </c>
      <c r="T67" s="513">
        <f t="shared" si="34"/>
        <v>108.95049504950495</v>
      </c>
      <c r="U67" s="461">
        <f t="shared" si="25"/>
        <v>3668</v>
      </c>
      <c r="V67" s="112">
        <v>2020</v>
      </c>
      <c r="W67" s="252"/>
      <c r="X67" s="105"/>
      <c r="Y67" s="105"/>
      <c r="Z67" s="105"/>
      <c r="AA67" s="274"/>
      <c r="AB67" s="275"/>
      <c r="AC67" s="276"/>
      <c r="AD67" s="269"/>
      <c r="AE67" s="277"/>
      <c r="AF67" s="104"/>
      <c r="AG67" s="104"/>
      <c r="AH67" s="104"/>
      <c r="AI67" s="104"/>
      <c r="AJ67" s="104"/>
      <c r="AK67" s="104"/>
      <c r="AL67" s="104"/>
      <c r="AM67" s="104"/>
      <c r="AN67" s="104"/>
    </row>
    <row r="68" spans="1:40" ht="18" x14ac:dyDescent="0.25">
      <c r="A68" s="278"/>
      <c r="B68" s="202" t="s">
        <v>78</v>
      </c>
      <c r="C68" s="278"/>
      <c r="D68" s="203"/>
      <c r="E68" s="524">
        <f>SUM(E62:E67)</f>
        <v>14861</v>
      </c>
      <c r="F68" s="524">
        <f t="shared" ref="F68:P68" si="39">SUM(F62:F67)</f>
        <v>390</v>
      </c>
      <c r="G68" s="524">
        <f t="shared" si="39"/>
        <v>299</v>
      </c>
      <c r="H68" s="524">
        <f t="shared" si="39"/>
        <v>327</v>
      </c>
      <c r="I68" s="524">
        <f t="shared" si="39"/>
        <v>442</v>
      </c>
      <c r="J68" s="524">
        <f t="shared" si="39"/>
        <v>443</v>
      </c>
      <c r="K68" s="524">
        <f t="shared" si="39"/>
        <v>423</v>
      </c>
      <c r="L68" s="524">
        <f t="shared" si="39"/>
        <v>361</v>
      </c>
      <c r="M68" s="524">
        <f t="shared" si="39"/>
        <v>376</v>
      </c>
      <c r="N68" s="524">
        <f t="shared" si="39"/>
        <v>343</v>
      </c>
      <c r="O68" s="524">
        <f t="shared" si="39"/>
        <v>334</v>
      </c>
      <c r="P68" s="524">
        <f t="shared" si="39"/>
        <v>691</v>
      </c>
      <c r="Q68" s="524">
        <f>SUM(Q62:Q67)</f>
        <v>488</v>
      </c>
      <c r="R68" s="256">
        <f t="shared" si="30"/>
        <v>4917</v>
      </c>
      <c r="S68" s="524">
        <f t="shared" si="33"/>
        <v>409.75</v>
      </c>
      <c r="T68" s="525">
        <f>U68/S68</f>
        <v>24.268456375838927</v>
      </c>
      <c r="U68" s="475">
        <f t="shared" si="25"/>
        <v>9944</v>
      </c>
      <c r="V68" s="202" t="s">
        <v>78</v>
      </c>
      <c r="W68" s="278"/>
      <c r="X68" s="105"/>
      <c r="Y68" s="105"/>
      <c r="Z68" s="105"/>
      <c r="AA68" s="274"/>
      <c r="AB68" s="275"/>
      <c r="AC68" s="276"/>
      <c r="AD68" s="269"/>
      <c r="AE68" s="277"/>
      <c r="AF68" s="104"/>
      <c r="AG68" s="104"/>
      <c r="AH68" s="104"/>
      <c r="AI68" s="104"/>
      <c r="AJ68" s="104"/>
      <c r="AK68" s="104"/>
      <c r="AL68" s="104"/>
      <c r="AM68" s="104"/>
      <c r="AN68" s="104"/>
    </row>
    <row r="69" spans="1:40" s="199" customFormat="1" ht="18" x14ac:dyDescent="0.25">
      <c r="A69" s="249"/>
      <c r="B69" s="117"/>
      <c r="C69" s="117"/>
      <c r="D69" s="249"/>
      <c r="E69" s="119"/>
      <c r="F69" s="119"/>
      <c r="G69" s="119"/>
      <c r="H69" s="119"/>
      <c r="I69" s="119"/>
      <c r="J69" s="119"/>
      <c r="K69" s="120"/>
      <c r="L69" s="120"/>
      <c r="M69" s="120"/>
      <c r="N69" s="120"/>
      <c r="O69" s="120"/>
      <c r="P69" s="120"/>
      <c r="Q69" s="120"/>
      <c r="R69" s="120"/>
      <c r="S69" s="166"/>
      <c r="T69" s="167"/>
      <c r="U69" s="160"/>
      <c r="V69" s="117"/>
      <c r="W69" s="117"/>
      <c r="X69" s="200"/>
      <c r="Y69" s="200"/>
      <c r="Z69" s="200"/>
      <c r="AA69" s="274"/>
      <c r="AB69" s="275"/>
      <c r="AC69" s="276"/>
      <c r="AD69" s="269"/>
      <c r="AE69" s="277"/>
    </row>
    <row r="70" spans="1:40" ht="18" x14ac:dyDescent="0.25">
      <c r="A70" s="104"/>
      <c r="B70" s="104">
        <v>2017</v>
      </c>
      <c r="C70" s="104" t="s">
        <v>351</v>
      </c>
      <c r="D70" s="255">
        <v>168</v>
      </c>
      <c r="E70" s="124" t="s">
        <v>35</v>
      </c>
      <c r="F70" s="124">
        <v>1</v>
      </c>
      <c r="G70" s="124">
        <v>0</v>
      </c>
      <c r="H70" s="124">
        <v>0</v>
      </c>
      <c r="I70" s="124">
        <v>0</v>
      </c>
      <c r="J70" s="124"/>
      <c r="K70" s="105">
        <v>20</v>
      </c>
      <c r="L70" s="105">
        <v>35</v>
      </c>
      <c r="M70" s="105">
        <v>56</v>
      </c>
      <c r="N70" s="105">
        <v>19</v>
      </c>
      <c r="O70" s="105"/>
      <c r="P70" s="105"/>
      <c r="Q70" s="105"/>
      <c r="R70" s="105"/>
      <c r="S70" s="124"/>
      <c r="T70" s="168"/>
      <c r="U70" s="105">
        <v>0</v>
      </c>
      <c r="V70" s="104"/>
      <c r="W70" s="104"/>
      <c r="X70" s="105"/>
      <c r="Y70" s="105"/>
      <c r="Z70" s="105"/>
      <c r="AA70" s="195"/>
      <c r="AB70" s="124"/>
      <c r="AC70" s="196"/>
      <c r="AD70" s="197"/>
      <c r="AE70" s="198"/>
      <c r="AF70" s="104"/>
      <c r="AG70" s="104"/>
      <c r="AH70" s="104"/>
      <c r="AI70" s="104"/>
      <c r="AJ70" s="104"/>
      <c r="AK70" s="104"/>
      <c r="AL70" s="104"/>
      <c r="AM70" s="104"/>
      <c r="AN70" s="104"/>
    </row>
    <row r="71" spans="1:40" x14ac:dyDescent="0.2">
      <c r="A71" s="104"/>
      <c r="B71" s="104">
        <v>2018</v>
      </c>
      <c r="C71" s="104" t="s">
        <v>352</v>
      </c>
      <c r="D71" s="193">
        <v>112</v>
      </c>
      <c r="E71" s="124"/>
      <c r="F71" s="124">
        <v>112</v>
      </c>
      <c r="G71" s="124">
        <v>0</v>
      </c>
      <c r="H71" s="124">
        <v>0</v>
      </c>
      <c r="I71" s="124"/>
      <c r="J71" s="105"/>
      <c r="K71" s="105"/>
      <c r="L71" s="105"/>
      <c r="M71" s="105"/>
      <c r="N71" s="105"/>
      <c r="O71" s="105"/>
      <c r="P71" s="105"/>
      <c r="Q71" s="105"/>
      <c r="R71" s="124"/>
      <c r="S71" s="168"/>
      <c r="T71" s="105"/>
      <c r="U71" s="104">
        <v>0</v>
      </c>
      <c r="V71" s="104"/>
      <c r="W71" s="104"/>
      <c r="X71" s="105"/>
      <c r="Y71" s="105"/>
      <c r="Z71" s="105"/>
      <c r="AA71" s="581" t="s">
        <v>445</v>
      </c>
      <c r="AB71" s="581"/>
      <c r="AC71" s="581"/>
      <c r="AD71" s="581"/>
      <c r="AE71" s="581"/>
      <c r="AF71" s="104"/>
      <c r="AG71" s="104"/>
      <c r="AH71" s="104"/>
      <c r="AI71" s="104"/>
      <c r="AJ71" s="104"/>
      <c r="AK71" s="104"/>
      <c r="AL71" s="104"/>
      <c r="AM71" s="104"/>
      <c r="AN71" s="104"/>
    </row>
    <row r="72" spans="1:40" x14ac:dyDescent="0.2">
      <c r="A72" s="104"/>
      <c r="B72" s="104">
        <v>2018</v>
      </c>
      <c r="C72" s="104" t="s">
        <v>442</v>
      </c>
      <c r="D72" s="124">
        <v>112</v>
      </c>
      <c r="E72" s="124"/>
      <c r="F72" s="124">
        <v>112</v>
      </c>
      <c r="G72" s="124">
        <v>0</v>
      </c>
      <c r="H72" s="124">
        <v>0</v>
      </c>
      <c r="I72" s="124"/>
      <c r="J72" s="105"/>
      <c r="K72" s="105">
        <v>14</v>
      </c>
      <c r="L72" s="105"/>
      <c r="M72" s="105"/>
      <c r="N72" s="105"/>
      <c r="O72" s="105"/>
      <c r="P72" s="105"/>
      <c r="Q72" s="105"/>
      <c r="R72" s="124"/>
      <c r="S72" s="168"/>
      <c r="T72" s="105"/>
      <c r="U72" s="104">
        <v>0</v>
      </c>
      <c r="V72" s="104"/>
      <c r="W72" s="104"/>
      <c r="X72" s="105"/>
      <c r="Y72" s="105"/>
      <c r="Z72" s="105"/>
      <c r="AA72" s="279"/>
      <c r="AB72" s="280" t="s">
        <v>35</v>
      </c>
      <c r="AC72" s="280"/>
      <c r="AD72" s="280"/>
      <c r="AE72" s="280"/>
      <c r="AF72" s="104"/>
      <c r="AG72" s="104"/>
      <c r="AH72" s="104"/>
      <c r="AI72" s="104"/>
      <c r="AJ72" s="104"/>
      <c r="AK72" s="104"/>
      <c r="AL72" s="104"/>
      <c r="AM72" s="104"/>
      <c r="AN72" s="104"/>
    </row>
    <row r="73" spans="1:40" x14ac:dyDescent="0.2">
      <c r="A73" s="104"/>
      <c r="B73" s="104">
        <v>2019</v>
      </c>
      <c r="C73" s="104" t="s">
        <v>442</v>
      </c>
      <c r="D73" s="124">
        <v>14</v>
      </c>
      <c r="E73" s="124"/>
      <c r="F73" s="124"/>
      <c r="G73" s="124"/>
      <c r="H73" s="124"/>
      <c r="I73" s="124"/>
      <c r="J73" s="105"/>
      <c r="K73" s="105"/>
      <c r="L73" s="105"/>
      <c r="M73" s="105">
        <v>14</v>
      </c>
      <c r="N73" s="105"/>
      <c r="O73" s="105"/>
      <c r="P73" s="105"/>
      <c r="Q73" s="105"/>
      <c r="R73" s="124"/>
      <c r="S73" s="168"/>
      <c r="T73" s="105"/>
      <c r="U73" s="104">
        <v>0</v>
      </c>
      <c r="V73" s="104"/>
      <c r="W73" s="104"/>
      <c r="X73" s="105"/>
      <c r="Y73" s="105"/>
      <c r="Z73" s="105"/>
      <c r="AA73" s="239">
        <v>44304</v>
      </c>
      <c r="AB73" s="279">
        <v>2020</v>
      </c>
      <c r="AC73" s="280" t="s">
        <v>511</v>
      </c>
      <c r="AD73" s="280"/>
      <c r="AE73" s="280"/>
      <c r="AF73" s="104"/>
      <c r="AG73" s="104"/>
      <c r="AH73" s="104"/>
      <c r="AI73" s="104"/>
      <c r="AJ73" s="104"/>
      <c r="AK73" s="104"/>
      <c r="AL73" s="104"/>
      <c r="AM73" s="104"/>
      <c r="AN73" s="104"/>
    </row>
    <row r="74" spans="1:40" x14ac:dyDescent="0.2">
      <c r="A74" s="104"/>
      <c r="B74" s="104">
        <v>2019</v>
      </c>
      <c r="C74" s="104" t="s">
        <v>388</v>
      </c>
      <c r="D74" s="105">
        <v>14</v>
      </c>
      <c r="E74" s="124"/>
      <c r="F74" s="124"/>
      <c r="G74" s="124"/>
      <c r="H74" s="124"/>
      <c r="I74" s="124"/>
      <c r="J74" s="105"/>
      <c r="K74" s="105"/>
      <c r="L74" s="105"/>
      <c r="M74" s="105">
        <v>5</v>
      </c>
      <c r="N74" s="105"/>
      <c r="O74" s="105"/>
      <c r="P74" s="105"/>
      <c r="Q74" s="105"/>
      <c r="R74" s="124"/>
      <c r="S74" s="168"/>
      <c r="T74" s="105"/>
      <c r="U74" s="104">
        <v>9</v>
      </c>
      <c r="V74" s="104"/>
      <c r="W74" s="104"/>
      <c r="X74" s="105"/>
      <c r="Y74" s="105"/>
      <c r="Z74" s="105"/>
      <c r="AA74" s="239">
        <v>44331</v>
      </c>
      <c r="AB74" s="279">
        <v>2020</v>
      </c>
      <c r="AC74" s="280" t="s">
        <v>512</v>
      </c>
      <c r="AD74" s="280"/>
      <c r="AE74" s="280"/>
      <c r="AF74" s="104"/>
      <c r="AG74" s="104"/>
      <c r="AH74" s="104"/>
      <c r="AI74" s="104"/>
      <c r="AJ74" s="104"/>
      <c r="AK74" s="104"/>
      <c r="AL74" s="104"/>
      <c r="AM74" s="104"/>
      <c r="AN74" s="104"/>
    </row>
    <row r="75" spans="1:40" x14ac:dyDescent="0.2">
      <c r="A75" s="104"/>
      <c r="B75" s="104">
        <v>2019</v>
      </c>
      <c r="C75" s="104" t="s">
        <v>443</v>
      </c>
      <c r="D75" s="105">
        <v>37</v>
      </c>
      <c r="E75" s="124"/>
      <c r="F75" s="124"/>
      <c r="G75" s="124"/>
      <c r="H75" s="124">
        <v>37</v>
      </c>
      <c r="I75" s="124"/>
      <c r="J75" s="105"/>
      <c r="K75" s="105"/>
      <c r="L75" s="105"/>
      <c r="M75" s="105"/>
      <c r="N75" s="105"/>
      <c r="O75" s="105"/>
      <c r="P75" s="105"/>
      <c r="Q75" s="105"/>
      <c r="R75" s="124"/>
      <c r="S75" s="168"/>
      <c r="T75" s="105"/>
      <c r="U75" s="104">
        <v>0</v>
      </c>
      <c r="V75" s="104"/>
      <c r="W75" s="104"/>
      <c r="X75" s="105"/>
      <c r="Y75" s="105"/>
      <c r="Z75" s="105"/>
      <c r="AA75" s="239">
        <v>44440</v>
      </c>
      <c r="AB75" s="279">
        <v>2021</v>
      </c>
      <c r="AC75" s="280" t="s">
        <v>513</v>
      </c>
      <c r="AD75" s="280"/>
      <c r="AE75" s="280"/>
      <c r="AF75" s="104"/>
      <c r="AG75" s="104"/>
      <c r="AH75" s="104"/>
      <c r="AI75" s="104"/>
      <c r="AJ75" s="104"/>
      <c r="AK75" s="104"/>
      <c r="AL75" s="104"/>
      <c r="AM75" s="104"/>
      <c r="AN75" s="104"/>
    </row>
    <row r="76" spans="1:40" x14ac:dyDescent="0.2">
      <c r="A76" s="104"/>
      <c r="B76" s="104">
        <v>2019</v>
      </c>
      <c r="C76" s="104" t="s">
        <v>444</v>
      </c>
      <c r="D76" s="105">
        <v>50</v>
      </c>
      <c r="E76" s="105"/>
      <c r="F76" s="105"/>
      <c r="G76" s="105"/>
      <c r="H76" s="105"/>
      <c r="I76" s="105"/>
      <c r="J76" s="105"/>
      <c r="K76" s="105"/>
      <c r="L76" s="105"/>
      <c r="M76" s="105"/>
      <c r="N76" s="105"/>
      <c r="O76" s="105"/>
      <c r="P76" s="105"/>
      <c r="Q76" s="105"/>
      <c r="R76" s="105"/>
      <c r="S76" s="105"/>
      <c r="T76" s="105"/>
      <c r="U76" s="104">
        <v>50</v>
      </c>
      <c r="V76" s="104"/>
      <c r="W76" s="104"/>
      <c r="X76" s="105"/>
      <c r="Y76" s="105"/>
      <c r="Z76" s="105"/>
      <c r="AA76" s="239">
        <v>44440</v>
      </c>
      <c r="AB76" s="279">
        <v>2021</v>
      </c>
      <c r="AC76" s="280" t="s">
        <v>514</v>
      </c>
      <c r="AD76" s="280"/>
      <c r="AE76" s="280"/>
      <c r="AF76" s="104"/>
      <c r="AG76" s="104"/>
      <c r="AH76" s="104"/>
      <c r="AI76" s="104"/>
      <c r="AJ76" s="104"/>
      <c r="AK76" s="104"/>
      <c r="AL76" s="104"/>
      <c r="AM76" s="104"/>
      <c r="AN76" s="104"/>
    </row>
    <row r="77" spans="1:40" ht="18" x14ac:dyDescent="0.25">
      <c r="A77" s="249"/>
      <c r="B77" s="117"/>
      <c r="C77" s="117"/>
      <c r="D77" s="192">
        <v>112</v>
      </c>
      <c r="E77" s="119"/>
      <c r="F77" s="119"/>
      <c r="G77" s="119"/>
      <c r="H77" s="119"/>
      <c r="I77" s="119"/>
      <c r="J77" s="120"/>
      <c r="K77" s="120"/>
      <c r="L77" s="120"/>
      <c r="M77" s="120"/>
      <c r="N77" s="120"/>
      <c r="O77" s="120"/>
      <c r="P77" s="120"/>
      <c r="Q77" s="120"/>
      <c r="R77" s="166"/>
      <c r="S77" s="167"/>
      <c r="T77" s="160"/>
      <c r="U77" s="117"/>
      <c r="V77" s="117"/>
      <c r="W77" s="104"/>
      <c r="X77" s="105"/>
      <c r="Y77" s="105"/>
      <c r="Z77" s="105"/>
      <c r="AA77" s="239">
        <v>44440</v>
      </c>
      <c r="AB77" s="279">
        <v>2021</v>
      </c>
      <c r="AC77" s="280" t="s">
        <v>515</v>
      </c>
      <c r="AD77" s="280"/>
      <c r="AE77" s="240"/>
      <c r="AF77" s="104"/>
      <c r="AG77" s="104"/>
      <c r="AH77" s="104"/>
      <c r="AI77" s="104"/>
      <c r="AJ77" s="104"/>
      <c r="AK77" s="104"/>
      <c r="AL77" s="104"/>
      <c r="AM77" s="104"/>
      <c r="AN77" s="104"/>
    </row>
    <row r="78" spans="1:40" x14ac:dyDescent="0.2">
      <c r="A78" s="104"/>
      <c r="B78" s="104"/>
      <c r="C78" s="104"/>
      <c r="D78" s="105"/>
      <c r="E78" s="105"/>
      <c r="F78" s="105"/>
      <c r="G78" s="105"/>
      <c r="H78" s="105"/>
      <c r="I78" s="105"/>
      <c r="J78" s="105"/>
      <c r="K78" s="105"/>
      <c r="L78" s="105"/>
      <c r="M78" s="105"/>
      <c r="N78" s="105"/>
      <c r="O78" s="105"/>
      <c r="P78" s="105"/>
      <c r="Q78" s="105"/>
      <c r="R78" s="124"/>
      <c r="S78" s="168"/>
      <c r="T78" s="124"/>
      <c r="U78" s="104"/>
      <c r="V78" s="104"/>
      <c r="W78" s="104"/>
      <c r="X78" s="105"/>
      <c r="Y78" s="105"/>
      <c r="Z78" s="105"/>
      <c r="AA78" s="239"/>
      <c r="AB78" s="279"/>
      <c r="AC78" s="179"/>
      <c r="AD78" s="280"/>
      <c r="AE78" s="280"/>
      <c r="AF78" s="104"/>
      <c r="AG78" s="104"/>
      <c r="AH78" s="104"/>
      <c r="AI78" s="104"/>
      <c r="AJ78" s="104"/>
      <c r="AK78" s="104"/>
      <c r="AL78" s="104"/>
      <c r="AM78" s="104"/>
      <c r="AN78" s="104"/>
    </row>
    <row r="79" spans="1:40" x14ac:dyDescent="0.2">
      <c r="A79" s="104"/>
      <c r="B79" s="104"/>
      <c r="C79" s="104"/>
      <c r="D79" s="105"/>
      <c r="E79" s="105"/>
      <c r="F79" s="105"/>
      <c r="G79" s="105"/>
      <c r="H79" s="105"/>
      <c r="I79" s="105"/>
      <c r="J79" s="105"/>
      <c r="K79" s="105"/>
      <c r="L79" s="105"/>
      <c r="M79" s="105"/>
      <c r="N79" s="105"/>
      <c r="O79" s="105"/>
      <c r="P79" s="105"/>
      <c r="Q79" s="105"/>
      <c r="R79" s="105"/>
      <c r="S79" s="105"/>
      <c r="T79" s="105"/>
      <c r="U79" s="104"/>
      <c r="V79" s="104"/>
      <c r="W79" s="104"/>
      <c r="X79" s="105"/>
      <c r="Y79" s="105"/>
      <c r="Z79" s="105"/>
      <c r="AA79" s="239"/>
      <c r="AB79" s="279"/>
      <c r="AC79" s="280"/>
      <c r="AD79" s="280"/>
      <c r="AE79" s="280"/>
      <c r="AF79" s="104"/>
      <c r="AG79" s="104"/>
      <c r="AH79" s="104"/>
      <c r="AI79" s="104"/>
      <c r="AJ79" s="104"/>
      <c r="AK79" s="104"/>
      <c r="AL79" s="104"/>
      <c r="AM79" s="104"/>
      <c r="AN79" s="104"/>
    </row>
    <row r="80" spans="1:40" x14ac:dyDescent="0.2">
      <c r="A80" s="104"/>
      <c r="B80" s="104"/>
      <c r="C80" s="104"/>
      <c r="D80" s="105"/>
      <c r="E80" s="105"/>
      <c r="F80" s="105"/>
      <c r="G80" s="105"/>
      <c r="H80" s="105"/>
      <c r="I80" s="105"/>
      <c r="J80" s="105"/>
      <c r="K80" s="105"/>
      <c r="L80" s="105"/>
      <c r="M80" s="105"/>
      <c r="N80" s="105"/>
      <c r="O80" s="105"/>
      <c r="P80" s="105"/>
      <c r="Q80" s="105"/>
      <c r="R80" s="105"/>
      <c r="S80" s="105"/>
      <c r="T80" s="105"/>
      <c r="U80" s="104"/>
      <c r="V80" s="104"/>
      <c r="W80" s="104"/>
      <c r="X80" s="105"/>
      <c r="Y80" s="105"/>
      <c r="Z80" s="105"/>
      <c r="AA80" s="239"/>
      <c r="AB80" s="279"/>
      <c r="AC80" s="280"/>
      <c r="AD80" s="280"/>
      <c r="AE80" s="280"/>
      <c r="AF80" s="104"/>
      <c r="AG80" s="104"/>
      <c r="AH80" s="104"/>
      <c r="AI80" s="104"/>
      <c r="AJ80" s="104"/>
      <c r="AK80" s="104"/>
      <c r="AL80" s="104"/>
      <c r="AM80" s="104"/>
      <c r="AN80" s="104"/>
    </row>
    <row r="81" spans="1:39" ht="15.75" x14ac:dyDescent="0.25">
      <c r="A81" s="104"/>
      <c r="B81" s="126" t="s">
        <v>365</v>
      </c>
      <c r="C81" s="104"/>
      <c r="D81" s="105"/>
      <c r="E81" s="105"/>
      <c r="F81" s="105"/>
      <c r="G81" s="105"/>
      <c r="H81" s="105"/>
      <c r="I81" s="105"/>
      <c r="J81" s="105"/>
      <c r="K81" s="105"/>
      <c r="L81" s="105"/>
      <c r="M81" s="105"/>
      <c r="N81" s="105"/>
      <c r="O81" s="105"/>
      <c r="P81" s="105"/>
      <c r="Q81" s="105"/>
      <c r="R81" s="105"/>
      <c r="S81" s="105"/>
      <c r="T81" s="105"/>
      <c r="U81" s="104"/>
      <c r="V81" s="104"/>
      <c r="W81" s="104"/>
      <c r="X81" s="105"/>
      <c r="Y81" s="105"/>
      <c r="Z81" s="105"/>
      <c r="AA81" s="239"/>
      <c r="AB81" s="279"/>
      <c r="AC81" s="280"/>
      <c r="AD81" s="280"/>
      <c r="AE81" s="280"/>
      <c r="AF81" s="104"/>
      <c r="AG81" s="104"/>
      <c r="AH81" s="104"/>
      <c r="AI81" s="104"/>
      <c r="AJ81" s="104"/>
      <c r="AK81" s="104"/>
      <c r="AL81" s="104"/>
      <c r="AM81" s="104"/>
    </row>
    <row r="82" spans="1:39" ht="15.75" x14ac:dyDescent="0.25">
      <c r="A82" s="104"/>
      <c r="B82" s="126" t="s">
        <v>367</v>
      </c>
      <c r="C82" s="1" t="s">
        <v>368</v>
      </c>
      <c r="D82" s="1" t="s">
        <v>446</v>
      </c>
      <c r="E82" s="188" t="s">
        <v>4</v>
      </c>
      <c r="F82" s="189" t="s">
        <v>5</v>
      </c>
      <c r="G82" s="189" t="s">
        <v>6</v>
      </c>
      <c r="H82" s="189" t="s">
        <v>7</v>
      </c>
      <c r="I82" s="189" t="s">
        <v>8</v>
      </c>
      <c r="J82" s="189" t="s">
        <v>9</v>
      </c>
      <c r="K82" s="189" t="s">
        <v>10</v>
      </c>
      <c r="L82" s="189" t="s">
        <v>11</v>
      </c>
      <c r="M82" s="189" t="s">
        <v>12</v>
      </c>
      <c r="N82" s="189" t="s">
        <v>13</v>
      </c>
      <c r="O82" s="189" t="s">
        <v>14</v>
      </c>
      <c r="P82" s="189" t="s">
        <v>15</v>
      </c>
      <c r="Q82" s="105"/>
      <c r="R82" s="105"/>
      <c r="S82" s="105"/>
      <c r="T82" s="105"/>
      <c r="U82" s="104"/>
      <c r="V82" s="104"/>
      <c r="W82" s="104"/>
      <c r="X82" s="105"/>
      <c r="Y82" s="105"/>
      <c r="Z82" s="105"/>
      <c r="AA82" s="239"/>
      <c r="AB82" s="279"/>
      <c r="AC82" s="280"/>
      <c r="AD82" s="280"/>
      <c r="AE82" s="280"/>
      <c r="AF82" s="104"/>
      <c r="AG82" s="104"/>
      <c r="AH82" s="104"/>
      <c r="AI82" s="104"/>
      <c r="AJ82" s="104"/>
      <c r="AK82" s="104"/>
      <c r="AL82" s="104"/>
      <c r="AM82" s="104"/>
    </row>
    <row r="83" spans="1:39" x14ac:dyDescent="0.2">
      <c r="A83" s="104"/>
      <c r="B83" s="522">
        <v>2020</v>
      </c>
      <c r="C83" s="522" t="s">
        <v>31</v>
      </c>
      <c r="D83" s="514">
        <v>2694</v>
      </c>
      <c r="E83" s="514">
        <v>2600</v>
      </c>
      <c r="F83" s="514">
        <v>2600</v>
      </c>
      <c r="G83" s="514"/>
      <c r="H83" s="241"/>
      <c r="I83" s="514"/>
      <c r="J83" s="514"/>
      <c r="K83" s="514"/>
      <c r="L83" s="514"/>
      <c r="M83" s="514"/>
      <c r="N83" s="514"/>
      <c r="O83" s="514"/>
      <c r="P83" s="514"/>
      <c r="Q83" s="105"/>
      <c r="R83" s="105"/>
      <c r="S83" s="105"/>
      <c r="T83" s="105"/>
      <c r="U83" s="104"/>
      <c r="V83" s="104"/>
      <c r="W83" s="104"/>
      <c r="X83" s="105"/>
      <c r="Y83" s="105"/>
      <c r="Z83" s="105"/>
      <c r="AA83" s="239"/>
      <c r="AB83" s="279"/>
      <c r="AC83" s="280"/>
      <c r="AD83" s="280"/>
      <c r="AE83" s="280"/>
      <c r="AF83" s="104"/>
      <c r="AG83" s="104"/>
      <c r="AH83" s="104"/>
      <c r="AI83" s="104"/>
      <c r="AJ83" s="104"/>
      <c r="AK83" s="104"/>
      <c r="AL83" s="104"/>
      <c r="AM83" s="104"/>
    </row>
    <row r="84" spans="1:39" x14ac:dyDescent="0.2">
      <c r="A84" s="104"/>
      <c r="B84" s="522"/>
      <c r="C84" s="522" t="s">
        <v>455</v>
      </c>
      <c r="D84" s="514">
        <v>550</v>
      </c>
      <c r="E84" s="514">
        <v>550</v>
      </c>
      <c r="F84" s="514">
        <v>550</v>
      </c>
      <c r="G84" s="514"/>
      <c r="H84" s="241"/>
      <c r="I84" s="514"/>
      <c r="J84" s="514"/>
      <c r="K84" s="514"/>
      <c r="L84" s="514"/>
      <c r="M84" s="514"/>
      <c r="N84" s="514"/>
      <c r="O84" s="514"/>
      <c r="P84" s="514"/>
      <c r="Q84" s="105"/>
      <c r="R84" s="105"/>
      <c r="S84" s="105"/>
      <c r="T84" s="105"/>
      <c r="U84" s="104"/>
      <c r="V84" s="104"/>
      <c r="W84" s="104"/>
      <c r="X84" s="105"/>
      <c r="Y84" s="105"/>
      <c r="Z84" s="105"/>
      <c r="AA84" s="239"/>
      <c r="AB84" s="279"/>
      <c r="AC84" s="280"/>
      <c r="AD84" s="280"/>
      <c r="AE84" s="280"/>
      <c r="AF84" s="104"/>
      <c r="AG84" s="104"/>
      <c r="AH84" s="104"/>
      <c r="AI84" s="104"/>
      <c r="AJ84" s="104"/>
      <c r="AK84" s="104"/>
      <c r="AL84" s="104"/>
      <c r="AM84" s="104"/>
    </row>
    <row r="85" spans="1:39" x14ac:dyDescent="0.2">
      <c r="A85" s="104"/>
      <c r="B85" s="522"/>
      <c r="C85" s="522" t="s">
        <v>46</v>
      </c>
      <c r="D85" s="514">
        <v>1350</v>
      </c>
      <c r="E85" s="514">
        <v>1325</v>
      </c>
      <c r="F85" s="514">
        <v>1325</v>
      </c>
      <c r="G85" s="514"/>
      <c r="H85" s="241"/>
      <c r="I85" s="514"/>
      <c r="J85" s="514"/>
      <c r="K85" s="514"/>
      <c r="L85" s="514"/>
      <c r="M85" s="514"/>
      <c r="N85" s="514"/>
      <c r="O85" s="514"/>
      <c r="P85" s="514"/>
      <c r="Q85" s="105"/>
      <c r="R85" s="105"/>
      <c r="S85" s="105"/>
      <c r="T85" s="105"/>
      <c r="U85" s="104"/>
      <c r="V85" s="104"/>
      <c r="W85" s="104"/>
      <c r="X85" s="105"/>
      <c r="Y85" s="105"/>
      <c r="Z85" s="105"/>
      <c r="AA85" s="239"/>
      <c r="AB85" s="279"/>
      <c r="AC85" s="280"/>
      <c r="AD85" s="280"/>
      <c r="AE85" s="280"/>
      <c r="AF85" s="104"/>
      <c r="AG85" s="104"/>
      <c r="AH85" s="104"/>
      <c r="AI85" s="104"/>
      <c r="AJ85" s="104"/>
      <c r="AK85" s="104"/>
      <c r="AL85" s="104"/>
      <c r="AM85" s="104"/>
    </row>
    <row r="86" spans="1:39" x14ac:dyDescent="0.2">
      <c r="A86" s="104"/>
      <c r="B86" s="522"/>
      <c r="C86" s="522" t="s">
        <v>30</v>
      </c>
      <c r="D86" s="514">
        <v>550</v>
      </c>
      <c r="E86" s="514">
        <v>550</v>
      </c>
      <c r="F86" s="514">
        <v>550</v>
      </c>
      <c r="G86" s="514"/>
      <c r="H86" s="241"/>
      <c r="I86" s="514"/>
      <c r="J86" s="514"/>
      <c r="K86" s="514"/>
      <c r="L86" s="514"/>
      <c r="M86" s="514"/>
      <c r="N86" s="514"/>
      <c r="O86" s="514"/>
      <c r="P86" s="514"/>
      <c r="Q86" s="105"/>
      <c r="R86" s="105"/>
      <c r="S86" s="105"/>
      <c r="T86" s="105"/>
      <c r="U86" s="104"/>
      <c r="V86" s="104"/>
      <c r="W86" s="104"/>
      <c r="X86" s="105"/>
      <c r="Y86" s="105"/>
      <c r="Z86" s="105"/>
      <c r="AA86" s="105"/>
      <c r="AB86" s="104"/>
      <c r="AC86" s="104"/>
      <c r="AD86" s="104"/>
      <c r="AE86" s="104"/>
      <c r="AF86" s="104"/>
      <c r="AG86" s="104"/>
      <c r="AH86" s="104"/>
      <c r="AI86" s="104"/>
      <c r="AJ86" s="104"/>
      <c r="AK86" s="104"/>
      <c r="AL86" s="104"/>
      <c r="AM86" s="104"/>
    </row>
    <row r="87" spans="1:39" x14ac:dyDescent="0.2">
      <c r="A87" s="104"/>
      <c r="B87" s="522"/>
      <c r="C87" s="522" t="s">
        <v>454</v>
      </c>
      <c r="D87" s="514">
        <v>275</v>
      </c>
      <c r="E87" s="514">
        <v>275</v>
      </c>
      <c r="F87" s="514">
        <v>275</v>
      </c>
      <c r="G87" s="514"/>
      <c r="H87" s="241"/>
      <c r="I87" s="514"/>
      <c r="J87" s="514"/>
      <c r="K87" s="514"/>
      <c r="L87" s="514"/>
      <c r="M87" s="514"/>
      <c r="N87" s="514"/>
      <c r="O87" s="514"/>
      <c r="P87" s="514"/>
      <c r="Q87" s="105"/>
      <c r="R87" s="105"/>
      <c r="S87" s="105"/>
      <c r="T87" s="105"/>
      <c r="U87" s="104"/>
      <c r="V87" s="104"/>
      <c r="W87" s="104"/>
      <c r="X87" s="105"/>
      <c r="Y87" s="105"/>
      <c r="Z87" s="105"/>
      <c r="AA87" s="105"/>
      <c r="AB87" s="104"/>
      <c r="AC87" s="104"/>
      <c r="AD87" s="104"/>
      <c r="AE87" s="104"/>
      <c r="AF87" s="104"/>
      <c r="AG87" s="104"/>
      <c r="AH87" s="104"/>
      <c r="AI87" s="104"/>
      <c r="AJ87" s="104"/>
      <c r="AK87" s="104"/>
      <c r="AL87" s="104"/>
      <c r="AM87" s="104"/>
    </row>
    <row r="88" spans="1:39" x14ac:dyDescent="0.2">
      <c r="A88" s="104"/>
      <c r="B88" s="522"/>
      <c r="C88" s="522" t="s">
        <v>24</v>
      </c>
      <c r="D88" s="514">
        <v>1540</v>
      </c>
      <c r="E88" s="514">
        <v>1540</v>
      </c>
      <c r="F88" s="514">
        <v>1540</v>
      </c>
      <c r="G88" s="514"/>
      <c r="H88" s="241"/>
      <c r="I88" s="514"/>
      <c r="J88" s="514"/>
      <c r="K88" s="514"/>
      <c r="L88" s="514"/>
      <c r="M88" s="514"/>
      <c r="N88" s="514"/>
      <c r="O88" s="514"/>
      <c r="P88" s="514"/>
      <c r="Q88" s="105"/>
      <c r="R88" s="105"/>
      <c r="S88" s="105"/>
      <c r="T88" s="105"/>
      <c r="U88" s="104"/>
      <c r="V88" s="104"/>
      <c r="W88" s="104"/>
      <c r="X88" s="105"/>
      <c r="Y88" s="105"/>
      <c r="Z88" s="105"/>
      <c r="AA88" s="105"/>
      <c r="AB88" s="104"/>
      <c r="AC88" s="104"/>
      <c r="AD88" s="104"/>
      <c r="AE88" s="104"/>
      <c r="AF88" s="104"/>
      <c r="AG88" s="104"/>
      <c r="AH88" s="104"/>
      <c r="AI88" s="104"/>
      <c r="AJ88" s="104"/>
      <c r="AK88" s="104"/>
      <c r="AL88" s="104"/>
      <c r="AM88" s="104"/>
    </row>
    <row r="89" spans="1:39" x14ac:dyDescent="0.2">
      <c r="A89" s="104"/>
      <c r="B89" s="522"/>
      <c r="C89" s="522" t="s">
        <v>456</v>
      </c>
      <c r="D89" s="514">
        <v>275</v>
      </c>
      <c r="E89" s="514">
        <v>275</v>
      </c>
      <c r="F89" s="514">
        <v>275</v>
      </c>
      <c r="G89" s="514"/>
      <c r="H89" s="241"/>
      <c r="I89" s="514"/>
      <c r="J89" s="514"/>
      <c r="K89" s="514"/>
      <c r="L89" s="514"/>
      <c r="M89" s="514"/>
      <c r="N89" s="514"/>
      <c r="O89" s="514"/>
      <c r="P89" s="514"/>
      <c r="Q89" s="105"/>
      <c r="R89" s="105"/>
      <c r="S89" s="105"/>
      <c r="T89" s="105"/>
      <c r="U89" s="104"/>
      <c r="V89" s="104"/>
      <c r="W89" s="104"/>
      <c r="X89" s="105"/>
      <c r="Y89" s="105"/>
      <c r="Z89" s="105"/>
      <c r="AA89" s="105"/>
      <c r="AB89" s="104"/>
      <c r="AC89" s="104"/>
      <c r="AD89" s="104"/>
      <c r="AE89" s="104"/>
      <c r="AF89" s="104"/>
      <c r="AG89" s="104"/>
      <c r="AH89" s="104"/>
      <c r="AI89" s="104"/>
      <c r="AJ89" s="104"/>
      <c r="AK89" s="104"/>
      <c r="AL89" s="104"/>
      <c r="AM89" s="104"/>
    </row>
    <row r="90" spans="1:39" x14ac:dyDescent="0.2">
      <c r="A90" s="104"/>
      <c r="B90" s="522"/>
      <c r="C90" s="522" t="s">
        <v>29</v>
      </c>
      <c r="D90" s="514">
        <v>280</v>
      </c>
      <c r="E90" s="514">
        <v>280</v>
      </c>
      <c r="F90" s="514">
        <v>280</v>
      </c>
      <c r="G90" s="514"/>
      <c r="H90" s="241"/>
      <c r="I90" s="514"/>
      <c r="J90" s="514"/>
      <c r="K90" s="514"/>
      <c r="L90" s="514"/>
      <c r="M90" s="514"/>
      <c r="N90" s="514"/>
      <c r="O90" s="514"/>
      <c r="P90" s="514"/>
      <c r="Q90" s="105"/>
      <c r="R90" s="105"/>
      <c r="S90" s="105"/>
      <c r="T90" s="105"/>
      <c r="U90" s="104"/>
      <c r="V90" s="104"/>
      <c r="W90" s="104"/>
      <c r="X90" s="105"/>
      <c r="Y90" s="105"/>
      <c r="Z90" s="105"/>
      <c r="AA90" s="105"/>
      <c r="AB90" s="104"/>
      <c r="AC90" s="104"/>
      <c r="AD90" s="104"/>
      <c r="AE90" s="104"/>
      <c r="AF90" s="104"/>
      <c r="AG90" s="104"/>
      <c r="AH90" s="104"/>
      <c r="AI90" s="104"/>
      <c r="AJ90" s="104"/>
      <c r="AK90" s="104"/>
      <c r="AL90" s="104"/>
      <c r="AM90" s="104"/>
    </row>
    <row r="91" spans="1:39" x14ac:dyDescent="0.2">
      <c r="A91" s="104"/>
      <c r="B91" s="522"/>
      <c r="C91" s="522" t="s">
        <v>23</v>
      </c>
      <c r="D91" s="514">
        <v>2220</v>
      </c>
      <c r="E91" s="514">
        <v>1890</v>
      </c>
      <c r="F91" s="514">
        <v>1890</v>
      </c>
      <c r="G91" s="514"/>
      <c r="H91" s="241"/>
      <c r="I91" s="514"/>
      <c r="J91" s="514"/>
      <c r="K91" s="514"/>
      <c r="L91" s="514"/>
      <c r="M91" s="514"/>
      <c r="N91" s="514"/>
      <c r="O91" s="514"/>
      <c r="P91" s="514"/>
      <c r="Q91" s="105"/>
      <c r="R91" s="105"/>
      <c r="S91" s="105"/>
      <c r="T91" s="105"/>
      <c r="U91" s="104"/>
      <c r="V91" s="104"/>
      <c r="W91" s="104"/>
      <c r="X91" s="105"/>
      <c r="Y91" s="105"/>
      <c r="Z91" s="105"/>
      <c r="AA91" s="105"/>
      <c r="AB91" s="104"/>
      <c r="AC91" s="104"/>
      <c r="AD91" s="104"/>
      <c r="AE91" s="104"/>
      <c r="AF91" s="104"/>
      <c r="AG91" s="104"/>
      <c r="AH91" s="104"/>
      <c r="AI91" s="104"/>
      <c r="AJ91" s="104"/>
      <c r="AK91" s="104"/>
      <c r="AL91" s="104"/>
      <c r="AM91" s="104"/>
    </row>
    <row r="92" spans="1:39" x14ac:dyDescent="0.2">
      <c r="A92" s="104"/>
      <c r="B92" s="522"/>
      <c r="C92" s="522" t="s">
        <v>70</v>
      </c>
      <c r="D92" s="514">
        <v>2860</v>
      </c>
      <c r="E92" s="514">
        <v>2520</v>
      </c>
      <c r="F92" s="514">
        <v>2520</v>
      </c>
      <c r="G92" s="514"/>
      <c r="H92" s="241"/>
      <c r="I92" s="514"/>
      <c r="J92" s="514"/>
      <c r="K92" s="514"/>
      <c r="L92" s="514"/>
      <c r="M92" s="514"/>
      <c r="N92" s="514"/>
      <c r="O92" s="514"/>
      <c r="P92" s="514"/>
      <c r="Q92" s="105"/>
      <c r="R92" s="105"/>
      <c r="S92" s="105"/>
      <c r="T92" s="105"/>
      <c r="U92" s="104"/>
      <c r="V92" s="104"/>
      <c r="W92" s="104"/>
      <c r="X92" s="105"/>
      <c r="Y92" s="105"/>
      <c r="Z92" s="105"/>
      <c r="AA92" s="105"/>
      <c r="AB92" s="104"/>
      <c r="AC92" s="104"/>
      <c r="AD92" s="104"/>
      <c r="AE92" s="104"/>
      <c r="AF92" s="104"/>
      <c r="AG92" s="104"/>
      <c r="AH92" s="104"/>
      <c r="AI92" s="104"/>
      <c r="AJ92" s="104"/>
      <c r="AK92" s="104"/>
      <c r="AL92" s="104"/>
      <c r="AM92" s="104"/>
    </row>
    <row r="93" spans="1:39" x14ac:dyDescent="0.2">
      <c r="A93" s="104"/>
      <c r="B93" s="522"/>
      <c r="C93" s="522" t="s">
        <v>131</v>
      </c>
      <c r="D93" s="514">
        <v>0</v>
      </c>
      <c r="E93" s="514">
        <v>0</v>
      </c>
      <c r="F93" s="514">
        <v>0</v>
      </c>
      <c r="G93" s="514"/>
      <c r="H93" s="241"/>
      <c r="I93" s="514"/>
      <c r="J93" s="514"/>
      <c r="K93" s="514"/>
      <c r="L93" s="514"/>
      <c r="M93" s="514"/>
      <c r="N93" s="514"/>
      <c r="O93" s="514"/>
      <c r="P93" s="514"/>
      <c r="Q93" s="105"/>
      <c r="R93" s="105"/>
      <c r="S93" s="105"/>
      <c r="T93" s="105"/>
      <c r="U93" s="104"/>
      <c r="V93" s="104"/>
      <c r="W93" s="104"/>
      <c r="X93" s="105"/>
      <c r="Y93" s="105"/>
      <c r="Z93" s="105"/>
      <c r="AA93" s="105"/>
      <c r="AB93" s="104"/>
      <c r="AC93" s="104"/>
      <c r="AD93" s="104"/>
      <c r="AE93" s="104"/>
      <c r="AF93" s="104"/>
      <c r="AG93" s="104"/>
      <c r="AH93" s="104"/>
      <c r="AI93" s="104"/>
      <c r="AJ93" s="104"/>
      <c r="AK93" s="104"/>
      <c r="AL93" s="104"/>
      <c r="AM93" s="104"/>
    </row>
    <row r="94" spans="1:39" x14ac:dyDescent="0.2">
      <c r="A94" s="104"/>
      <c r="B94" s="522"/>
      <c r="C94" s="522" t="s">
        <v>457</v>
      </c>
      <c r="D94" s="514">
        <v>0</v>
      </c>
      <c r="E94" s="514">
        <v>0</v>
      </c>
      <c r="F94" s="514">
        <v>0</v>
      </c>
      <c r="G94" s="514"/>
      <c r="H94" s="241"/>
      <c r="I94" s="514"/>
      <c r="J94" s="514"/>
      <c r="K94" s="514"/>
      <c r="L94" s="514"/>
      <c r="M94" s="514"/>
      <c r="N94" s="514"/>
      <c r="O94" s="514"/>
      <c r="P94" s="514"/>
      <c r="Q94" s="105"/>
      <c r="R94" s="105"/>
      <c r="S94" s="105"/>
      <c r="T94" s="105"/>
      <c r="U94" s="104"/>
      <c r="V94" s="104"/>
      <c r="W94" s="104"/>
      <c r="X94" s="105"/>
      <c r="Y94" s="105"/>
      <c r="Z94" s="105"/>
      <c r="AA94" s="105"/>
      <c r="AB94" s="104"/>
      <c r="AC94" s="104"/>
      <c r="AD94" s="104"/>
      <c r="AE94" s="104"/>
      <c r="AF94" s="104"/>
      <c r="AG94" s="104"/>
      <c r="AH94" s="104"/>
      <c r="AI94" s="104"/>
      <c r="AJ94" s="104"/>
      <c r="AK94" s="104"/>
      <c r="AL94" s="104"/>
      <c r="AM94" s="104"/>
    </row>
    <row r="95" spans="1:39" x14ac:dyDescent="0.2">
      <c r="A95" s="104"/>
      <c r="B95" s="522"/>
      <c r="C95" s="522" t="s">
        <v>33</v>
      </c>
      <c r="D95" s="514">
        <v>275</v>
      </c>
      <c r="E95" s="514">
        <v>275</v>
      </c>
      <c r="F95" s="514">
        <v>275</v>
      </c>
      <c r="G95" s="514"/>
      <c r="H95" s="241"/>
      <c r="I95" s="514"/>
      <c r="J95" s="514"/>
      <c r="K95" s="514"/>
      <c r="L95" s="514"/>
      <c r="M95" s="514"/>
      <c r="N95" s="514"/>
      <c r="O95" s="514"/>
      <c r="P95" s="514"/>
      <c r="Q95" s="105"/>
      <c r="R95" s="105"/>
      <c r="S95" s="105"/>
      <c r="T95" s="105"/>
      <c r="U95" s="104"/>
      <c r="V95" s="104"/>
      <c r="W95" s="104"/>
      <c r="X95" s="105"/>
      <c r="Y95" s="105"/>
      <c r="Z95" s="105"/>
      <c r="AA95" s="105"/>
      <c r="AB95" s="104"/>
      <c r="AC95" s="104"/>
      <c r="AD95" s="104"/>
      <c r="AE95" s="104"/>
      <c r="AF95" s="104"/>
      <c r="AG95" s="104"/>
      <c r="AH95" s="104"/>
      <c r="AI95" s="104"/>
      <c r="AJ95" s="104"/>
      <c r="AK95" s="104"/>
      <c r="AL95" s="104"/>
      <c r="AM95" s="104"/>
    </row>
    <row r="96" spans="1:39" x14ac:dyDescent="0.2">
      <c r="A96" s="104"/>
      <c r="B96" s="522"/>
      <c r="C96" s="522" t="s">
        <v>458</v>
      </c>
      <c r="D96" s="514">
        <v>550</v>
      </c>
      <c r="E96" s="514">
        <v>550</v>
      </c>
      <c r="F96" s="514">
        <v>550</v>
      </c>
      <c r="G96" s="514"/>
      <c r="H96" s="241"/>
      <c r="I96" s="514"/>
      <c r="J96" s="514"/>
      <c r="K96" s="514"/>
      <c r="L96" s="514"/>
      <c r="M96" s="514"/>
      <c r="N96" s="514"/>
      <c r="O96" s="514"/>
      <c r="P96" s="514"/>
      <c r="Q96" s="105"/>
      <c r="R96" s="105"/>
      <c r="S96" s="105"/>
      <c r="T96" s="105"/>
      <c r="U96" s="104"/>
      <c r="V96" s="104"/>
      <c r="W96" s="104"/>
      <c r="X96" s="105"/>
      <c r="Y96" s="105"/>
      <c r="Z96" s="105"/>
      <c r="AA96" s="105"/>
      <c r="AB96" s="104"/>
      <c r="AC96" s="104"/>
      <c r="AD96" s="104"/>
      <c r="AE96" s="104"/>
      <c r="AF96" s="104"/>
      <c r="AG96" s="104"/>
      <c r="AH96" s="104"/>
      <c r="AI96" s="104"/>
      <c r="AJ96" s="104"/>
      <c r="AK96" s="104"/>
      <c r="AL96" s="104"/>
      <c r="AM96" s="104"/>
    </row>
    <row r="97" spans="1:39" x14ac:dyDescent="0.2">
      <c r="A97" s="104"/>
      <c r="B97" s="522"/>
      <c r="C97" s="522" t="s">
        <v>26</v>
      </c>
      <c r="D97" s="514">
        <v>1695</v>
      </c>
      <c r="E97" s="514">
        <v>1680</v>
      </c>
      <c r="F97" s="514">
        <v>1610</v>
      </c>
      <c r="G97" s="514"/>
      <c r="H97" s="241"/>
      <c r="I97" s="514"/>
      <c r="J97" s="514"/>
      <c r="K97" s="514"/>
      <c r="L97" s="514"/>
      <c r="M97" s="514"/>
      <c r="N97" s="514"/>
      <c r="O97" s="514"/>
      <c r="P97" s="514"/>
      <c r="Q97" s="105"/>
      <c r="R97" s="105"/>
      <c r="S97" s="105"/>
      <c r="T97" s="105"/>
      <c r="U97" s="104"/>
      <c r="V97" s="104"/>
      <c r="W97" s="104"/>
      <c r="X97" s="105"/>
      <c r="Y97" s="105"/>
      <c r="Z97" s="105"/>
      <c r="AA97" s="105"/>
      <c r="AB97" s="104"/>
      <c r="AC97" s="104"/>
      <c r="AD97" s="104"/>
      <c r="AE97" s="104"/>
      <c r="AF97" s="104"/>
      <c r="AG97" s="104"/>
      <c r="AH97" s="104"/>
      <c r="AI97" s="104"/>
      <c r="AJ97" s="104"/>
      <c r="AK97" s="104"/>
      <c r="AL97" s="104"/>
      <c r="AM97" s="104"/>
    </row>
    <row r="98" spans="1:39" x14ac:dyDescent="0.2">
      <c r="A98" s="104"/>
      <c r="B98" s="522"/>
      <c r="C98" s="522" t="s">
        <v>205</v>
      </c>
      <c r="D98" s="514">
        <v>275</v>
      </c>
      <c r="E98" s="514">
        <v>275</v>
      </c>
      <c r="F98" s="514">
        <v>275</v>
      </c>
      <c r="G98" s="514"/>
      <c r="H98" s="241"/>
      <c r="I98" s="514"/>
      <c r="J98" s="514"/>
      <c r="K98" s="514"/>
      <c r="L98" s="514"/>
      <c r="M98" s="514"/>
      <c r="N98" s="514"/>
      <c r="O98" s="514"/>
      <c r="P98" s="514"/>
      <c r="Q98" s="105"/>
      <c r="R98" s="105"/>
      <c r="S98" s="105"/>
      <c r="T98" s="105"/>
      <c r="U98" s="104"/>
      <c r="V98" s="104"/>
      <c r="W98" s="104"/>
      <c r="X98" s="105"/>
      <c r="Y98" s="105"/>
      <c r="Z98" s="105"/>
      <c r="AA98" s="105"/>
      <c r="AB98" s="104"/>
      <c r="AC98" s="104"/>
      <c r="AD98" s="104"/>
      <c r="AE98" s="104"/>
      <c r="AF98" s="104"/>
      <c r="AG98" s="104"/>
      <c r="AH98" s="104"/>
      <c r="AI98" s="104"/>
      <c r="AJ98" s="104"/>
      <c r="AK98" s="104"/>
      <c r="AL98" s="104"/>
      <c r="AM98" s="104"/>
    </row>
    <row r="99" spans="1:39" x14ac:dyDescent="0.2">
      <c r="A99" s="104"/>
      <c r="B99" s="252"/>
      <c r="C99" s="252"/>
      <c r="D99" s="255"/>
      <c r="E99" s="255"/>
      <c r="F99" s="255"/>
      <c r="G99" s="255"/>
      <c r="H99" s="494"/>
      <c r="I99" s="255"/>
      <c r="J99" s="255"/>
      <c r="K99" s="255"/>
      <c r="L99" s="255"/>
      <c r="M99" s="255"/>
      <c r="N99" s="255"/>
      <c r="O99" s="255"/>
      <c r="P99" s="255"/>
      <c r="Q99" s="105"/>
      <c r="R99" s="105"/>
      <c r="S99" s="105"/>
      <c r="T99" s="105"/>
      <c r="U99" s="104"/>
      <c r="V99" s="104"/>
      <c r="W99" s="104"/>
      <c r="X99" s="105"/>
      <c r="Y99" s="105"/>
      <c r="Z99" s="105"/>
      <c r="AA99" s="105"/>
      <c r="AB99" s="104"/>
      <c r="AC99" s="104"/>
      <c r="AD99" s="104"/>
      <c r="AE99" s="104"/>
      <c r="AF99" s="104"/>
      <c r="AG99" s="104"/>
      <c r="AH99" s="104"/>
      <c r="AI99" s="104"/>
      <c r="AJ99" s="104"/>
      <c r="AK99" s="104"/>
      <c r="AL99" s="104"/>
      <c r="AM99" s="104"/>
    </row>
    <row r="100" spans="1:39" x14ac:dyDescent="0.2">
      <c r="A100" s="104"/>
      <c r="B100" s="252"/>
      <c r="C100" s="252"/>
      <c r="D100" s="255"/>
      <c r="E100" s="255"/>
      <c r="F100" s="255"/>
      <c r="G100" s="255"/>
      <c r="H100" s="494"/>
      <c r="I100" s="255"/>
      <c r="J100" s="255"/>
      <c r="K100" s="255"/>
      <c r="L100" s="255"/>
      <c r="M100" s="255"/>
      <c r="N100" s="255"/>
      <c r="O100" s="255"/>
      <c r="P100" s="255"/>
      <c r="Q100" s="105"/>
      <c r="R100" s="105"/>
      <c r="S100" s="105"/>
      <c r="T100" s="105"/>
      <c r="U100" s="104"/>
      <c r="V100" s="104"/>
      <c r="W100" s="104"/>
      <c r="X100" s="105"/>
      <c r="Y100" s="105"/>
      <c r="Z100" s="105"/>
      <c r="AA100" s="105"/>
      <c r="AB100" s="104"/>
      <c r="AC100" s="104"/>
      <c r="AD100" s="104"/>
      <c r="AE100" s="104"/>
      <c r="AF100" s="104"/>
      <c r="AG100" s="104"/>
      <c r="AH100" s="104"/>
      <c r="AI100" s="104"/>
      <c r="AJ100" s="104"/>
      <c r="AK100" s="104"/>
      <c r="AL100" s="104"/>
      <c r="AM100" s="104"/>
    </row>
    <row r="101" spans="1:39" x14ac:dyDescent="0.2">
      <c r="A101" s="104"/>
      <c r="B101" s="252"/>
      <c r="C101" s="252"/>
      <c r="D101" s="255"/>
      <c r="E101" s="255"/>
      <c r="F101" s="255"/>
      <c r="G101" s="255"/>
      <c r="H101" s="494"/>
      <c r="I101" s="255"/>
      <c r="J101" s="255"/>
      <c r="K101" s="255"/>
      <c r="L101" s="255"/>
      <c r="M101" s="255"/>
      <c r="N101" s="255"/>
      <c r="O101" s="255"/>
      <c r="P101" s="255"/>
      <c r="Q101" s="105"/>
      <c r="R101" s="105"/>
      <c r="S101" s="105"/>
      <c r="T101" s="105"/>
      <c r="U101" s="104"/>
      <c r="V101" s="104"/>
      <c r="W101" s="104"/>
      <c r="X101" s="105"/>
      <c r="Y101" s="105"/>
      <c r="Z101" s="105"/>
      <c r="AA101" s="105"/>
      <c r="AB101" s="104"/>
      <c r="AC101" s="104"/>
      <c r="AD101" s="104"/>
      <c r="AE101" s="104"/>
      <c r="AF101" s="104"/>
      <c r="AG101" s="104"/>
      <c r="AH101" s="104"/>
      <c r="AI101" s="104"/>
      <c r="AJ101" s="104"/>
      <c r="AK101" s="104"/>
      <c r="AL101" s="104"/>
      <c r="AM101" s="104"/>
    </row>
    <row r="102" spans="1:39" x14ac:dyDescent="0.2">
      <c r="A102" s="104"/>
      <c r="B102" s="252"/>
      <c r="C102" s="252"/>
      <c r="D102" s="255"/>
      <c r="E102" s="255"/>
      <c r="F102" s="255"/>
      <c r="G102" s="255"/>
      <c r="H102" s="494"/>
      <c r="I102" s="255"/>
      <c r="J102" s="255"/>
      <c r="K102" s="255"/>
      <c r="L102" s="255"/>
      <c r="M102" s="255"/>
      <c r="N102" s="255"/>
      <c r="O102" s="255"/>
      <c r="P102" s="255"/>
      <c r="Q102" s="105"/>
      <c r="R102" s="105"/>
      <c r="S102" s="105"/>
      <c r="T102" s="105"/>
      <c r="U102" s="104"/>
      <c r="V102" s="104"/>
      <c r="W102" s="104"/>
      <c r="X102" s="105"/>
      <c r="Y102" s="105"/>
      <c r="Z102" s="105"/>
      <c r="AA102" s="105"/>
      <c r="AB102" s="104"/>
      <c r="AC102" s="104"/>
      <c r="AD102" s="104"/>
      <c r="AE102" s="104"/>
      <c r="AF102" s="104"/>
      <c r="AG102" s="104"/>
      <c r="AH102" s="104"/>
      <c r="AI102" s="104"/>
      <c r="AJ102" s="104"/>
      <c r="AK102" s="104"/>
      <c r="AL102" s="104"/>
      <c r="AM102" s="104"/>
    </row>
    <row r="103" spans="1:39" x14ac:dyDescent="0.2">
      <c r="A103" s="104"/>
      <c r="B103" s="252"/>
      <c r="C103" s="252"/>
      <c r="D103" s="255"/>
      <c r="E103" s="255"/>
      <c r="F103" s="255"/>
      <c r="G103" s="255"/>
      <c r="H103" s="494"/>
      <c r="I103" s="255"/>
      <c r="J103" s="255"/>
      <c r="K103" s="255"/>
      <c r="L103" s="255"/>
      <c r="M103" s="255"/>
      <c r="N103" s="255"/>
      <c r="O103" s="255"/>
      <c r="P103" s="255"/>
      <c r="Q103" s="105"/>
      <c r="R103" s="105"/>
      <c r="S103" s="105"/>
      <c r="T103" s="105"/>
      <c r="U103" s="104"/>
      <c r="V103" s="104"/>
      <c r="W103" s="104"/>
      <c r="X103" s="105"/>
      <c r="Y103" s="105"/>
      <c r="Z103" s="105"/>
      <c r="AA103" s="105"/>
      <c r="AB103" s="104"/>
      <c r="AC103" s="104"/>
      <c r="AD103" s="104"/>
      <c r="AE103" s="104"/>
      <c r="AF103" s="104"/>
      <c r="AG103" s="104"/>
      <c r="AH103" s="104"/>
      <c r="AI103" s="104"/>
      <c r="AJ103" s="104"/>
      <c r="AK103" s="104"/>
      <c r="AL103" s="104"/>
      <c r="AM103" s="104"/>
    </row>
    <row r="104" spans="1:39" x14ac:dyDescent="0.2">
      <c r="A104" s="104"/>
      <c r="B104" s="252"/>
      <c r="C104" s="252"/>
      <c r="D104" s="255"/>
      <c r="E104" s="255"/>
      <c r="F104" s="255"/>
      <c r="G104" s="255"/>
      <c r="H104" s="494"/>
      <c r="I104" s="255"/>
      <c r="J104" s="255"/>
      <c r="K104" s="255"/>
      <c r="L104" s="255"/>
      <c r="M104" s="255"/>
      <c r="N104" s="255"/>
      <c r="O104" s="255"/>
      <c r="P104" s="255"/>
      <c r="Q104" s="105"/>
      <c r="R104" s="105"/>
      <c r="S104" s="105"/>
      <c r="T104" s="105"/>
      <c r="U104" s="104"/>
      <c r="V104" s="104"/>
      <c r="W104" s="104"/>
      <c r="X104" s="105"/>
      <c r="Y104" s="105"/>
      <c r="Z104" s="105"/>
      <c r="AA104" s="105"/>
      <c r="AB104" s="104"/>
      <c r="AC104" s="104"/>
      <c r="AD104" s="104"/>
      <c r="AE104" s="104"/>
      <c r="AF104" s="104"/>
      <c r="AG104" s="104"/>
      <c r="AH104" s="104"/>
      <c r="AI104" s="104"/>
      <c r="AJ104" s="104"/>
      <c r="AK104" s="104"/>
      <c r="AL104" s="104"/>
      <c r="AM104" s="104"/>
    </row>
    <row r="105" spans="1:39" x14ac:dyDescent="0.2">
      <c r="A105" s="104"/>
      <c r="B105" s="252"/>
      <c r="C105" s="252"/>
      <c r="D105" s="255"/>
      <c r="E105" s="255"/>
      <c r="F105" s="255"/>
      <c r="G105" s="255"/>
      <c r="H105" s="494"/>
      <c r="I105" s="255"/>
      <c r="J105" s="255"/>
      <c r="K105" s="255"/>
      <c r="L105" s="255"/>
      <c r="M105" s="255"/>
      <c r="N105" s="255"/>
      <c r="O105" s="255"/>
      <c r="P105" s="255"/>
      <c r="Q105" s="105"/>
      <c r="R105" s="105"/>
      <c r="S105" s="105"/>
      <c r="T105" s="105"/>
      <c r="U105" s="104"/>
      <c r="V105" s="104"/>
      <c r="W105" s="104"/>
      <c r="X105" s="105"/>
      <c r="Y105" s="105"/>
      <c r="Z105" s="105"/>
      <c r="AA105" s="105"/>
      <c r="AB105" s="104"/>
      <c r="AC105" s="104"/>
      <c r="AD105" s="104"/>
      <c r="AE105" s="104"/>
      <c r="AF105" s="104"/>
      <c r="AG105" s="104"/>
      <c r="AH105" s="104"/>
      <c r="AI105" s="104"/>
      <c r="AJ105" s="104"/>
      <c r="AK105" s="104"/>
      <c r="AL105" s="104"/>
      <c r="AM105" s="104"/>
    </row>
    <row r="106" spans="1:39" x14ac:dyDescent="0.2">
      <c r="A106" s="104"/>
      <c r="B106" s="252"/>
      <c r="C106" s="252"/>
      <c r="D106" s="255"/>
      <c r="E106" s="255"/>
      <c r="F106" s="255"/>
      <c r="G106" s="255"/>
      <c r="H106" s="494"/>
      <c r="I106" s="255"/>
      <c r="J106" s="255"/>
      <c r="K106" s="255"/>
      <c r="L106" s="255"/>
      <c r="M106" s="255"/>
      <c r="N106" s="255"/>
      <c r="O106" s="255"/>
      <c r="P106" s="255"/>
      <c r="Q106" s="105"/>
      <c r="R106" s="105"/>
      <c r="S106" s="105"/>
      <c r="T106" s="105"/>
      <c r="U106" s="104"/>
      <c r="V106" s="104"/>
      <c r="W106" s="104"/>
      <c r="X106" s="105"/>
      <c r="Y106" s="105"/>
      <c r="Z106" s="105"/>
      <c r="AA106" s="105"/>
      <c r="AB106" s="104"/>
      <c r="AC106" s="104"/>
      <c r="AD106" s="104"/>
      <c r="AE106" s="104"/>
      <c r="AF106" s="104"/>
      <c r="AG106" s="104"/>
      <c r="AH106" s="104"/>
      <c r="AI106" s="104"/>
      <c r="AJ106" s="104"/>
      <c r="AK106" s="104"/>
      <c r="AL106" s="104"/>
      <c r="AM106" s="104"/>
    </row>
    <row r="107" spans="1:39" x14ac:dyDescent="0.2">
      <c r="A107" s="104"/>
      <c r="B107" s="252"/>
      <c r="C107" s="252"/>
      <c r="D107" s="255"/>
      <c r="E107" s="255"/>
      <c r="F107" s="255"/>
      <c r="G107" s="255"/>
      <c r="H107" s="494"/>
      <c r="I107" s="255"/>
      <c r="J107" s="255"/>
      <c r="K107" s="255"/>
      <c r="L107" s="255"/>
      <c r="M107" s="255"/>
      <c r="N107" s="255"/>
      <c r="O107" s="255"/>
      <c r="P107" s="255"/>
      <c r="Q107" s="105"/>
      <c r="R107" s="105"/>
      <c r="S107" s="105"/>
      <c r="T107" s="105"/>
      <c r="U107" s="104"/>
      <c r="V107" s="104"/>
      <c r="W107" s="104"/>
      <c r="X107" s="105"/>
      <c r="Y107" s="105"/>
      <c r="Z107" s="105"/>
      <c r="AA107" s="105"/>
      <c r="AB107" s="104"/>
      <c r="AC107" s="104"/>
      <c r="AD107" s="104"/>
      <c r="AE107" s="104"/>
      <c r="AF107" s="104"/>
      <c r="AG107" s="104"/>
      <c r="AH107" s="104"/>
      <c r="AI107" s="104"/>
      <c r="AJ107" s="104"/>
      <c r="AK107" s="104"/>
      <c r="AL107" s="104"/>
      <c r="AM107" s="104"/>
    </row>
    <row r="108" spans="1:39" x14ac:dyDescent="0.2">
      <c r="A108" s="104"/>
      <c r="B108" s="252"/>
      <c r="C108" s="252"/>
      <c r="D108" s="255"/>
      <c r="E108" s="255"/>
      <c r="F108" s="255"/>
      <c r="G108" s="255"/>
      <c r="H108" s="494"/>
      <c r="I108" s="255"/>
      <c r="J108" s="255"/>
      <c r="K108" s="255"/>
      <c r="L108" s="255"/>
      <c r="M108" s="255"/>
      <c r="N108" s="255"/>
      <c r="O108" s="255"/>
      <c r="P108" s="255"/>
      <c r="Q108" s="105"/>
      <c r="R108" s="105"/>
      <c r="S108" s="105"/>
      <c r="T108" s="105"/>
      <c r="U108" s="104"/>
      <c r="V108" s="104"/>
      <c r="W108" s="104"/>
      <c r="X108" s="105"/>
      <c r="Y108" s="105"/>
      <c r="Z108" s="105"/>
      <c r="AA108" s="105"/>
      <c r="AB108" s="104"/>
      <c r="AC108" s="104"/>
      <c r="AD108" s="104"/>
      <c r="AE108" s="104"/>
      <c r="AF108" s="104"/>
      <c r="AG108" s="104"/>
      <c r="AH108" s="104"/>
      <c r="AI108" s="104"/>
      <c r="AJ108" s="104"/>
      <c r="AK108" s="104"/>
      <c r="AL108" s="104"/>
      <c r="AM108" s="104"/>
    </row>
    <row r="109" spans="1:39" x14ac:dyDescent="0.2">
      <c r="A109" s="104"/>
      <c r="B109" s="252"/>
      <c r="C109" s="252"/>
      <c r="D109" s="255"/>
      <c r="E109" s="255"/>
      <c r="F109" s="255"/>
      <c r="G109" s="255"/>
      <c r="H109" s="494"/>
      <c r="I109" s="255"/>
      <c r="J109" s="255"/>
      <c r="K109" s="255"/>
      <c r="L109" s="255"/>
      <c r="M109" s="255"/>
      <c r="N109" s="255"/>
      <c r="O109" s="255"/>
      <c r="P109" s="255"/>
      <c r="Q109" s="105"/>
      <c r="R109" s="105"/>
      <c r="S109" s="105"/>
      <c r="T109" s="105"/>
      <c r="U109" s="104"/>
      <c r="V109" s="104"/>
      <c r="W109" s="104"/>
      <c r="X109" s="105"/>
      <c r="Y109" s="105"/>
      <c r="Z109" s="105"/>
      <c r="AA109" s="105"/>
      <c r="AB109" s="104"/>
      <c r="AC109" s="104"/>
      <c r="AD109" s="104"/>
      <c r="AE109" s="104"/>
      <c r="AF109" s="104"/>
      <c r="AG109" s="104"/>
      <c r="AH109" s="104"/>
      <c r="AI109" s="104"/>
      <c r="AJ109" s="104"/>
      <c r="AK109" s="104"/>
      <c r="AL109" s="104"/>
      <c r="AM109" s="104"/>
    </row>
    <row r="110" spans="1:39" x14ac:dyDescent="0.2">
      <c r="A110" s="104"/>
      <c r="B110" s="252"/>
      <c r="C110" s="252"/>
      <c r="D110" s="255"/>
      <c r="E110" s="255"/>
      <c r="F110" s="255"/>
      <c r="G110" s="255"/>
      <c r="H110" s="494"/>
      <c r="I110" s="255"/>
      <c r="J110" s="255"/>
      <c r="K110" s="255"/>
      <c r="L110" s="255"/>
      <c r="M110" s="255"/>
      <c r="N110" s="255"/>
      <c r="O110" s="255"/>
      <c r="P110" s="255"/>
      <c r="Q110" s="105"/>
      <c r="R110" s="105"/>
      <c r="S110" s="105"/>
      <c r="T110" s="105"/>
      <c r="U110" s="104"/>
      <c r="V110" s="104"/>
      <c r="W110" s="104"/>
      <c r="X110" s="105"/>
      <c r="Y110" s="105"/>
      <c r="Z110" s="105"/>
      <c r="AA110" s="105"/>
      <c r="AB110" s="104"/>
      <c r="AC110" s="104"/>
      <c r="AD110" s="104"/>
      <c r="AE110" s="104"/>
      <c r="AF110" s="104"/>
      <c r="AG110" s="104"/>
      <c r="AH110" s="104"/>
      <c r="AI110" s="104"/>
      <c r="AJ110" s="104"/>
      <c r="AK110" s="104"/>
      <c r="AL110" s="104"/>
      <c r="AM110" s="104"/>
    </row>
    <row r="111" spans="1:39" x14ac:dyDescent="0.2">
      <c r="A111" s="104"/>
      <c r="B111" s="252"/>
      <c r="C111" s="252"/>
      <c r="D111" s="255"/>
      <c r="E111" s="255"/>
      <c r="F111" s="255"/>
      <c r="G111" s="255"/>
      <c r="H111" s="494"/>
      <c r="I111" s="255"/>
      <c r="J111" s="255"/>
      <c r="K111" s="255"/>
      <c r="L111" s="255"/>
      <c r="M111" s="255"/>
      <c r="N111" s="255"/>
      <c r="O111" s="255"/>
      <c r="P111" s="255"/>
      <c r="Q111" s="105"/>
      <c r="R111" s="105"/>
      <c r="S111" s="105"/>
      <c r="T111" s="105"/>
      <c r="U111" s="104"/>
      <c r="V111" s="104"/>
      <c r="W111" s="104"/>
      <c r="X111" s="105"/>
      <c r="Y111" s="105"/>
      <c r="Z111" s="105"/>
      <c r="AA111" s="105"/>
      <c r="AB111" s="104"/>
      <c r="AC111" s="104"/>
      <c r="AD111" s="104"/>
      <c r="AE111" s="104"/>
      <c r="AF111" s="104"/>
      <c r="AG111" s="104"/>
      <c r="AH111" s="104"/>
      <c r="AI111" s="104"/>
      <c r="AJ111" s="104"/>
      <c r="AK111" s="104"/>
      <c r="AL111" s="104"/>
      <c r="AM111" s="104"/>
    </row>
    <row r="112" spans="1:39" x14ac:dyDescent="0.2">
      <c r="A112" s="104"/>
      <c r="B112" s="252"/>
      <c r="C112" s="252"/>
      <c r="D112" s="255"/>
      <c r="E112" s="255"/>
      <c r="F112" s="255"/>
      <c r="G112" s="255"/>
      <c r="H112" s="494"/>
      <c r="I112" s="255"/>
      <c r="J112" s="255"/>
      <c r="K112" s="255"/>
      <c r="L112" s="255"/>
      <c r="M112" s="255"/>
      <c r="N112" s="255"/>
      <c r="O112" s="255"/>
      <c r="P112" s="255"/>
      <c r="Q112" s="105"/>
      <c r="R112" s="105"/>
      <c r="S112" s="105"/>
      <c r="T112" s="105"/>
      <c r="U112" s="104"/>
      <c r="V112" s="104"/>
      <c r="W112" s="104"/>
      <c r="X112" s="105"/>
      <c r="Y112" s="105"/>
      <c r="Z112" s="105"/>
      <c r="AA112" s="105"/>
      <c r="AB112" s="104"/>
      <c r="AC112" s="104"/>
      <c r="AD112" s="104"/>
      <c r="AE112" s="104"/>
      <c r="AF112" s="104"/>
      <c r="AG112" s="104"/>
      <c r="AH112" s="104"/>
      <c r="AI112" s="104"/>
      <c r="AJ112" s="104"/>
      <c r="AK112" s="104"/>
      <c r="AL112" s="104"/>
      <c r="AM112" s="104"/>
    </row>
    <row r="113" spans="1:39" x14ac:dyDescent="0.2">
      <c r="A113" s="104"/>
      <c r="B113" s="252"/>
      <c r="C113" s="252"/>
      <c r="D113" s="255"/>
      <c r="E113" s="255"/>
      <c r="F113" s="255"/>
      <c r="G113" s="255"/>
      <c r="H113" s="494"/>
      <c r="I113" s="255"/>
      <c r="J113" s="255"/>
      <c r="K113" s="255"/>
      <c r="L113" s="255"/>
      <c r="M113" s="255"/>
      <c r="N113" s="255"/>
      <c r="O113" s="255"/>
      <c r="P113" s="255"/>
      <c r="Q113" s="105"/>
      <c r="R113" s="105"/>
      <c r="S113" s="105"/>
      <c r="T113" s="105"/>
      <c r="U113" s="104"/>
      <c r="V113" s="104"/>
      <c r="W113" s="104"/>
      <c r="X113" s="105"/>
      <c r="Y113" s="105"/>
      <c r="Z113" s="105"/>
      <c r="AA113" s="105"/>
      <c r="AB113" s="104"/>
      <c r="AC113" s="104"/>
      <c r="AD113" s="104"/>
      <c r="AE113" s="104"/>
      <c r="AF113" s="104"/>
      <c r="AG113" s="104"/>
      <c r="AH113" s="104"/>
      <c r="AI113" s="104"/>
      <c r="AJ113" s="104"/>
      <c r="AK113" s="104"/>
      <c r="AL113" s="104"/>
      <c r="AM113" s="104"/>
    </row>
    <row r="114" spans="1:39" x14ac:dyDescent="0.2">
      <c r="A114" s="104"/>
      <c r="B114" s="252"/>
      <c r="C114" s="252"/>
      <c r="D114" s="255"/>
      <c r="E114" s="255"/>
      <c r="F114" s="255"/>
      <c r="G114" s="255"/>
      <c r="H114" s="494"/>
      <c r="I114" s="255"/>
      <c r="J114" s="255"/>
      <c r="K114" s="255"/>
      <c r="L114" s="255"/>
      <c r="M114" s="255"/>
      <c r="N114" s="255"/>
      <c r="O114" s="255"/>
      <c r="P114" s="255"/>
      <c r="Q114" s="105"/>
      <c r="R114" s="105"/>
      <c r="S114" s="105"/>
      <c r="T114" s="105"/>
      <c r="U114" s="104"/>
      <c r="V114" s="104"/>
      <c r="W114" s="104"/>
      <c r="X114" s="105"/>
      <c r="Y114" s="105"/>
      <c r="Z114" s="105"/>
      <c r="AA114" s="105"/>
      <c r="AB114" s="104"/>
      <c r="AC114" s="104"/>
      <c r="AD114" s="104"/>
      <c r="AE114" s="104"/>
      <c r="AF114" s="104"/>
      <c r="AG114" s="104"/>
      <c r="AH114" s="104"/>
      <c r="AI114" s="104"/>
      <c r="AJ114" s="104"/>
      <c r="AK114" s="104"/>
      <c r="AL114" s="104"/>
      <c r="AM114" s="104"/>
    </row>
    <row r="115" spans="1:39" x14ac:dyDescent="0.2">
      <c r="A115" s="104"/>
      <c r="B115" s="522"/>
      <c r="C115" s="522"/>
      <c r="D115" s="514"/>
      <c r="E115" s="514"/>
      <c r="F115" s="514"/>
      <c r="G115" s="514"/>
      <c r="H115" s="494"/>
      <c r="I115" s="514"/>
      <c r="J115" s="514"/>
      <c r="K115" s="514"/>
      <c r="L115" s="514"/>
      <c r="M115" s="514"/>
      <c r="N115" s="514"/>
      <c r="O115" s="514"/>
      <c r="P115" s="514"/>
      <c r="Q115" s="105"/>
      <c r="R115" s="105"/>
      <c r="S115" s="105"/>
      <c r="T115" s="105"/>
      <c r="U115" s="104"/>
      <c r="V115" s="104"/>
      <c r="W115" s="104"/>
      <c r="X115" s="105"/>
      <c r="Y115" s="105"/>
      <c r="Z115" s="105"/>
      <c r="AA115" s="105"/>
      <c r="AB115" s="104"/>
      <c r="AC115" s="104"/>
      <c r="AD115" s="104"/>
      <c r="AE115" s="104"/>
      <c r="AF115" s="104"/>
      <c r="AG115" s="104"/>
      <c r="AH115" s="104"/>
      <c r="AI115" s="104"/>
      <c r="AJ115" s="104"/>
      <c r="AK115" s="104"/>
      <c r="AL115" s="104"/>
      <c r="AM115" s="104"/>
    </row>
    <row r="116" spans="1:39" x14ac:dyDescent="0.2">
      <c r="A116" s="104"/>
      <c r="B116" s="522"/>
      <c r="C116" s="522"/>
      <c r="D116" s="514"/>
      <c r="E116" s="514"/>
      <c r="F116" s="514"/>
      <c r="G116" s="514"/>
      <c r="H116" s="494"/>
      <c r="I116" s="514"/>
      <c r="J116" s="514"/>
      <c r="K116" s="514"/>
      <c r="L116" s="514"/>
      <c r="M116" s="514"/>
      <c r="N116" s="514"/>
      <c r="O116" s="514"/>
      <c r="P116" s="514"/>
      <c r="Q116" s="105"/>
      <c r="R116" s="105"/>
      <c r="S116" s="105"/>
      <c r="T116" s="105"/>
      <c r="U116" s="104"/>
      <c r="V116" s="104"/>
      <c r="W116" s="104"/>
      <c r="X116" s="105"/>
      <c r="Y116" s="105"/>
      <c r="Z116" s="105"/>
      <c r="AA116" s="105"/>
      <c r="AB116" s="104"/>
      <c r="AC116" s="104"/>
      <c r="AD116" s="104"/>
      <c r="AE116" s="104"/>
      <c r="AF116" s="104"/>
      <c r="AG116" s="104"/>
      <c r="AH116" s="104"/>
      <c r="AI116" s="104"/>
      <c r="AJ116" s="104"/>
      <c r="AK116" s="104"/>
      <c r="AL116" s="104"/>
      <c r="AM116" s="104"/>
    </row>
    <row r="117" spans="1:39" x14ac:dyDescent="0.2">
      <c r="A117" s="104"/>
      <c r="B117" s="522"/>
      <c r="C117" s="522"/>
      <c r="D117" s="514"/>
      <c r="E117" s="514"/>
      <c r="F117" s="514"/>
      <c r="G117" s="514"/>
      <c r="H117" s="494"/>
      <c r="I117" s="514"/>
      <c r="J117" s="514"/>
      <c r="K117" s="514"/>
      <c r="L117" s="514"/>
      <c r="M117" s="514"/>
      <c r="N117" s="514"/>
      <c r="O117" s="514"/>
      <c r="P117" s="514"/>
      <c r="Q117" s="105"/>
      <c r="R117" s="105"/>
      <c r="S117" s="105"/>
      <c r="T117" s="105"/>
      <c r="U117" s="104"/>
      <c r="V117" s="104"/>
      <c r="W117" s="104"/>
      <c r="X117" s="105"/>
      <c r="Y117" s="105"/>
      <c r="Z117" s="105"/>
      <c r="AA117" s="105"/>
      <c r="AB117" s="104"/>
      <c r="AC117" s="104"/>
      <c r="AD117" s="104"/>
      <c r="AE117" s="104"/>
      <c r="AF117" s="104"/>
      <c r="AG117" s="104"/>
      <c r="AH117" s="104"/>
      <c r="AI117" s="104"/>
      <c r="AJ117" s="104"/>
      <c r="AK117" s="104"/>
      <c r="AL117" s="104"/>
      <c r="AM117" s="104"/>
    </row>
    <row r="118" spans="1:39" x14ac:dyDescent="0.2">
      <c r="A118" s="104"/>
      <c r="B118" s="522"/>
      <c r="C118" s="522"/>
      <c r="D118" s="514"/>
      <c r="E118" s="514"/>
      <c r="F118" s="514"/>
      <c r="G118" s="514"/>
      <c r="H118" s="508"/>
      <c r="I118" s="514"/>
      <c r="J118" s="514"/>
      <c r="K118" s="514"/>
      <c r="L118" s="514"/>
      <c r="M118" s="514"/>
      <c r="N118" s="514"/>
      <c r="O118" s="514"/>
      <c r="P118" s="514"/>
      <c r="Q118" s="105"/>
      <c r="R118" s="105"/>
      <c r="S118" s="105"/>
      <c r="T118" s="105"/>
      <c r="U118" s="104"/>
      <c r="V118" s="104"/>
      <c r="W118" s="104"/>
      <c r="X118" s="105"/>
      <c r="Y118" s="105"/>
      <c r="Z118" s="105"/>
      <c r="AA118" s="105"/>
      <c r="AB118" s="104"/>
      <c r="AC118" s="104"/>
      <c r="AD118" s="104"/>
      <c r="AE118" s="104"/>
      <c r="AF118" s="104"/>
      <c r="AG118" s="104"/>
      <c r="AH118" s="104"/>
      <c r="AI118" s="104"/>
      <c r="AJ118" s="104"/>
      <c r="AK118" s="104"/>
      <c r="AL118" s="104"/>
      <c r="AM118" s="104"/>
    </row>
    <row r="119" spans="1:39" x14ac:dyDescent="0.2">
      <c r="A119" s="104"/>
      <c r="B119" s="522"/>
      <c r="C119" s="522"/>
      <c r="D119" s="514"/>
      <c r="E119" s="514"/>
      <c r="F119" s="514"/>
      <c r="G119" s="514"/>
      <c r="H119" s="241"/>
      <c r="I119" s="514"/>
      <c r="J119" s="514"/>
      <c r="K119" s="514"/>
      <c r="L119" s="514"/>
      <c r="M119" s="514"/>
      <c r="N119" s="514"/>
      <c r="O119" s="514"/>
      <c r="P119" s="514"/>
      <c r="Q119" s="105"/>
      <c r="R119" s="105"/>
      <c r="S119" s="105"/>
      <c r="T119" s="105"/>
      <c r="U119" s="104"/>
      <c r="V119" s="104"/>
      <c r="W119" s="104"/>
      <c r="X119" s="105"/>
      <c r="Y119" s="105"/>
      <c r="Z119" s="105"/>
      <c r="AA119" s="105"/>
      <c r="AB119" s="104"/>
      <c r="AC119" s="104"/>
      <c r="AD119" s="104"/>
      <c r="AE119" s="104"/>
      <c r="AF119" s="104"/>
      <c r="AG119" s="104"/>
      <c r="AH119" s="104"/>
      <c r="AI119" s="104"/>
      <c r="AJ119" s="104"/>
      <c r="AK119" s="104"/>
      <c r="AL119" s="104"/>
      <c r="AM119" s="104"/>
    </row>
    <row r="120" spans="1:39" x14ac:dyDescent="0.2">
      <c r="A120" s="104"/>
      <c r="B120" s="522"/>
      <c r="C120" s="522"/>
      <c r="D120" s="514"/>
      <c r="E120" s="514"/>
      <c r="F120" s="514"/>
      <c r="G120" s="514"/>
      <c r="H120" s="241"/>
      <c r="I120" s="514"/>
      <c r="J120" s="514"/>
      <c r="K120" s="514"/>
      <c r="L120" s="514"/>
      <c r="M120" s="514"/>
      <c r="N120" s="514"/>
      <c r="O120" s="514"/>
      <c r="P120" s="514"/>
      <c r="Q120" s="105"/>
      <c r="R120" s="105"/>
      <c r="S120" s="105"/>
      <c r="T120" s="105"/>
      <c r="U120" s="104"/>
      <c r="V120" s="104"/>
      <c r="W120" s="104"/>
      <c r="X120" s="105"/>
      <c r="Y120" s="105"/>
      <c r="Z120" s="105"/>
      <c r="AA120" s="105"/>
      <c r="AB120" s="104"/>
      <c r="AC120" s="104"/>
      <c r="AD120" s="104"/>
      <c r="AE120" s="104"/>
      <c r="AF120" s="104"/>
      <c r="AG120" s="104"/>
      <c r="AH120" s="104"/>
      <c r="AI120" s="104"/>
      <c r="AJ120" s="104"/>
      <c r="AK120" s="104"/>
      <c r="AL120" s="104"/>
      <c r="AM120" s="104"/>
    </row>
    <row r="121" spans="1:39" x14ac:dyDescent="0.2">
      <c r="A121" s="104"/>
      <c r="B121" s="522"/>
      <c r="C121" s="522"/>
      <c r="D121" s="514"/>
      <c r="E121" s="514"/>
      <c r="F121" s="514"/>
      <c r="G121" s="514"/>
      <c r="H121" s="241"/>
      <c r="I121" s="514"/>
      <c r="J121" s="514"/>
      <c r="K121" s="514"/>
      <c r="L121" s="514"/>
      <c r="M121" s="514"/>
      <c r="N121" s="514"/>
      <c r="O121" s="514"/>
      <c r="P121" s="514"/>
      <c r="Q121" s="105"/>
      <c r="R121" s="105"/>
      <c r="S121" s="105"/>
      <c r="T121" s="105"/>
      <c r="U121" s="104"/>
      <c r="V121" s="104"/>
      <c r="W121" s="104"/>
      <c r="X121" s="105"/>
      <c r="Y121" s="105"/>
      <c r="Z121" s="105"/>
      <c r="AA121" s="105"/>
      <c r="AB121" s="104"/>
      <c r="AC121" s="104"/>
      <c r="AD121" s="104"/>
      <c r="AE121" s="104"/>
      <c r="AF121" s="104"/>
      <c r="AG121" s="104"/>
      <c r="AH121" s="104"/>
      <c r="AI121" s="104"/>
      <c r="AJ121" s="104"/>
      <c r="AK121" s="104"/>
      <c r="AL121" s="104"/>
      <c r="AM121" s="104"/>
    </row>
    <row r="122" spans="1:39" x14ac:dyDescent="0.2">
      <c r="A122" s="104"/>
      <c r="B122" s="522"/>
      <c r="C122" s="522"/>
      <c r="D122" s="514"/>
      <c r="E122" s="514"/>
      <c r="F122" s="514"/>
      <c r="G122" s="514"/>
      <c r="H122" s="241"/>
      <c r="I122" s="514"/>
      <c r="J122" s="514"/>
      <c r="K122" s="514"/>
      <c r="L122" s="514"/>
      <c r="M122" s="514"/>
      <c r="N122" s="514"/>
      <c r="O122" s="514"/>
      <c r="P122" s="514"/>
      <c r="Q122" s="105"/>
      <c r="R122" s="105"/>
      <c r="S122" s="105"/>
      <c r="T122" s="105"/>
      <c r="U122" s="104"/>
      <c r="V122" s="104"/>
      <c r="W122" s="104"/>
      <c r="X122" s="105"/>
      <c r="Y122" s="105"/>
      <c r="Z122" s="105"/>
      <c r="AA122" s="105"/>
      <c r="AB122" s="104"/>
      <c r="AC122" s="104"/>
      <c r="AD122" s="104"/>
      <c r="AE122" s="104"/>
      <c r="AF122" s="104"/>
      <c r="AG122" s="104"/>
      <c r="AH122" s="104"/>
      <c r="AI122" s="104"/>
      <c r="AJ122" s="104"/>
      <c r="AK122" s="104"/>
      <c r="AL122" s="104"/>
      <c r="AM122" s="104"/>
    </row>
    <row r="123" spans="1:39" x14ac:dyDescent="0.2">
      <c r="A123" s="104"/>
      <c r="B123" s="522"/>
      <c r="C123" s="522"/>
      <c r="D123" s="514"/>
      <c r="E123" s="514"/>
      <c r="F123" s="514"/>
      <c r="G123" s="514"/>
      <c r="H123" s="241"/>
      <c r="I123" s="514"/>
      <c r="J123" s="514"/>
      <c r="K123" s="514"/>
      <c r="L123" s="514"/>
      <c r="M123" s="514"/>
      <c r="N123" s="514"/>
      <c r="O123" s="514"/>
      <c r="P123" s="514"/>
      <c r="Q123" s="105"/>
      <c r="R123" s="105"/>
      <c r="S123" s="105"/>
      <c r="T123" s="105"/>
      <c r="U123" s="104"/>
      <c r="V123" s="104"/>
      <c r="W123" s="104"/>
      <c r="X123" s="105"/>
      <c r="Y123" s="105"/>
      <c r="Z123" s="105"/>
      <c r="AA123" s="105"/>
      <c r="AB123" s="104"/>
      <c r="AC123" s="104"/>
      <c r="AD123" s="104"/>
      <c r="AE123" s="104"/>
      <c r="AF123" s="104"/>
      <c r="AG123" s="104"/>
      <c r="AH123" s="104"/>
      <c r="AI123" s="104"/>
      <c r="AJ123" s="104"/>
      <c r="AK123" s="104"/>
      <c r="AL123" s="104"/>
      <c r="AM123" s="104"/>
    </row>
    <row r="124" spans="1:39" x14ac:dyDescent="0.2">
      <c r="A124" s="104"/>
      <c r="B124" s="522"/>
      <c r="C124" s="522"/>
      <c r="D124" s="514"/>
      <c r="E124" s="514"/>
      <c r="F124" s="514"/>
      <c r="G124" s="514"/>
      <c r="H124" s="241"/>
      <c r="I124" s="514"/>
      <c r="J124" s="514"/>
      <c r="K124" s="514"/>
      <c r="L124" s="514"/>
      <c r="M124" s="514"/>
      <c r="N124" s="514"/>
      <c r="O124" s="514"/>
      <c r="P124" s="514"/>
      <c r="Q124" s="105"/>
      <c r="R124" s="105"/>
      <c r="S124" s="105"/>
      <c r="T124" s="105"/>
      <c r="U124" s="104"/>
      <c r="V124" s="104"/>
      <c r="W124" s="104"/>
      <c r="X124" s="105"/>
      <c r="Y124" s="105"/>
      <c r="Z124" s="105"/>
      <c r="AA124" s="105"/>
      <c r="AB124" s="104"/>
      <c r="AC124" s="104"/>
      <c r="AD124" s="104"/>
      <c r="AE124" s="104"/>
      <c r="AF124" s="104"/>
      <c r="AG124" s="104"/>
      <c r="AH124" s="104"/>
      <c r="AI124" s="104"/>
      <c r="AJ124" s="104"/>
      <c r="AK124" s="104"/>
      <c r="AL124" s="104"/>
      <c r="AM124" s="104"/>
    </row>
    <row r="125" spans="1:39" x14ac:dyDescent="0.2">
      <c r="A125" s="104"/>
      <c r="B125" s="522"/>
      <c r="C125" s="522"/>
      <c r="D125" s="514"/>
      <c r="E125" s="514"/>
      <c r="F125" s="514"/>
      <c r="G125" s="514"/>
      <c r="H125" s="241"/>
      <c r="I125" s="514"/>
      <c r="J125" s="514"/>
      <c r="K125" s="514"/>
      <c r="L125" s="514"/>
      <c r="M125" s="514"/>
      <c r="N125" s="514"/>
      <c r="O125" s="514"/>
      <c r="P125" s="514"/>
      <c r="Q125" s="105"/>
      <c r="R125" s="105"/>
      <c r="S125" s="105"/>
      <c r="T125" s="105"/>
      <c r="U125" s="104"/>
      <c r="V125" s="104"/>
      <c r="W125" s="104"/>
      <c r="X125" s="105"/>
      <c r="Y125" s="105"/>
      <c r="Z125" s="105"/>
      <c r="AA125" s="105"/>
      <c r="AB125" s="104"/>
      <c r="AC125" s="104"/>
      <c r="AD125" s="104"/>
      <c r="AE125" s="104"/>
      <c r="AF125" s="104"/>
      <c r="AG125" s="104"/>
      <c r="AH125" s="104"/>
      <c r="AI125" s="104"/>
      <c r="AJ125" s="104"/>
      <c r="AK125" s="104"/>
      <c r="AL125" s="104"/>
      <c r="AM125" s="104"/>
    </row>
    <row r="126" spans="1:39" x14ac:dyDescent="0.2">
      <c r="A126" s="104"/>
      <c r="B126" s="522"/>
      <c r="C126" s="522"/>
      <c r="D126" s="514"/>
      <c r="E126" s="514"/>
      <c r="F126" s="514"/>
      <c r="G126" s="514"/>
      <c r="H126" s="241"/>
      <c r="I126" s="514"/>
      <c r="J126" s="514"/>
      <c r="K126" s="514"/>
      <c r="L126" s="514"/>
      <c r="M126" s="514"/>
      <c r="N126" s="514"/>
      <c r="O126" s="514"/>
      <c r="P126" s="514"/>
      <c r="Q126" s="105"/>
      <c r="R126" s="105"/>
      <c r="S126" s="105"/>
      <c r="T126" s="105"/>
      <c r="U126" s="104"/>
      <c r="V126" s="104"/>
      <c r="W126" s="104"/>
      <c r="X126" s="105"/>
      <c r="Y126" s="105"/>
      <c r="Z126" s="105"/>
      <c r="AA126" s="105"/>
      <c r="AB126" s="104"/>
      <c r="AC126" s="104"/>
      <c r="AD126" s="104"/>
      <c r="AE126" s="104"/>
      <c r="AF126" s="104"/>
      <c r="AG126" s="104"/>
      <c r="AH126" s="104"/>
      <c r="AI126" s="104"/>
      <c r="AJ126" s="104"/>
      <c r="AK126" s="104"/>
      <c r="AL126" s="104"/>
      <c r="AM126" s="104"/>
    </row>
    <row r="127" spans="1:39" x14ac:dyDescent="0.2">
      <c r="A127" s="104"/>
      <c r="B127" s="522"/>
      <c r="C127" s="522"/>
      <c r="D127" s="514"/>
      <c r="E127" s="514"/>
      <c r="F127" s="514"/>
      <c r="G127" s="514"/>
      <c r="H127" s="241"/>
      <c r="I127" s="514"/>
      <c r="J127" s="514"/>
      <c r="K127" s="514"/>
      <c r="L127" s="514"/>
      <c r="M127" s="514"/>
      <c r="N127" s="514"/>
      <c r="O127" s="514"/>
      <c r="P127" s="514"/>
      <c r="Q127" s="105"/>
      <c r="R127" s="105"/>
      <c r="S127" s="105"/>
      <c r="T127" s="105"/>
      <c r="U127" s="104"/>
      <c r="V127" s="104"/>
      <c r="W127" s="104"/>
      <c r="X127" s="105"/>
      <c r="Y127" s="105"/>
      <c r="Z127" s="105"/>
      <c r="AA127" s="105"/>
      <c r="AB127" s="104"/>
      <c r="AC127" s="104"/>
      <c r="AD127" s="104"/>
      <c r="AE127" s="104"/>
      <c r="AF127" s="104"/>
      <c r="AG127" s="104"/>
      <c r="AH127" s="104"/>
      <c r="AI127" s="104"/>
      <c r="AJ127" s="104"/>
      <c r="AK127" s="104"/>
      <c r="AL127" s="104"/>
      <c r="AM127" s="104"/>
    </row>
    <row r="128" spans="1:39" x14ac:dyDescent="0.2">
      <c r="A128" s="104"/>
      <c r="B128" s="522"/>
      <c r="C128" s="522"/>
      <c r="D128" s="514"/>
      <c r="E128" s="514"/>
      <c r="F128" s="514"/>
      <c r="G128" s="514"/>
      <c r="H128" s="241"/>
      <c r="I128" s="514"/>
      <c r="J128" s="514"/>
      <c r="K128" s="514"/>
      <c r="L128" s="514"/>
      <c r="M128" s="514"/>
      <c r="N128" s="514"/>
      <c r="O128" s="514"/>
      <c r="P128" s="514"/>
      <c r="Q128" s="105"/>
      <c r="R128" s="105"/>
      <c r="S128" s="105"/>
      <c r="T128" s="105"/>
      <c r="U128" s="104"/>
      <c r="V128" s="104"/>
      <c r="W128" s="104"/>
      <c r="X128" s="105"/>
      <c r="Y128" s="105"/>
      <c r="Z128" s="105"/>
      <c r="AA128" s="105"/>
      <c r="AB128" s="104"/>
      <c r="AC128" s="104"/>
      <c r="AD128" s="104"/>
      <c r="AE128" s="104"/>
      <c r="AF128" s="104"/>
      <c r="AG128" s="104"/>
      <c r="AH128" s="104"/>
      <c r="AI128" s="104"/>
      <c r="AJ128" s="104"/>
      <c r="AK128" s="104"/>
      <c r="AL128" s="104"/>
      <c r="AM128" s="104"/>
    </row>
    <row r="129" spans="1:39" x14ac:dyDescent="0.2">
      <c r="A129" s="104"/>
      <c r="B129" s="522"/>
      <c r="C129" s="522"/>
      <c r="D129" s="514"/>
      <c r="E129" s="514"/>
      <c r="F129" s="514"/>
      <c r="G129" s="514"/>
      <c r="H129" s="241"/>
      <c r="I129" s="514"/>
      <c r="J129" s="514"/>
      <c r="K129" s="514"/>
      <c r="L129" s="514"/>
      <c r="M129" s="514"/>
      <c r="N129" s="514"/>
      <c r="O129" s="514"/>
      <c r="P129" s="514"/>
      <c r="Q129" s="105"/>
      <c r="R129" s="105"/>
      <c r="S129" s="105"/>
      <c r="T129" s="105"/>
      <c r="U129" s="104"/>
      <c r="V129" s="104"/>
      <c r="W129" s="104"/>
      <c r="X129" s="105"/>
      <c r="Y129" s="105"/>
      <c r="Z129" s="105"/>
      <c r="AA129" s="105"/>
      <c r="AB129" s="104"/>
      <c r="AC129" s="104"/>
      <c r="AD129" s="104"/>
      <c r="AE129" s="104"/>
      <c r="AF129" s="104"/>
      <c r="AG129" s="104"/>
      <c r="AH129" s="104"/>
      <c r="AI129" s="104"/>
      <c r="AJ129" s="104"/>
      <c r="AK129" s="104"/>
      <c r="AL129" s="104"/>
      <c r="AM129" s="104"/>
    </row>
    <row r="130" spans="1:39" x14ac:dyDescent="0.2">
      <c r="A130" s="104"/>
      <c r="B130" s="522"/>
      <c r="C130" s="522"/>
      <c r="D130" s="514"/>
      <c r="E130" s="514"/>
      <c r="F130" s="514"/>
      <c r="G130" s="514"/>
      <c r="H130" s="241"/>
      <c r="I130" s="514"/>
      <c r="J130" s="514"/>
      <c r="K130" s="514"/>
      <c r="L130" s="514"/>
      <c r="M130" s="514"/>
      <c r="N130" s="514"/>
      <c r="O130" s="514"/>
      <c r="P130" s="514"/>
      <c r="Q130" s="105"/>
      <c r="R130" s="105"/>
      <c r="S130" s="105"/>
      <c r="T130" s="105"/>
      <c r="U130" s="104"/>
      <c r="V130" s="104"/>
      <c r="W130" s="104"/>
      <c r="X130" s="105"/>
      <c r="Y130" s="105"/>
      <c r="Z130" s="105"/>
      <c r="AA130" s="105"/>
      <c r="AB130" s="104"/>
      <c r="AC130" s="104"/>
      <c r="AD130" s="104"/>
      <c r="AE130" s="104"/>
      <c r="AF130" s="104"/>
      <c r="AG130" s="104"/>
      <c r="AH130" s="104"/>
      <c r="AI130" s="104"/>
      <c r="AJ130" s="104"/>
      <c r="AK130" s="104"/>
      <c r="AL130" s="104"/>
      <c r="AM130" s="104"/>
    </row>
    <row r="131" spans="1:39" x14ac:dyDescent="0.2">
      <c r="A131" s="104"/>
      <c r="B131" s="522"/>
      <c r="C131" s="522"/>
      <c r="D131" s="514"/>
      <c r="E131" s="514"/>
      <c r="F131" s="514"/>
      <c r="G131" s="514"/>
      <c r="H131" s="241"/>
      <c r="I131" s="514"/>
      <c r="J131" s="514"/>
      <c r="K131" s="514"/>
      <c r="L131" s="514"/>
      <c r="M131" s="514"/>
      <c r="N131" s="514"/>
      <c r="O131" s="514"/>
      <c r="P131" s="514"/>
      <c r="Q131" s="105"/>
      <c r="R131" s="105"/>
      <c r="S131" s="105"/>
      <c r="T131" s="105"/>
      <c r="U131" s="104"/>
      <c r="V131" s="104"/>
      <c r="W131" s="104"/>
      <c r="X131" s="105"/>
      <c r="Y131" s="105"/>
      <c r="Z131" s="105"/>
      <c r="AA131" s="105"/>
      <c r="AB131" s="104"/>
      <c r="AC131" s="104"/>
      <c r="AD131" s="104"/>
      <c r="AE131" s="104"/>
      <c r="AF131" s="104"/>
      <c r="AG131" s="104"/>
      <c r="AH131" s="104"/>
      <c r="AI131" s="104"/>
      <c r="AJ131" s="104"/>
      <c r="AK131" s="104"/>
      <c r="AL131" s="104"/>
      <c r="AM131" s="104"/>
    </row>
    <row r="132" spans="1:39" x14ac:dyDescent="0.2">
      <c r="A132" s="104"/>
      <c r="B132" s="522"/>
      <c r="C132" s="522"/>
      <c r="D132" s="514"/>
      <c r="E132" s="514"/>
      <c r="F132" s="514"/>
      <c r="G132" s="514"/>
      <c r="H132" s="241"/>
      <c r="I132" s="514"/>
      <c r="J132" s="514"/>
      <c r="K132" s="514"/>
      <c r="L132" s="514"/>
      <c r="M132" s="514"/>
      <c r="N132" s="514"/>
      <c r="O132" s="514"/>
      <c r="P132" s="514"/>
      <c r="Q132" s="105"/>
      <c r="R132" s="105"/>
      <c r="S132" s="105"/>
      <c r="T132" s="105"/>
      <c r="U132" s="104"/>
      <c r="V132" s="104"/>
      <c r="W132" s="104"/>
      <c r="X132" s="105"/>
      <c r="Y132" s="105"/>
      <c r="Z132" s="105"/>
      <c r="AA132" s="105"/>
      <c r="AB132" s="104"/>
      <c r="AC132" s="104"/>
      <c r="AD132" s="104"/>
      <c r="AE132" s="104"/>
      <c r="AF132" s="104"/>
      <c r="AG132" s="104"/>
      <c r="AH132" s="104"/>
      <c r="AI132" s="104"/>
      <c r="AJ132" s="104"/>
      <c r="AK132" s="104"/>
      <c r="AL132" s="104"/>
      <c r="AM132" s="104"/>
    </row>
    <row r="133" spans="1:39" x14ac:dyDescent="0.2">
      <c r="A133" s="104"/>
      <c r="B133" s="522"/>
      <c r="C133" s="522"/>
      <c r="D133" s="514"/>
      <c r="E133" s="514"/>
      <c r="F133" s="514"/>
      <c r="G133" s="514"/>
      <c r="H133" s="241"/>
      <c r="I133" s="514"/>
      <c r="J133" s="514"/>
      <c r="K133" s="514"/>
      <c r="L133" s="514"/>
      <c r="M133" s="514"/>
      <c r="N133" s="514"/>
      <c r="O133" s="514"/>
      <c r="P133" s="514"/>
      <c r="Q133" s="105"/>
      <c r="R133" s="105"/>
      <c r="S133" s="105"/>
      <c r="T133" s="105"/>
      <c r="U133" s="104"/>
      <c r="V133" s="104"/>
      <c r="W133" s="104"/>
      <c r="X133" s="105"/>
      <c r="Y133" s="105"/>
      <c r="Z133" s="105"/>
      <c r="AA133" s="105"/>
      <c r="AB133" s="104"/>
      <c r="AC133" s="104"/>
      <c r="AD133" s="104"/>
      <c r="AE133" s="104"/>
      <c r="AF133" s="104"/>
      <c r="AG133" s="104"/>
      <c r="AH133" s="104"/>
      <c r="AI133" s="104"/>
      <c r="AJ133" s="104"/>
      <c r="AK133" s="104"/>
      <c r="AL133" s="104"/>
      <c r="AM133" s="104"/>
    </row>
    <row r="134" spans="1:39" x14ac:dyDescent="0.2">
      <c r="A134" s="104"/>
      <c r="B134" s="522"/>
      <c r="C134" s="522"/>
      <c r="D134" s="514"/>
      <c r="E134" s="514"/>
      <c r="F134" s="514"/>
      <c r="G134" s="514"/>
      <c r="H134" s="241"/>
      <c r="I134" s="514"/>
      <c r="J134" s="514"/>
      <c r="K134" s="514"/>
      <c r="L134" s="514"/>
      <c r="M134" s="514"/>
      <c r="N134" s="514"/>
      <c r="O134" s="514"/>
      <c r="P134" s="514"/>
      <c r="Q134" s="105"/>
      <c r="R134" s="105"/>
      <c r="S134" s="105"/>
      <c r="T134" s="105"/>
      <c r="U134" s="104"/>
      <c r="V134" s="104"/>
      <c r="W134" s="104"/>
      <c r="X134" s="105"/>
      <c r="Y134" s="105"/>
      <c r="Z134" s="105"/>
      <c r="AA134" s="105"/>
      <c r="AB134" s="104"/>
      <c r="AC134" s="104"/>
      <c r="AD134" s="104"/>
      <c r="AE134" s="104"/>
      <c r="AF134" s="104"/>
      <c r="AG134" s="104"/>
      <c r="AH134" s="104"/>
      <c r="AI134" s="104"/>
      <c r="AJ134" s="104"/>
      <c r="AK134" s="104"/>
      <c r="AL134" s="104"/>
      <c r="AM134" s="104"/>
    </row>
    <row r="135" spans="1:39" x14ac:dyDescent="0.2">
      <c r="A135" s="104"/>
      <c r="B135" s="522"/>
      <c r="C135" s="522"/>
      <c r="D135" s="514"/>
      <c r="E135" s="514"/>
      <c r="F135" s="514"/>
      <c r="G135" s="514"/>
      <c r="H135" s="241"/>
      <c r="I135" s="514"/>
      <c r="J135" s="514"/>
      <c r="K135" s="514"/>
      <c r="L135" s="514"/>
      <c r="M135" s="514"/>
      <c r="N135" s="514"/>
      <c r="O135" s="514"/>
      <c r="P135" s="514"/>
      <c r="Q135" s="105"/>
      <c r="R135" s="105"/>
      <c r="S135" s="105"/>
      <c r="T135" s="105"/>
      <c r="U135" s="104"/>
      <c r="V135" s="104"/>
      <c r="W135" s="104"/>
      <c r="X135" s="105"/>
      <c r="Y135" s="105"/>
      <c r="Z135" s="105"/>
      <c r="AA135" s="105"/>
      <c r="AB135" s="104"/>
      <c r="AC135" s="104"/>
      <c r="AD135" s="104"/>
      <c r="AE135" s="104"/>
      <c r="AF135" s="104"/>
      <c r="AG135" s="104"/>
      <c r="AH135" s="104"/>
      <c r="AI135" s="104"/>
      <c r="AJ135" s="104"/>
      <c r="AK135" s="104"/>
      <c r="AL135" s="104"/>
      <c r="AM135" s="104"/>
    </row>
    <row r="136" spans="1:39" ht="15.75" x14ac:dyDescent="0.25">
      <c r="A136" s="104"/>
      <c r="B136" s="248"/>
      <c r="C136" s="248" t="s">
        <v>78</v>
      </c>
      <c r="D136" s="242">
        <f>SUM(D83:D115)</f>
        <v>15389</v>
      </c>
      <c r="E136" s="242">
        <f>SUM(E83:E115)</f>
        <v>14585</v>
      </c>
      <c r="F136" s="242">
        <f>SUM(F83:F116)</f>
        <v>14515</v>
      </c>
      <c r="G136" s="242">
        <f>SUM(G83:G118)</f>
        <v>0</v>
      </c>
      <c r="H136" s="242">
        <f>SUM(H83:H119)</f>
        <v>0</v>
      </c>
      <c r="I136" s="242">
        <f>SUM(I83:I119)</f>
        <v>0</v>
      </c>
      <c r="J136" s="242">
        <f t="shared" ref="J136" si="40">SUM(J83:J115)</f>
        <v>0</v>
      </c>
      <c r="K136" s="242">
        <f>SUM(K83:K119)</f>
        <v>0</v>
      </c>
      <c r="L136" s="242">
        <f>SUM(L83:L119)</f>
        <v>0</v>
      </c>
      <c r="M136" s="242">
        <f>SUM(M83:M127)</f>
        <v>0</v>
      </c>
      <c r="N136" s="242">
        <f>SUM(N83:N135)</f>
        <v>0</v>
      </c>
      <c r="O136" s="242">
        <f>SUM(O83:O135)</f>
        <v>0</v>
      </c>
      <c r="P136" s="242">
        <f>SUM(P83:P135)</f>
        <v>0</v>
      </c>
      <c r="Q136" s="105"/>
      <c r="R136" s="105"/>
      <c r="S136" s="105"/>
      <c r="T136" s="105"/>
      <c r="U136" s="104"/>
      <c r="V136" s="104"/>
      <c r="W136" s="104"/>
      <c r="X136" s="105"/>
      <c r="Y136" s="105"/>
      <c r="Z136" s="105"/>
      <c r="AA136" s="105"/>
      <c r="AB136" s="104"/>
      <c r="AC136" s="104"/>
      <c r="AD136" s="104"/>
      <c r="AE136" s="104"/>
      <c r="AF136" s="104"/>
      <c r="AG136" s="104"/>
      <c r="AH136" s="104"/>
      <c r="AI136" s="104"/>
      <c r="AJ136" s="104"/>
      <c r="AK136" s="104"/>
      <c r="AL136" s="104"/>
      <c r="AM136" s="104"/>
    </row>
    <row r="137" spans="1:39" ht="15.75" x14ac:dyDescent="0.25">
      <c r="A137" s="104"/>
      <c r="B137" s="126"/>
      <c r="C137" s="126"/>
      <c r="D137" s="1"/>
      <c r="E137" s="1"/>
      <c r="F137" s="1"/>
      <c r="G137" s="1"/>
      <c r="H137" s="1"/>
      <c r="I137" s="1"/>
      <c r="J137" s="1"/>
      <c r="K137" s="1"/>
      <c r="L137" s="1"/>
      <c r="M137" s="1"/>
      <c r="N137" s="1"/>
      <c r="O137" s="1"/>
      <c r="P137" s="1"/>
      <c r="Q137" s="105"/>
      <c r="R137" s="105"/>
      <c r="S137" s="105"/>
      <c r="T137" s="105"/>
      <c r="U137" s="104"/>
      <c r="V137" s="104"/>
      <c r="W137" s="104"/>
      <c r="X137" s="105"/>
      <c r="Y137" s="105"/>
      <c r="Z137" s="105"/>
      <c r="AA137" s="105"/>
      <c r="AB137" s="104"/>
      <c r="AC137" s="104"/>
      <c r="AD137" s="104"/>
      <c r="AE137" s="104"/>
      <c r="AF137" s="104"/>
      <c r="AG137" s="104"/>
      <c r="AH137" s="104"/>
      <c r="AI137" s="104"/>
      <c r="AJ137" s="104"/>
      <c r="AK137" s="104"/>
      <c r="AL137" s="104"/>
      <c r="AM137" s="104"/>
    </row>
    <row r="138" spans="1:39" x14ac:dyDescent="0.2">
      <c r="A138" s="104"/>
      <c r="B138" s="104"/>
      <c r="C138" s="104"/>
      <c r="D138" s="105"/>
      <c r="E138" s="105"/>
      <c r="F138" s="105"/>
      <c r="G138" s="105"/>
      <c r="H138" s="105"/>
      <c r="I138" s="105"/>
      <c r="J138" s="105"/>
      <c r="K138" s="105"/>
      <c r="L138" s="105"/>
      <c r="M138" s="105"/>
      <c r="N138" s="105"/>
      <c r="O138" s="105"/>
      <c r="P138" s="105"/>
      <c r="Q138" s="105"/>
      <c r="R138" s="105"/>
      <c r="S138" s="105"/>
      <c r="T138" s="105"/>
      <c r="U138" s="104"/>
      <c r="V138" s="104"/>
      <c r="W138" s="104"/>
      <c r="X138" s="105"/>
      <c r="Y138" s="105"/>
      <c r="Z138" s="105"/>
      <c r="AA138" s="105"/>
      <c r="AB138" s="104"/>
      <c r="AC138" s="104"/>
      <c r="AD138" s="104"/>
      <c r="AE138" s="104"/>
      <c r="AF138" s="104"/>
      <c r="AG138" s="104"/>
      <c r="AH138" s="104"/>
      <c r="AI138" s="104"/>
      <c r="AJ138" s="104"/>
      <c r="AK138" s="104"/>
      <c r="AL138" s="104"/>
      <c r="AM138" s="104"/>
    </row>
    <row r="139" spans="1:39" ht="18" x14ac:dyDescent="0.25">
      <c r="A139" s="104"/>
      <c r="B139" s="104"/>
      <c r="C139" s="278" t="s">
        <v>459</v>
      </c>
      <c r="D139" s="243" t="s">
        <v>460</v>
      </c>
      <c r="E139" s="243" t="s">
        <v>114</v>
      </c>
      <c r="F139" s="243" t="s">
        <v>119</v>
      </c>
      <c r="G139" s="243" t="s">
        <v>117</v>
      </c>
      <c r="H139" s="243" t="s">
        <v>121</v>
      </c>
      <c r="I139" s="243" t="s">
        <v>116</v>
      </c>
      <c r="J139" s="243" t="s">
        <v>461</v>
      </c>
      <c r="K139" s="243" t="s">
        <v>462</v>
      </c>
      <c r="L139" s="243"/>
      <c r="M139" s="243" t="s">
        <v>378</v>
      </c>
      <c r="N139" s="105" t="s">
        <v>463</v>
      </c>
      <c r="O139" s="105" t="s">
        <v>464</v>
      </c>
      <c r="P139" s="105" t="s">
        <v>465</v>
      </c>
      <c r="Q139" s="105"/>
      <c r="R139" s="105"/>
      <c r="S139" s="105"/>
      <c r="T139" s="105"/>
      <c r="U139" s="104"/>
      <c r="V139" s="104"/>
      <c r="W139" s="104"/>
      <c r="X139" s="105"/>
      <c r="Y139" s="105"/>
      <c r="Z139" s="105"/>
      <c r="AA139" s="105"/>
      <c r="AB139" s="104"/>
      <c r="AC139" s="104"/>
      <c r="AD139" s="104"/>
      <c r="AE139" s="104"/>
      <c r="AF139" s="104"/>
      <c r="AG139" s="104"/>
      <c r="AH139" s="104"/>
      <c r="AI139" s="104"/>
      <c r="AJ139" s="104"/>
      <c r="AK139" s="104"/>
      <c r="AL139" s="104"/>
      <c r="AM139" s="104"/>
    </row>
    <row r="140" spans="1:39" ht="18" x14ac:dyDescent="0.25">
      <c r="A140" s="104"/>
      <c r="B140" s="104"/>
      <c r="C140" s="135" t="s">
        <v>466</v>
      </c>
      <c r="D140" s="105">
        <v>7.5</v>
      </c>
      <c r="E140" s="105" t="s">
        <v>35</v>
      </c>
      <c r="F140" s="105" t="s">
        <v>35</v>
      </c>
      <c r="G140" s="105" t="s">
        <v>35</v>
      </c>
      <c r="H140" s="105" t="s">
        <v>35</v>
      </c>
      <c r="I140" s="105" t="s">
        <v>35</v>
      </c>
      <c r="J140" s="105" t="s">
        <v>35</v>
      </c>
      <c r="K140" s="105">
        <v>7.5</v>
      </c>
      <c r="L140" s="105">
        <f>SUM(E140:K140)</f>
        <v>7.5</v>
      </c>
      <c r="M140" s="200">
        <f>L140*30</f>
        <v>225</v>
      </c>
      <c r="N140" s="105">
        <v>225</v>
      </c>
      <c r="O140" s="105" t="s">
        <v>35</v>
      </c>
      <c r="P140" s="105"/>
      <c r="Q140" s="105"/>
      <c r="R140" s="105"/>
      <c r="S140" s="105"/>
      <c r="T140" s="105"/>
      <c r="U140" s="104"/>
      <c r="V140" s="104"/>
      <c r="W140" s="104"/>
      <c r="X140" s="105"/>
      <c r="Y140" s="105"/>
      <c r="Z140" s="105"/>
      <c r="AA140" s="105"/>
      <c r="AB140" s="104"/>
      <c r="AC140" s="104"/>
      <c r="AD140" s="104"/>
      <c r="AE140" s="104"/>
      <c r="AF140" s="104"/>
      <c r="AG140" s="104"/>
      <c r="AH140" s="104"/>
      <c r="AI140" s="104"/>
      <c r="AJ140" s="104"/>
      <c r="AK140" s="104"/>
      <c r="AL140" s="104"/>
      <c r="AM140" s="104"/>
    </row>
    <row r="141" spans="1:39" ht="18" x14ac:dyDescent="0.25">
      <c r="A141" s="104"/>
      <c r="B141" s="104"/>
      <c r="C141" s="252" t="s">
        <v>70</v>
      </c>
      <c r="D141" s="105">
        <v>13</v>
      </c>
      <c r="E141" s="105"/>
      <c r="F141" s="105"/>
      <c r="G141" s="105"/>
      <c r="H141" s="105"/>
      <c r="I141" s="105">
        <v>13</v>
      </c>
      <c r="J141" s="105"/>
      <c r="K141" s="105"/>
      <c r="L141" s="105">
        <f t="shared" ref="L141:L145" si="41">SUM(E141:K141)</f>
        <v>13</v>
      </c>
      <c r="M141" s="200">
        <f t="shared" ref="M141:M147" si="42">L141*30</f>
        <v>390</v>
      </c>
      <c r="N141" s="105" t="s">
        <v>35</v>
      </c>
      <c r="O141" s="105">
        <f>M141</f>
        <v>390</v>
      </c>
      <c r="P141" s="105"/>
      <c r="Q141" s="105"/>
      <c r="R141" s="105"/>
      <c r="S141" s="105"/>
      <c r="T141" s="105"/>
      <c r="U141" s="104"/>
      <c r="V141" s="104"/>
      <c r="W141" s="104"/>
      <c r="X141" s="105"/>
      <c r="Y141" s="105"/>
      <c r="Z141" s="105"/>
      <c r="AA141" s="105"/>
      <c r="AB141" s="104"/>
      <c r="AC141" s="104"/>
      <c r="AD141" s="104"/>
      <c r="AE141" s="104"/>
      <c r="AF141" s="104"/>
      <c r="AG141" s="104"/>
      <c r="AH141" s="104"/>
      <c r="AI141" s="104"/>
      <c r="AJ141" s="104"/>
      <c r="AK141" s="104"/>
      <c r="AL141" s="104"/>
      <c r="AM141" s="104"/>
    </row>
    <row r="142" spans="1:39" ht="18" x14ac:dyDescent="0.25">
      <c r="A142" s="104"/>
      <c r="B142" s="104"/>
      <c r="C142" s="252" t="s">
        <v>24</v>
      </c>
      <c r="D142" s="105">
        <v>8.5</v>
      </c>
      <c r="E142" s="105"/>
      <c r="F142" s="105"/>
      <c r="G142" s="105">
        <v>8.5</v>
      </c>
      <c r="H142" s="105"/>
      <c r="I142" s="105"/>
      <c r="J142" s="105"/>
      <c r="K142" s="105"/>
      <c r="L142" s="105">
        <f t="shared" si="41"/>
        <v>8.5</v>
      </c>
      <c r="M142" s="201">
        <f t="shared" si="42"/>
        <v>255</v>
      </c>
      <c r="N142" s="105" t="s">
        <v>35</v>
      </c>
      <c r="O142" s="105">
        <f>M142</f>
        <v>255</v>
      </c>
      <c r="P142" s="105"/>
      <c r="Q142" s="105" t="s">
        <v>35</v>
      </c>
      <c r="R142" s="105"/>
      <c r="S142" s="105"/>
      <c r="T142" s="105"/>
      <c r="U142" s="104"/>
      <c r="V142" s="104"/>
      <c r="W142" s="104"/>
      <c r="X142" s="105"/>
      <c r="Y142" s="105"/>
      <c r="Z142" s="105"/>
      <c r="AA142" s="105"/>
      <c r="AB142" s="104"/>
      <c r="AC142" s="104"/>
      <c r="AD142" s="104"/>
      <c r="AE142" s="104"/>
      <c r="AF142" s="104"/>
      <c r="AG142" s="104"/>
      <c r="AH142" s="104"/>
      <c r="AI142" s="104"/>
      <c r="AJ142" s="104"/>
      <c r="AK142" s="104"/>
      <c r="AL142" s="104"/>
      <c r="AM142" s="104"/>
    </row>
    <row r="143" spans="1:39" ht="18" x14ac:dyDescent="0.25">
      <c r="A143" s="104"/>
      <c r="B143" s="104"/>
      <c r="C143" s="252" t="s">
        <v>23</v>
      </c>
      <c r="D143" s="105">
        <v>32</v>
      </c>
      <c r="E143" s="105">
        <v>22</v>
      </c>
      <c r="F143" s="105">
        <v>10</v>
      </c>
      <c r="G143" s="105"/>
      <c r="H143" s="105"/>
      <c r="I143" s="105"/>
      <c r="J143" s="105"/>
      <c r="K143" s="105"/>
      <c r="L143" s="105">
        <f t="shared" si="41"/>
        <v>32</v>
      </c>
      <c r="M143" s="200">
        <f t="shared" si="42"/>
        <v>960</v>
      </c>
      <c r="N143" s="105"/>
      <c r="O143" s="105">
        <f>M143</f>
        <v>960</v>
      </c>
      <c r="P143" s="105"/>
      <c r="Q143" s="105"/>
      <c r="R143" s="105"/>
      <c r="S143" s="105"/>
      <c r="T143" s="105"/>
      <c r="U143" s="104"/>
      <c r="V143" s="104"/>
      <c r="W143" s="104"/>
      <c r="X143" s="105"/>
      <c r="Y143" s="105"/>
      <c r="Z143" s="105"/>
      <c r="AA143" s="105"/>
      <c r="AB143" s="104"/>
      <c r="AC143" s="104"/>
      <c r="AD143" s="104"/>
      <c r="AE143" s="104"/>
      <c r="AF143" s="104"/>
      <c r="AG143" s="104"/>
      <c r="AH143" s="104"/>
      <c r="AI143" s="104"/>
      <c r="AJ143" s="104"/>
      <c r="AK143" s="104"/>
      <c r="AL143" s="104"/>
      <c r="AM143" s="104"/>
    </row>
    <row r="144" spans="1:39" ht="18" x14ac:dyDescent="0.25">
      <c r="A144" s="104"/>
      <c r="B144" s="104"/>
      <c r="C144" s="252" t="s">
        <v>22</v>
      </c>
      <c r="D144" s="105">
        <v>19</v>
      </c>
      <c r="E144" s="105"/>
      <c r="F144" s="105"/>
      <c r="G144" s="105"/>
      <c r="H144" s="105">
        <v>19</v>
      </c>
      <c r="I144" s="105"/>
      <c r="J144" s="105"/>
      <c r="K144" s="105"/>
      <c r="L144" s="105">
        <f t="shared" si="41"/>
        <v>19</v>
      </c>
      <c r="M144" s="200">
        <f t="shared" si="42"/>
        <v>570</v>
      </c>
      <c r="N144" s="105">
        <f>M144</f>
        <v>570</v>
      </c>
      <c r="O144" s="105"/>
      <c r="P144" s="105"/>
      <c r="Q144" s="105"/>
      <c r="R144" s="105"/>
      <c r="S144" s="105"/>
      <c r="T144" s="105"/>
      <c r="U144" s="104"/>
      <c r="V144" s="104"/>
      <c r="W144" s="104"/>
      <c r="X144" s="105"/>
      <c r="Y144" s="105"/>
      <c r="Z144" s="105"/>
      <c r="AA144" s="105"/>
      <c r="AB144" s="104"/>
      <c r="AC144" s="104"/>
      <c r="AD144" s="104"/>
      <c r="AE144" s="104"/>
      <c r="AF144" s="104"/>
      <c r="AG144" s="104"/>
      <c r="AH144" s="104"/>
      <c r="AI144" s="104"/>
      <c r="AJ144" s="104"/>
      <c r="AK144" s="104"/>
      <c r="AL144" s="104"/>
      <c r="AM144" s="104"/>
    </row>
    <row r="145" spans="1:31" ht="18" x14ac:dyDescent="0.25">
      <c r="A145" s="104"/>
      <c r="B145" s="104"/>
      <c r="C145" s="252" t="s">
        <v>94</v>
      </c>
      <c r="D145" s="105">
        <v>29</v>
      </c>
      <c r="E145" s="105" t="s">
        <v>35</v>
      </c>
      <c r="F145" s="105"/>
      <c r="G145" s="105"/>
      <c r="H145" s="105"/>
      <c r="I145" s="105"/>
      <c r="J145" s="105">
        <v>29</v>
      </c>
      <c r="K145" s="105"/>
      <c r="L145" s="105">
        <f t="shared" si="41"/>
        <v>29</v>
      </c>
      <c r="M145" s="200">
        <f t="shared" si="42"/>
        <v>870</v>
      </c>
      <c r="N145" s="105" t="s">
        <v>35</v>
      </c>
      <c r="O145" s="105"/>
      <c r="P145" s="105">
        <f>M145</f>
        <v>870</v>
      </c>
      <c r="Q145" s="105"/>
      <c r="R145" s="105"/>
      <c r="S145" s="105"/>
      <c r="T145" s="105"/>
      <c r="U145" s="104"/>
      <c r="V145" s="104"/>
      <c r="W145" s="104"/>
      <c r="X145" s="105"/>
      <c r="Y145" s="105"/>
      <c r="Z145" s="105"/>
      <c r="AA145" s="105"/>
      <c r="AB145" s="104"/>
      <c r="AC145" s="104"/>
      <c r="AD145" s="104"/>
      <c r="AE145" s="104"/>
    </row>
    <row r="146" spans="1:31" ht="18" x14ac:dyDescent="0.25">
      <c r="A146" s="104"/>
      <c r="B146" s="104"/>
      <c r="C146" s="522" t="s">
        <v>25</v>
      </c>
      <c r="D146" s="105">
        <v>25</v>
      </c>
      <c r="E146" s="105"/>
      <c r="F146" s="105"/>
      <c r="G146" s="105"/>
      <c r="H146" s="105"/>
      <c r="I146" s="105"/>
      <c r="J146" s="105"/>
      <c r="K146" s="105" t="s">
        <v>35</v>
      </c>
      <c r="L146" s="105">
        <v>25</v>
      </c>
      <c r="M146" s="200">
        <f t="shared" si="42"/>
        <v>750</v>
      </c>
      <c r="N146" s="105">
        <f>M146</f>
        <v>750</v>
      </c>
      <c r="O146" s="105"/>
      <c r="P146" s="105"/>
      <c r="Q146" s="105"/>
      <c r="R146" s="105"/>
      <c r="S146" s="105"/>
      <c r="T146" s="105"/>
      <c r="U146" s="104"/>
      <c r="V146" s="104"/>
      <c r="W146" s="104"/>
      <c r="X146" s="105"/>
      <c r="Y146" s="105"/>
      <c r="Z146" s="105"/>
      <c r="AA146" s="105"/>
      <c r="AB146" s="104"/>
      <c r="AC146" s="104"/>
      <c r="AD146" s="104"/>
      <c r="AE146" s="104"/>
    </row>
    <row r="147" spans="1:31" ht="18" x14ac:dyDescent="0.25">
      <c r="A147" s="199"/>
      <c r="B147" s="199"/>
      <c r="C147" s="278"/>
      <c r="D147" s="243">
        <f>SUM(D140:D146)</f>
        <v>134</v>
      </c>
      <c r="E147" s="243"/>
      <c r="F147" s="243"/>
      <c r="G147" s="243"/>
      <c r="H147" s="243"/>
      <c r="I147" s="243"/>
      <c r="J147" s="243"/>
      <c r="K147" s="243"/>
      <c r="L147" s="243">
        <f>SUM(L140:L146)</f>
        <v>134</v>
      </c>
      <c r="M147" s="243">
        <f t="shared" si="42"/>
        <v>4020</v>
      </c>
      <c r="N147" s="105">
        <f>SUM(N140:N146)</f>
        <v>1545</v>
      </c>
      <c r="O147" s="105">
        <f>SUM(O140:O146)</f>
        <v>1605</v>
      </c>
      <c r="P147" s="105">
        <f>SUM(P140:P145)</f>
        <v>870</v>
      </c>
      <c r="Q147" s="200"/>
      <c r="R147" s="200"/>
      <c r="S147" s="200"/>
      <c r="T147" s="200"/>
      <c r="U147" s="199"/>
      <c r="V147" s="199"/>
      <c r="W147" s="199"/>
      <c r="X147" s="105"/>
      <c r="Y147" s="105"/>
      <c r="Z147" s="105"/>
      <c r="AA147" s="105"/>
      <c r="AB147" s="104"/>
      <c r="AC147" s="104"/>
      <c r="AD147" s="104"/>
      <c r="AE147" s="104"/>
    </row>
    <row r="148" spans="1:31" s="199" customFormat="1" ht="18" x14ac:dyDescent="0.25">
      <c r="A148" s="104"/>
      <c r="B148" s="104"/>
      <c r="C148" s="104"/>
      <c r="D148" s="105"/>
      <c r="E148" s="105"/>
      <c r="F148" s="105"/>
      <c r="G148" s="105"/>
      <c r="H148" s="105"/>
      <c r="I148" s="105"/>
      <c r="J148" s="105"/>
      <c r="K148" s="105"/>
      <c r="L148" s="105"/>
      <c r="M148" s="105"/>
      <c r="N148" s="105"/>
      <c r="O148" s="105"/>
      <c r="P148" s="105"/>
      <c r="Q148" s="105"/>
      <c r="R148" s="105"/>
      <c r="S148" s="105"/>
      <c r="T148" s="105"/>
      <c r="U148" s="104"/>
      <c r="V148" s="104"/>
      <c r="W148" s="104"/>
      <c r="X148" s="200"/>
      <c r="Y148" s="200"/>
      <c r="Z148" s="200"/>
      <c r="AA148" s="105"/>
      <c r="AB148" s="104"/>
      <c r="AC148" s="104"/>
      <c r="AD148" s="104"/>
      <c r="AE148" s="104"/>
    </row>
    <row r="149" spans="1:31" x14ac:dyDescent="0.2">
      <c r="A149" s="104"/>
      <c r="B149" s="104"/>
      <c r="C149" s="104"/>
      <c r="D149" s="105"/>
      <c r="E149" s="105"/>
      <c r="F149" s="105"/>
      <c r="G149" s="105"/>
      <c r="H149" s="105"/>
      <c r="I149" s="105"/>
      <c r="J149" s="105"/>
      <c r="K149" s="105"/>
      <c r="L149" s="105"/>
      <c r="M149" s="105"/>
      <c r="N149" s="105"/>
      <c r="O149" s="105"/>
      <c r="P149" s="105"/>
      <c r="Q149" s="105"/>
      <c r="R149" s="105"/>
      <c r="S149" s="105"/>
      <c r="T149" s="105"/>
      <c r="U149" s="104"/>
      <c r="V149" s="104"/>
      <c r="W149" s="104"/>
      <c r="X149" s="105"/>
      <c r="Y149" s="105"/>
      <c r="Z149" s="105"/>
      <c r="AA149" s="105"/>
      <c r="AB149" s="104"/>
      <c r="AC149" s="104"/>
      <c r="AD149" s="104"/>
      <c r="AE149" s="104"/>
    </row>
    <row r="150" spans="1:31" x14ac:dyDescent="0.2">
      <c r="A150" s="104"/>
      <c r="B150" s="104"/>
      <c r="C150" s="104"/>
      <c r="D150" s="105"/>
      <c r="E150" s="105"/>
      <c r="F150" s="105"/>
      <c r="G150" s="105"/>
      <c r="H150" s="105"/>
      <c r="I150" s="105"/>
      <c r="J150" s="105"/>
      <c r="K150" s="105"/>
      <c r="L150" s="105"/>
      <c r="M150" s="105"/>
      <c r="N150" s="105"/>
      <c r="O150" s="105"/>
      <c r="P150" s="105"/>
      <c r="Q150" s="105"/>
      <c r="R150" s="105"/>
      <c r="S150" s="105"/>
      <c r="T150" s="105"/>
      <c r="U150" s="104"/>
      <c r="V150" s="104"/>
      <c r="W150" s="104"/>
      <c r="X150" s="105"/>
      <c r="Y150" s="105"/>
      <c r="Z150" s="105"/>
      <c r="AA150" s="105"/>
      <c r="AB150" s="104"/>
      <c r="AC150" s="104"/>
      <c r="AD150" s="104"/>
      <c r="AE150" s="104"/>
    </row>
    <row r="151" spans="1:31" x14ac:dyDescent="0.2">
      <c r="A151" s="104"/>
      <c r="B151" s="104"/>
      <c r="C151" s="104"/>
      <c r="D151" s="105"/>
      <c r="E151" s="105"/>
      <c r="F151" s="105"/>
      <c r="G151" s="105"/>
      <c r="H151" s="105"/>
      <c r="I151" s="105"/>
      <c r="J151" s="105"/>
      <c r="K151" s="105"/>
      <c r="L151" s="105"/>
      <c r="M151" s="105"/>
      <c r="N151" s="105"/>
      <c r="O151" s="105"/>
      <c r="P151" s="105"/>
      <c r="Q151" s="105"/>
      <c r="R151" s="105"/>
      <c r="S151" s="105"/>
      <c r="T151" s="105"/>
      <c r="U151" s="104"/>
      <c r="V151" s="104"/>
      <c r="W151" s="104"/>
      <c r="X151" s="105"/>
      <c r="Y151" s="105"/>
      <c r="Z151" s="105"/>
      <c r="AA151" s="105"/>
      <c r="AB151" s="104"/>
      <c r="AC151" s="104"/>
      <c r="AD151" s="104"/>
      <c r="AE151" s="104"/>
    </row>
    <row r="152" spans="1:31" x14ac:dyDescent="0.2">
      <c r="A152" s="104"/>
      <c r="B152" s="104"/>
      <c r="C152" s="104"/>
      <c r="D152" s="105"/>
      <c r="E152" s="105"/>
      <c r="F152" s="105"/>
      <c r="G152" s="105"/>
      <c r="H152" s="105"/>
      <c r="I152" s="105"/>
      <c r="J152" s="105"/>
      <c r="K152" s="105"/>
      <c r="L152" s="105"/>
      <c r="M152" s="105"/>
      <c r="N152" s="105"/>
      <c r="O152" s="105"/>
      <c r="P152" s="105"/>
      <c r="Q152" s="105"/>
      <c r="R152" s="105"/>
      <c r="S152" s="105"/>
      <c r="T152" s="105"/>
      <c r="U152" s="104"/>
      <c r="V152" s="104"/>
      <c r="W152" s="104"/>
      <c r="X152" s="105"/>
      <c r="Y152" s="105"/>
      <c r="Z152" s="105"/>
      <c r="AA152" s="105"/>
      <c r="AB152" s="104"/>
      <c r="AC152" s="104"/>
      <c r="AD152" s="104"/>
      <c r="AE152" s="104"/>
    </row>
    <row r="153" spans="1:31" x14ac:dyDescent="0.2">
      <c r="A153" s="104"/>
      <c r="B153" s="104"/>
      <c r="C153" s="104"/>
      <c r="D153" s="105"/>
      <c r="E153" s="105"/>
      <c r="F153" s="105"/>
      <c r="G153" s="105"/>
      <c r="H153" s="105"/>
      <c r="I153" s="105"/>
      <c r="J153" s="105"/>
      <c r="K153" s="105"/>
      <c r="L153" s="105"/>
      <c r="M153" s="105"/>
      <c r="N153" s="105"/>
      <c r="O153" s="105"/>
      <c r="P153" s="105"/>
      <c r="Q153" s="105"/>
      <c r="R153" s="105"/>
      <c r="S153" s="105"/>
      <c r="T153" s="105"/>
      <c r="U153" s="104"/>
      <c r="V153" s="104"/>
      <c r="W153" s="104"/>
      <c r="X153" s="105"/>
      <c r="Y153" s="105"/>
      <c r="Z153" s="105"/>
      <c r="AA153" s="105"/>
      <c r="AB153" s="104"/>
      <c r="AC153" s="104"/>
      <c r="AD153" s="104"/>
      <c r="AE153" s="104"/>
    </row>
    <row r="154" spans="1:31" ht="18" x14ac:dyDescent="0.25">
      <c r="A154" s="104"/>
      <c r="B154" s="104"/>
      <c r="C154" s="104"/>
      <c r="D154" s="105"/>
      <c r="E154" s="105"/>
      <c r="F154" s="105"/>
      <c r="G154" s="105"/>
      <c r="H154" s="105"/>
      <c r="I154" s="105"/>
      <c r="J154" s="105"/>
      <c r="K154" s="105"/>
      <c r="L154" s="105"/>
      <c r="M154" s="105"/>
      <c r="N154" s="105"/>
      <c r="O154" s="105"/>
      <c r="P154" s="105"/>
      <c r="Q154" s="105"/>
      <c r="R154" s="105"/>
      <c r="S154" s="105"/>
      <c r="T154" s="105"/>
      <c r="U154" s="104"/>
      <c r="V154" s="104"/>
      <c r="W154" s="104"/>
      <c r="X154" s="105"/>
      <c r="Y154" s="105"/>
      <c r="Z154" s="105"/>
      <c r="AA154" s="200"/>
      <c r="AB154" s="199"/>
      <c r="AC154" s="199"/>
      <c r="AD154" s="199"/>
      <c r="AE154" s="199"/>
    </row>
    <row r="155" spans="1:31" x14ac:dyDescent="0.2">
      <c r="A155" s="104"/>
      <c r="B155" s="104"/>
      <c r="C155" s="104"/>
      <c r="D155" s="105"/>
      <c r="E155" s="105"/>
      <c r="F155" s="105"/>
      <c r="G155" s="105"/>
      <c r="H155" s="105"/>
      <c r="I155" s="105"/>
      <c r="J155" s="105"/>
      <c r="K155" s="105"/>
      <c r="L155" s="105"/>
      <c r="M155" s="105"/>
      <c r="N155" s="105"/>
      <c r="O155" s="105"/>
      <c r="P155" s="105"/>
      <c r="Q155" s="105"/>
      <c r="R155" s="105"/>
      <c r="S155" s="105"/>
      <c r="T155" s="105"/>
      <c r="U155" s="104"/>
      <c r="V155" s="104"/>
      <c r="W155" s="104"/>
      <c r="X155" s="105"/>
      <c r="Y155" s="105"/>
      <c r="Z155" s="105"/>
      <c r="AA155" s="105"/>
      <c r="AB155" s="104"/>
      <c r="AC155" s="104"/>
      <c r="AD155" s="104"/>
      <c r="AE155" s="104"/>
    </row>
    <row r="156" spans="1:31" x14ac:dyDescent="0.2">
      <c r="A156" s="104"/>
      <c r="B156" s="104"/>
      <c r="C156" s="104"/>
      <c r="D156" s="105"/>
      <c r="E156" s="105"/>
      <c r="F156" s="105"/>
      <c r="G156" s="105"/>
      <c r="H156" s="105"/>
      <c r="I156" s="105"/>
      <c r="J156" s="105"/>
      <c r="K156" s="105"/>
      <c r="L156" s="105"/>
      <c r="M156" s="105"/>
      <c r="N156" s="105"/>
      <c r="O156" s="105"/>
      <c r="P156" s="105"/>
      <c r="Q156" s="105"/>
      <c r="R156" s="105"/>
      <c r="S156" s="105"/>
      <c r="T156" s="105"/>
      <c r="U156" s="104"/>
      <c r="V156" s="104"/>
      <c r="W156" s="104"/>
      <c r="X156" s="105"/>
      <c r="Y156" s="105"/>
      <c r="Z156" s="105"/>
      <c r="AA156" s="105"/>
      <c r="AB156" s="104"/>
      <c r="AC156" s="104"/>
      <c r="AD156" s="104"/>
      <c r="AE156" s="104"/>
    </row>
    <row r="157" spans="1:31" x14ac:dyDescent="0.2">
      <c r="A157" s="104"/>
      <c r="B157" s="104"/>
      <c r="C157" s="104"/>
      <c r="D157" s="105"/>
      <c r="E157" s="105"/>
      <c r="F157" s="105"/>
      <c r="G157" s="105"/>
      <c r="H157" s="105"/>
      <c r="I157" s="105"/>
      <c r="J157" s="105"/>
      <c r="K157" s="105"/>
      <c r="L157" s="105"/>
      <c r="M157" s="105"/>
      <c r="N157" s="105"/>
      <c r="O157" s="105"/>
      <c r="P157" s="105"/>
      <c r="Q157" s="105"/>
      <c r="R157" s="105"/>
      <c r="S157" s="105"/>
      <c r="T157" s="105"/>
      <c r="U157" s="104"/>
      <c r="V157" s="104"/>
      <c r="W157" s="104"/>
      <c r="X157" s="105"/>
      <c r="Y157" s="105"/>
      <c r="Z157" s="105"/>
      <c r="AA157" s="105"/>
      <c r="AB157" s="104"/>
      <c r="AC157" s="104"/>
      <c r="AD157" s="104"/>
      <c r="AE157" s="104"/>
    </row>
  </sheetData>
  <mergeCells count="3">
    <mergeCell ref="AA3:AE3"/>
    <mergeCell ref="AA20:AE20"/>
    <mergeCell ref="AA71:AE71"/>
  </mergeCells>
  <pageMargins left="0.25" right="0.25"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D6A7C-3F7B-4E18-9662-1D37CE46C0EE}">
  <dimension ref="A1:AQ99"/>
  <sheetViews>
    <sheetView topLeftCell="A39" zoomScale="57" zoomScaleNormal="80" workbookViewId="0">
      <selection activeCell="C9" sqref="C9:C66"/>
    </sheetView>
  </sheetViews>
  <sheetFormatPr defaultColWidth="9.42578125" defaultRowHeight="15" x14ac:dyDescent="0.2"/>
  <cols>
    <col min="1" max="1" width="11.42578125" style="140" customWidth="1"/>
    <col min="2" max="2" width="9.42578125" style="140"/>
    <col min="3" max="3" width="19.28515625" style="140" bestFit="1" customWidth="1"/>
    <col min="4" max="4" width="29" style="140" customWidth="1"/>
    <col min="5" max="5" width="10.42578125" style="141" customWidth="1"/>
    <col min="6" max="6" width="11.5703125" style="141" customWidth="1"/>
    <col min="7" max="7" width="10.42578125" style="141" customWidth="1"/>
    <col min="8" max="8" width="7.42578125" style="141" customWidth="1"/>
    <col min="9" max="9" width="8.42578125" style="141" customWidth="1"/>
    <col min="10" max="11" width="7.42578125" style="141" customWidth="1"/>
    <col min="12" max="12" width="8.42578125" style="141" customWidth="1"/>
    <col min="13" max="13" width="6.5703125" style="141" customWidth="1"/>
    <col min="14" max="14" width="8.42578125" style="141" customWidth="1"/>
    <col min="15" max="19" width="8.5703125" style="141" customWidth="1"/>
    <col min="20" max="20" width="10.42578125" style="141" customWidth="1"/>
    <col min="21" max="21" width="13" style="141" customWidth="1"/>
    <col min="22" max="23" width="12.5703125" style="141" customWidth="1"/>
    <col min="24" max="24" width="13.42578125" style="140" customWidth="1"/>
    <col min="25" max="25" width="11.42578125" style="140" customWidth="1"/>
    <col min="26" max="26" width="22.5703125" style="140" bestFit="1" customWidth="1"/>
    <col min="27" max="27" width="11.42578125" style="141" customWidth="1"/>
    <col min="28" max="29" width="10.42578125" style="141" customWidth="1"/>
    <col min="30" max="30" width="12.5703125" style="141" bestFit="1" customWidth="1"/>
    <col min="31" max="31" width="12.5703125" style="140" customWidth="1"/>
    <col min="32" max="32" width="39" style="140" customWidth="1"/>
    <col min="33" max="33" width="12" style="140" bestFit="1" customWidth="1"/>
    <col min="34" max="34" width="11.5703125" style="140" bestFit="1" customWidth="1"/>
    <col min="35" max="38" width="9.42578125" style="140"/>
    <col min="39" max="42" width="24.42578125" style="140" customWidth="1"/>
    <col min="43" max="16384" width="9.42578125" style="140"/>
  </cols>
  <sheetData>
    <row r="1" spans="1:43" x14ac:dyDescent="0.2">
      <c r="A1" s="104"/>
      <c r="B1" s="104"/>
      <c r="C1" s="104"/>
      <c r="D1" s="104"/>
      <c r="E1" s="105"/>
      <c r="F1" s="105"/>
      <c r="G1" s="105"/>
      <c r="H1" s="155"/>
      <c r="I1" s="105"/>
      <c r="J1" s="105"/>
      <c r="K1" s="105"/>
      <c r="L1" s="105"/>
      <c r="M1" s="105"/>
      <c r="N1" s="105"/>
      <c r="O1" s="105"/>
      <c r="P1" s="105"/>
      <c r="Q1" s="105"/>
      <c r="R1" s="105"/>
      <c r="S1" s="105"/>
      <c r="T1" s="105"/>
      <c r="U1" s="105"/>
      <c r="V1" s="105"/>
      <c r="W1" s="105"/>
      <c r="X1" s="105"/>
      <c r="Y1" s="104"/>
      <c r="Z1" s="104"/>
      <c r="AA1" s="105"/>
      <c r="AB1" s="105"/>
      <c r="AC1" s="105"/>
      <c r="AD1" s="150"/>
      <c r="AE1" s="105"/>
      <c r="AF1" s="104"/>
      <c r="AG1" s="104"/>
      <c r="AH1" s="104"/>
      <c r="AI1" s="104"/>
      <c r="AJ1" s="104"/>
      <c r="AK1" s="104"/>
      <c r="AL1" s="104"/>
      <c r="AM1" s="104"/>
      <c r="AN1" s="104"/>
      <c r="AO1" s="104"/>
      <c r="AP1" s="104"/>
      <c r="AQ1" s="104"/>
    </row>
    <row r="2" spans="1:43" x14ac:dyDescent="0.2">
      <c r="A2" s="104"/>
      <c r="B2" s="104"/>
      <c r="C2" s="104"/>
      <c r="D2" s="155" t="s">
        <v>35</v>
      </c>
      <c r="E2" s="105"/>
      <c r="F2" s="105"/>
      <c r="G2" s="105"/>
      <c r="H2" s="105"/>
      <c r="I2" s="105"/>
      <c r="J2" s="105"/>
      <c r="K2" s="105"/>
      <c r="L2" s="105"/>
      <c r="M2" s="105"/>
      <c r="N2" s="105"/>
      <c r="O2" s="105"/>
      <c r="P2" s="105"/>
      <c r="Q2" s="105"/>
      <c r="R2" s="105"/>
      <c r="S2" s="105"/>
      <c r="T2" s="105"/>
      <c r="U2" s="105"/>
      <c r="V2" s="105"/>
      <c r="W2" s="105"/>
      <c r="X2" s="105"/>
      <c r="Y2" s="104"/>
      <c r="Z2" s="104"/>
      <c r="AA2" s="105"/>
      <c r="AB2" s="105"/>
      <c r="AC2" s="105"/>
      <c r="AD2" s="150"/>
      <c r="AE2" s="105"/>
      <c r="AF2" s="104"/>
      <c r="AG2" s="104"/>
      <c r="AH2" s="104"/>
      <c r="AI2" s="104"/>
      <c r="AJ2" s="104"/>
      <c r="AK2" s="104"/>
      <c r="AL2" s="104"/>
      <c r="AM2" s="104"/>
      <c r="AN2" s="104"/>
      <c r="AO2" s="104"/>
      <c r="AP2" s="104"/>
      <c r="AQ2" s="104"/>
    </row>
    <row r="3" spans="1:43" x14ac:dyDescent="0.2">
      <c r="A3" s="104"/>
      <c r="B3" s="104"/>
      <c r="C3" s="104"/>
      <c r="D3" s="105"/>
      <c r="E3" s="105"/>
      <c r="F3" s="105"/>
      <c r="G3" s="105"/>
      <c r="H3" s="105"/>
      <c r="I3" s="105"/>
      <c r="J3" s="105"/>
      <c r="K3" s="105"/>
      <c r="L3" s="105"/>
      <c r="M3" s="105"/>
      <c r="N3" s="105"/>
      <c r="O3" s="105"/>
      <c r="P3" s="105"/>
      <c r="Q3" s="105"/>
      <c r="R3" s="105"/>
      <c r="S3" s="105"/>
      <c r="T3" s="105"/>
      <c r="U3" s="105"/>
      <c r="V3" s="105"/>
      <c r="W3" s="105"/>
      <c r="X3" s="105"/>
      <c r="Y3" s="104"/>
      <c r="Z3" s="104"/>
      <c r="AA3" s="105"/>
      <c r="AB3" s="105"/>
      <c r="AC3" s="105"/>
      <c r="AD3" s="579" t="s">
        <v>516</v>
      </c>
      <c r="AE3" s="579"/>
      <c r="AF3" s="579"/>
      <c r="AG3" s="579"/>
      <c r="AH3" s="579"/>
      <c r="AI3" s="104"/>
      <c r="AJ3" s="104"/>
      <c r="AK3" s="104"/>
      <c r="AL3" s="104"/>
      <c r="AM3" s="104"/>
      <c r="AN3" s="104"/>
      <c r="AO3" s="104"/>
      <c r="AP3" s="104"/>
      <c r="AQ3" s="104"/>
    </row>
    <row r="4" spans="1:43" x14ac:dyDescent="0.2">
      <c r="A4" s="104"/>
      <c r="B4" s="104"/>
      <c r="C4" s="104"/>
      <c r="D4" s="104"/>
      <c r="E4" s="105"/>
      <c r="F4" s="105"/>
      <c r="G4" s="105"/>
      <c r="H4" s="105"/>
      <c r="I4" s="105"/>
      <c r="J4" s="105"/>
      <c r="K4" s="105"/>
      <c r="L4" s="105"/>
      <c r="M4" s="105"/>
      <c r="N4" s="105"/>
      <c r="O4" s="105"/>
      <c r="P4" s="105"/>
      <c r="Q4" s="105"/>
      <c r="R4" s="105"/>
      <c r="S4" s="105"/>
      <c r="T4" s="105"/>
      <c r="U4" s="105"/>
      <c r="V4" s="105"/>
      <c r="W4" s="105"/>
      <c r="X4" s="105"/>
      <c r="Y4" s="104"/>
      <c r="Z4" s="104"/>
      <c r="AA4" s="105"/>
      <c r="AB4" s="105"/>
      <c r="AC4" s="105"/>
      <c r="AD4"/>
      <c r="AE4"/>
      <c r="AF4"/>
      <c r="AG4"/>
      <c r="AH4"/>
      <c r="AI4" s="104"/>
      <c r="AJ4" s="104"/>
      <c r="AK4" s="104"/>
      <c r="AL4" s="104"/>
      <c r="AM4" s="104"/>
      <c r="AN4" s="104"/>
      <c r="AO4" s="104"/>
      <c r="AP4" s="104"/>
      <c r="AQ4" s="104"/>
    </row>
    <row r="5" spans="1:43" ht="15.75" thickBot="1" x14ac:dyDescent="0.25">
      <c r="A5" s="104"/>
      <c r="B5" s="104"/>
      <c r="C5" s="104"/>
      <c r="D5" s="104"/>
      <c r="E5" s="105"/>
      <c r="F5" s="105"/>
      <c r="G5" s="105"/>
      <c r="H5" s="105"/>
      <c r="I5" s="105"/>
      <c r="J5" s="105"/>
      <c r="K5" s="105"/>
      <c r="L5" s="105"/>
      <c r="M5" s="105"/>
      <c r="N5" s="105"/>
      <c r="O5" s="105" t="s">
        <v>290</v>
      </c>
      <c r="P5" s="105"/>
      <c r="Q5" s="105"/>
      <c r="R5" s="105"/>
      <c r="S5" s="105"/>
      <c r="T5" s="105"/>
      <c r="U5" s="105"/>
      <c r="V5" s="105"/>
      <c r="W5" s="105"/>
      <c r="X5" s="105"/>
      <c r="Y5" s="104"/>
      <c r="Z5" s="104"/>
      <c r="AA5" s="105"/>
      <c r="AB5" s="105"/>
      <c r="AC5" s="105"/>
      <c r="AD5" s="205">
        <v>44623</v>
      </c>
      <c r="AE5">
        <v>2021</v>
      </c>
      <c r="AF5" t="s">
        <v>517</v>
      </c>
      <c r="AG5">
        <v>426</v>
      </c>
      <c r="AH5" t="s">
        <v>102</v>
      </c>
      <c r="AI5" s="104"/>
      <c r="AJ5" s="104"/>
      <c r="AK5" s="104"/>
      <c r="AL5" s="104"/>
      <c r="AM5" s="104"/>
      <c r="AN5" s="104"/>
      <c r="AO5" s="104"/>
      <c r="AP5" s="104"/>
      <c r="AQ5" s="104"/>
    </row>
    <row r="6" spans="1:43" ht="16.5" thickBot="1" x14ac:dyDescent="0.3">
      <c r="A6" s="106"/>
      <c r="B6" s="107" t="s">
        <v>0</v>
      </c>
      <c r="C6" s="108"/>
      <c r="D6" s="108"/>
      <c r="E6" s="108"/>
      <c r="F6" s="170"/>
      <c r="G6" s="170"/>
      <c r="H6" s="170"/>
      <c r="I6" s="170"/>
      <c r="J6" s="170"/>
      <c r="K6" s="170"/>
      <c r="L6" s="170"/>
      <c r="M6" s="170"/>
      <c r="N6" s="170"/>
      <c r="O6" s="170"/>
      <c r="P6" s="170"/>
      <c r="Q6" s="170"/>
      <c r="R6" s="170"/>
      <c r="S6" s="170"/>
      <c r="T6" s="170"/>
      <c r="U6" s="170"/>
      <c r="V6" s="170"/>
      <c r="W6" s="170"/>
      <c r="X6" s="151"/>
      <c r="Y6" s="107" t="s">
        <v>0</v>
      </c>
      <c r="Z6" s="108"/>
      <c r="AA6" s="105"/>
      <c r="AB6" s="105"/>
      <c r="AC6" s="105"/>
      <c r="AD6" s="205">
        <v>44623</v>
      </c>
      <c r="AE6">
        <v>2021</v>
      </c>
      <c r="AF6" t="s">
        <v>518</v>
      </c>
      <c r="AG6">
        <v>200</v>
      </c>
      <c r="AH6" t="s">
        <v>102</v>
      </c>
      <c r="AI6" s="104"/>
      <c r="AJ6" s="104"/>
      <c r="AK6" s="104"/>
      <c r="AL6" s="104"/>
      <c r="AM6" s="104"/>
      <c r="AN6" s="104"/>
      <c r="AO6" s="104"/>
      <c r="AP6" s="104"/>
      <c r="AQ6" s="104"/>
    </row>
    <row r="7" spans="1:43" ht="63.75" thickBot="1" x14ac:dyDescent="0.3">
      <c r="A7" s="248" t="s">
        <v>60</v>
      </c>
      <c r="B7" s="83" t="s">
        <v>3</v>
      </c>
      <c r="C7" s="549" t="s">
        <v>847</v>
      </c>
      <c r="D7" s="55" t="s">
        <v>2</v>
      </c>
      <c r="E7" s="56" t="s">
        <v>469</v>
      </c>
      <c r="F7" s="57" t="s">
        <v>519</v>
      </c>
      <c r="G7" s="57" t="s">
        <v>520</v>
      </c>
      <c r="H7" s="103" t="s">
        <v>4</v>
      </c>
      <c r="I7" s="58" t="s">
        <v>5</v>
      </c>
      <c r="J7" s="58" t="s">
        <v>6</v>
      </c>
      <c r="K7" s="58" t="s">
        <v>7</v>
      </c>
      <c r="L7" s="58" t="s">
        <v>8</v>
      </c>
      <c r="M7" s="58" t="s">
        <v>9</v>
      </c>
      <c r="N7" s="58" t="s">
        <v>10</v>
      </c>
      <c r="O7" s="58" t="s">
        <v>11</v>
      </c>
      <c r="P7" s="58" t="s">
        <v>12</v>
      </c>
      <c r="Q7" s="58" t="s">
        <v>13</v>
      </c>
      <c r="R7" s="58" t="s">
        <v>14</v>
      </c>
      <c r="S7" s="58" t="s">
        <v>15</v>
      </c>
      <c r="T7" s="59" t="s">
        <v>16</v>
      </c>
      <c r="U7" s="60" t="s">
        <v>521</v>
      </c>
      <c r="V7" s="57" t="s">
        <v>19</v>
      </c>
      <c r="W7" s="208" t="s">
        <v>522</v>
      </c>
      <c r="X7" s="61" t="s">
        <v>41</v>
      </c>
      <c r="Y7" s="83" t="s">
        <v>3</v>
      </c>
      <c r="Z7" s="55" t="s">
        <v>2</v>
      </c>
      <c r="AA7" s="105"/>
      <c r="AB7" s="105"/>
      <c r="AC7" s="105"/>
      <c r="AD7" s="205">
        <v>44623</v>
      </c>
      <c r="AE7">
        <v>2021</v>
      </c>
      <c r="AF7" t="s">
        <v>523</v>
      </c>
      <c r="AG7">
        <v>97</v>
      </c>
      <c r="AH7" t="s">
        <v>102</v>
      </c>
      <c r="AI7" s="104"/>
      <c r="AJ7" s="104"/>
      <c r="AK7" s="104"/>
      <c r="AL7" s="104"/>
      <c r="AM7" s="104"/>
      <c r="AN7" s="104"/>
      <c r="AO7" s="104"/>
      <c r="AP7" s="104"/>
      <c r="AQ7" s="104"/>
    </row>
    <row r="8" spans="1:43" x14ac:dyDescent="0.2">
      <c r="A8" s="249"/>
      <c r="B8" s="249"/>
      <c r="C8" s="249"/>
      <c r="D8" s="249"/>
      <c r="E8" s="250"/>
      <c r="F8" s="251"/>
      <c r="G8" s="251"/>
      <c r="H8" s="251"/>
      <c r="I8" s="251"/>
      <c r="J8" s="251"/>
      <c r="K8" s="251"/>
      <c r="L8" s="251"/>
      <c r="M8" s="251"/>
      <c r="N8" s="251"/>
      <c r="O8" s="251"/>
      <c r="P8" s="251"/>
      <c r="Q8" s="251"/>
      <c r="R8" s="251"/>
      <c r="S8" s="251"/>
      <c r="T8" s="509"/>
      <c r="U8" s="510"/>
      <c r="V8" s="511"/>
      <c r="W8" s="526"/>
      <c r="X8" s="462"/>
      <c r="Y8" s="249"/>
      <c r="Z8" s="249"/>
      <c r="AA8" s="105"/>
      <c r="AB8" s="105"/>
      <c r="AC8" s="105"/>
      <c r="AD8" s="205">
        <v>44623</v>
      </c>
      <c r="AE8">
        <v>2021</v>
      </c>
      <c r="AF8" t="s">
        <v>524</v>
      </c>
      <c r="AG8">
        <v>115</v>
      </c>
      <c r="AH8" t="s">
        <v>102</v>
      </c>
      <c r="AI8" s="104"/>
      <c r="AJ8" s="104"/>
      <c r="AK8" s="104"/>
      <c r="AL8" s="104"/>
      <c r="AM8" s="104"/>
      <c r="AN8" s="104"/>
      <c r="AO8" s="104"/>
      <c r="AP8" s="104"/>
      <c r="AQ8" s="104"/>
    </row>
    <row r="9" spans="1:43" x14ac:dyDescent="0.2">
      <c r="A9" s="252">
        <v>30306</v>
      </c>
      <c r="B9" s="253">
        <v>2015</v>
      </c>
      <c r="C9" s="253">
        <v>5</v>
      </c>
      <c r="D9" s="252" t="s">
        <v>244</v>
      </c>
      <c r="E9" s="512">
        <v>0.83333333333333337</v>
      </c>
      <c r="F9" s="241">
        <v>165</v>
      </c>
      <c r="G9" s="241">
        <v>0</v>
      </c>
      <c r="H9" s="241">
        <v>7</v>
      </c>
      <c r="I9" s="241">
        <v>63</v>
      </c>
      <c r="J9" s="241">
        <v>0</v>
      </c>
      <c r="K9" s="241">
        <v>0</v>
      </c>
      <c r="L9" s="241">
        <v>0</v>
      </c>
      <c r="M9" s="241">
        <v>0</v>
      </c>
      <c r="N9" s="241">
        <v>0</v>
      </c>
      <c r="O9" s="241">
        <v>2</v>
      </c>
      <c r="P9" s="241">
        <v>1</v>
      </c>
      <c r="Q9" s="241">
        <v>1</v>
      </c>
      <c r="R9" s="241">
        <v>0</v>
      </c>
      <c r="S9" s="241">
        <v>0</v>
      </c>
      <c r="T9" s="256">
        <f>SUM(H9:S9)</f>
        <v>74</v>
      </c>
      <c r="U9" s="512">
        <f>IFERROR((AVERAGE(H9:S9)),0)</f>
        <v>6.166666666666667</v>
      </c>
      <c r="V9" s="513">
        <f>IFERROR((X9/U9),0)</f>
        <v>14.756756756756756</v>
      </c>
      <c r="W9" s="527">
        <v>0</v>
      </c>
      <c r="X9" s="461">
        <f>F9+G9+W9-T9</f>
        <v>91</v>
      </c>
      <c r="Y9" s="253">
        <v>2015</v>
      </c>
      <c r="Z9" s="252" t="s">
        <v>73</v>
      </c>
      <c r="AA9" s="105"/>
      <c r="AB9" s="105"/>
      <c r="AC9" s="105"/>
      <c r="AD9" s="205">
        <v>44623</v>
      </c>
      <c r="AE9">
        <v>2021</v>
      </c>
      <c r="AF9" t="s">
        <v>525</v>
      </c>
      <c r="AG9">
        <v>114</v>
      </c>
      <c r="AH9" t="s">
        <v>102</v>
      </c>
      <c r="AI9" s="104"/>
      <c r="AJ9" s="104"/>
      <c r="AK9" s="104"/>
      <c r="AL9" s="104"/>
      <c r="AM9" s="104"/>
      <c r="AN9" s="104"/>
      <c r="AO9" s="104"/>
      <c r="AP9" s="104"/>
      <c r="AQ9" s="104"/>
    </row>
    <row r="10" spans="1:43" x14ac:dyDescent="0.2">
      <c r="A10" s="249"/>
      <c r="B10" s="249"/>
      <c r="C10" s="249">
        <v>0</v>
      </c>
      <c r="D10" s="249"/>
      <c r="E10" s="476"/>
      <c r="F10" s="251"/>
      <c r="G10" s="251"/>
      <c r="H10" s="251"/>
      <c r="I10" s="251"/>
      <c r="J10" s="251"/>
      <c r="K10" s="251"/>
      <c r="L10" s="251"/>
      <c r="M10" s="251"/>
      <c r="N10" s="251"/>
      <c r="O10" s="251"/>
      <c r="P10" s="251"/>
      <c r="Q10" s="251"/>
      <c r="R10" s="251"/>
      <c r="S10" s="251"/>
      <c r="T10" s="251"/>
      <c r="U10" s="251"/>
      <c r="V10" s="251"/>
      <c r="W10" s="251"/>
      <c r="X10" s="251"/>
      <c r="Y10" s="249"/>
      <c r="Z10" s="249"/>
      <c r="AA10" s="105"/>
      <c r="AB10" s="105"/>
      <c r="AC10" s="105"/>
      <c r="AD10"/>
      <c r="AE10"/>
      <c r="AF10"/>
      <c r="AG10"/>
      <c r="AH10"/>
      <c r="AI10" s="104"/>
      <c r="AJ10" s="104"/>
      <c r="AK10" s="104"/>
      <c r="AL10" s="104"/>
      <c r="AM10" s="104"/>
      <c r="AN10" s="104"/>
      <c r="AO10" s="104"/>
      <c r="AP10" s="104"/>
      <c r="AQ10" s="104"/>
    </row>
    <row r="11" spans="1:43" ht="15" customHeight="1" x14ac:dyDescent="0.2">
      <c r="A11" s="252">
        <v>57630</v>
      </c>
      <c r="B11" s="112">
        <v>2017</v>
      </c>
      <c r="C11" s="112">
        <v>2</v>
      </c>
      <c r="D11" s="252" t="s">
        <v>25</v>
      </c>
      <c r="E11" s="477">
        <v>33.25</v>
      </c>
      <c r="F11" s="241">
        <v>93</v>
      </c>
      <c r="G11" s="241">
        <v>0</v>
      </c>
      <c r="H11" s="241">
        <v>9</v>
      </c>
      <c r="I11" s="241">
        <v>28</v>
      </c>
      <c r="J11" s="241">
        <v>19</v>
      </c>
      <c r="K11" s="241">
        <v>29</v>
      </c>
      <c r="L11" s="241">
        <v>8</v>
      </c>
      <c r="M11" s="281"/>
      <c r="N11" s="281"/>
      <c r="O11" s="281"/>
      <c r="P11" s="281"/>
      <c r="Q11" s="281"/>
      <c r="R11" s="281"/>
      <c r="S11" s="281"/>
      <c r="T11" s="256">
        <f t="shared" ref="T11:T12" si="0">SUM(H11:S11)</f>
        <v>93</v>
      </c>
      <c r="U11" s="512">
        <f t="shared" ref="U11:U20" si="1">IFERROR((AVERAGE(H11:S11)),0)</f>
        <v>18.600000000000001</v>
      </c>
      <c r="V11" s="513">
        <f t="shared" ref="V11:V20" si="2">IFERROR((X11/U11),0)</f>
        <v>0</v>
      </c>
      <c r="W11" s="527">
        <v>0</v>
      </c>
      <c r="X11" s="461">
        <f t="shared" ref="X11:X66" si="3">F11+G11+W11-T11</f>
        <v>0</v>
      </c>
      <c r="Y11" s="112">
        <v>2017</v>
      </c>
      <c r="Z11" s="252" t="s">
        <v>25</v>
      </c>
      <c r="AA11" s="105"/>
      <c r="AB11" s="105"/>
      <c r="AC11" s="105"/>
      <c r="AD11" s="205">
        <v>44672</v>
      </c>
      <c r="AE11">
        <v>2021</v>
      </c>
      <c r="AF11" t="s">
        <v>525</v>
      </c>
      <c r="AG11" s="104">
        <v>110</v>
      </c>
      <c r="AH11" s="104" t="s">
        <v>102</v>
      </c>
      <c r="AI11" s="104"/>
      <c r="AJ11" s="104"/>
      <c r="AK11" s="104"/>
      <c r="AL11" s="104"/>
      <c r="AM11" s="104"/>
      <c r="AN11" s="104"/>
      <c r="AO11" s="104"/>
      <c r="AP11" s="104"/>
      <c r="AQ11" s="104"/>
    </row>
    <row r="12" spans="1:43" ht="15" customHeight="1" x14ac:dyDescent="0.2">
      <c r="A12" s="252">
        <v>135370</v>
      </c>
      <c r="B12" s="112">
        <v>2017</v>
      </c>
      <c r="C12" s="112">
        <v>4</v>
      </c>
      <c r="D12" s="252" t="s">
        <v>217</v>
      </c>
      <c r="E12" s="478">
        <v>7.666666666666667</v>
      </c>
      <c r="F12" s="241">
        <v>64</v>
      </c>
      <c r="G12" s="241">
        <v>0</v>
      </c>
      <c r="H12" s="241">
        <v>13</v>
      </c>
      <c r="I12" s="241">
        <v>9</v>
      </c>
      <c r="J12" s="241">
        <v>9</v>
      </c>
      <c r="K12" s="241">
        <v>6</v>
      </c>
      <c r="L12" s="241">
        <v>8</v>
      </c>
      <c r="M12" s="241">
        <v>5</v>
      </c>
      <c r="N12" s="241">
        <v>5</v>
      </c>
      <c r="O12" s="241">
        <v>6</v>
      </c>
      <c r="P12" s="241">
        <v>3</v>
      </c>
      <c r="Q12" s="281"/>
      <c r="R12" s="281"/>
      <c r="S12" s="281"/>
      <c r="T12" s="256">
        <f t="shared" si="0"/>
        <v>64</v>
      </c>
      <c r="U12" s="512">
        <f t="shared" si="1"/>
        <v>7.1111111111111107</v>
      </c>
      <c r="V12" s="513">
        <f t="shared" si="2"/>
        <v>0</v>
      </c>
      <c r="W12" s="527">
        <v>0</v>
      </c>
      <c r="X12" s="461">
        <f t="shared" si="3"/>
        <v>0</v>
      </c>
      <c r="Y12" s="112">
        <v>2017</v>
      </c>
      <c r="Z12" s="252" t="s">
        <v>217</v>
      </c>
      <c r="AA12" s="105"/>
      <c r="AB12" s="105"/>
      <c r="AC12" s="105"/>
      <c r="AD12" s="105"/>
      <c r="AE12" s="104"/>
      <c r="AF12" s="104"/>
      <c r="AG12" s="104"/>
      <c r="AH12" s="104"/>
      <c r="AI12" s="104"/>
      <c r="AJ12" s="104"/>
      <c r="AK12" s="104"/>
      <c r="AL12" s="104"/>
      <c r="AM12" s="104"/>
      <c r="AN12" s="104"/>
      <c r="AO12" s="104"/>
      <c r="AP12" s="104"/>
      <c r="AQ12" s="104"/>
    </row>
    <row r="13" spans="1:43" ht="15" customHeight="1" x14ac:dyDescent="0.2">
      <c r="A13" s="252">
        <v>137517</v>
      </c>
      <c r="B13" s="112">
        <v>2017</v>
      </c>
      <c r="C13" s="112">
        <v>5</v>
      </c>
      <c r="D13" s="252" t="s">
        <v>311</v>
      </c>
      <c r="E13" s="478">
        <v>4.916666666666667</v>
      </c>
      <c r="F13" s="241">
        <v>41</v>
      </c>
      <c r="G13" s="241">
        <v>0</v>
      </c>
      <c r="H13" s="241">
        <v>1</v>
      </c>
      <c r="I13" s="241">
        <v>2</v>
      </c>
      <c r="J13" s="241">
        <v>5</v>
      </c>
      <c r="K13" s="241">
        <v>1</v>
      </c>
      <c r="L13" s="241">
        <v>4</v>
      </c>
      <c r="M13" s="241">
        <v>5</v>
      </c>
      <c r="N13" s="241">
        <v>2</v>
      </c>
      <c r="O13" s="241">
        <v>1</v>
      </c>
      <c r="P13" s="241">
        <v>5</v>
      </c>
      <c r="Q13" s="241">
        <v>4</v>
      </c>
      <c r="R13" s="241">
        <v>3</v>
      </c>
      <c r="S13" s="241">
        <v>1</v>
      </c>
      <c r="T13" s="256">
        <f t="shared" ref="T13:T20" si="4">SUM(H13:S13)</f>
        <v>34</v>
      </c>
      <c r="U13" s="512">
        <f t="shared" si="1"/>
        <v>2.8333333333333335</v>
      </c>
      <c r="V13" s="513">
        <f t="shared" si="2"/>
        <v>3.1764705882352939</v>
      </c>
      <c r="W13" s="527">
        <v>2</v>
      </c>
      <c r="X13" s="461">
        <f t="shared" si="3"/>
        <v>9</v>
      </c>
      <c r="Y13" s="112">
        <v>2017</v>
      </c>
      <c r="Z13" s="252" t="s">
        <v>311</v>
      </c>
      <c r="AA13" s="105"/>
      <c r="AB13" s="105"/>
      <c r="AC13" s="105"/>
      <c r="AD13" s="205">
        <v>44672</v>
      </c>
      <c r="AE13">
        <v>2021</v>
      </c>
      <c r="AF13" t="s">
        <v>526</v>
      </c>
      <c r="AG13">
        <v>222</v>
      </c>
      <c r="AH13" t="s">
        <v>102</v>
      </c>
      <c r="AI13" s="104"/>
      <c r="AJ13" s="104"/>
      <c r="AK13" s="104"/>
      <c r="AL13" s="104">
        <v>7</v>
      </c>
      <c r="AM13" s="104"/>
      <c r="AN13" s="104"/>
      <c r="AO13" s="104"/>
      <c r="AP13" s="104"/>
      <c r="AQ13" s="104"/>
    </row>
    <row r="14" spans="1:43" ht="15" customHeight="1" x14ac:dyDescent="0.2">
      <c r="A14" s="249"/>
      <c r="B14" s="165"/>
      <c r="C14" s="165">
        <v>0</v>
      </c>
      <c r="D14" s="249"/>
      <c r="E14" s="479"/>
      <c r="F14" s="251" t="e">
        <v>#VALUE!</v>
      </c>
      <c r="G14" s="251"/>
      <c r="H14" s="251"/>
      <c r="I14" s="251"/>
      <c r="J14" s="251"/>
      <c r="K14" s="251"/>
      <c r="L14" s="251"/>
      <c r="M14" s="251"/>
      <c r="N14" s="251"/>
      <c r="O14" s="251"/>
      <c r="P14" s="251"/>
      <c r="Q14" s="251"/>
      <c r="R14" s="251"/>
      <c r="S14" s="251"/>
      <c r="T14" s="251" t="s">
        <v>35</v>
      </c>
      <c r="U14" s="510">
        <f t="shared" si="1"/>
        <v>0</v>
      </c>
      <c r="V14" s="511">
        <f t="shared" si="2"/>
        <v>0</v>
      </c>
      <c r="W14" s="526"/>
      <c r="X14" s="251"/>
      <c r="Y14" s="165"/>
      <c r="Z14" s="249"/>
      <c r="AA14" s="105"/>
      <c r="AB14" s="105"/>
      <c r="AC14" s="105"/>
      <c r="AD14" s="205">
        <v>44672</v>
      </c>
      <c r="AE14">
        <v>2021</v>
      </c>
      <c r="AF14" t="s">
        <v>527</v>
      </c>
      <c r="AG14">
        <v>56</v>
      </c>
      <c r="AH14" t="s">
        <v>102</v>
      </c>
      <c r="AI14" s="104"/>
      <c r="AJ14" s="104"/>
      <c r="AK14" s="104"/>
      <c r="AL14" s="104"/>
      <c r="AM14" s="104"/>
      <c r="AN14" s="104"/>
      <c r="AO14" s="104"/>
      <c r="AP14" s="104"/>
      <c r="AQ14" s="104"/>
    </row>
    <row r="15" spans="1:43" ht="15" customHeight="1" x14ac:dyDescent="0.2">
      <c r="A15" s="252">
        <v>57630</v>
      </c>
      <c r="B15" s="112">
        <v>2018</v>
      </c>
      <c r="C15" s="112">
        <v>2</v>
      </c>
      <c r="D15" s="252" t="s">
        <v>25</v>
      </c>
      <c r="E15" s="478">
        <v>28</v>
      </c>
      <c r="F15" s="241">
        <v>360</v>
      </c>
      <c r="G15" s="241">
        <v>0</v>
      </c>
      <c r="H15" s="282">
        <v>27</v>
      </c>
      <c r="I15" s="282">
        <v>1</v>
      </c>
      <c r="J15" s="282">
        <v>3</v>
      </c>
      <c r="K15" s="282">
        <v>2</v>
      </c>
      <c r="L15" s="283">
        <v>29</v>
      </c>
      <c r="M15" s="283">
        <v>28</v>
      </c>
      <c r="N15" s="283">
        <v>21</v>
      </c>
      <c r="O15" s="283">
        <v>29</v>
      </c>
      <c r="P15" s="283">
        <v>34</v>
      </c>
      <c r="Q15" s="283">
        <v>28</v>
      </c>
      <c r="R15" s="283">
        <v>64</v>
      </c>
      <c r="S15" s="283">
        <v>30</v>
      </c>
      <c r="T15" s="256">
        <f t="shared" si="4"/>
        <v>296</v>
      </c>
      <c r="U15" s="512">
        <f t="shared" si="1"/>
        <v>24.666666666666668</v>
      </c>
      <c r="V15" s="513">
        <f t="shared" si="2"/>
        <v>2.8378378378378377</v>
      </c>
      <c r="W15" s="527">
        <v>6</v>
      </c>
      <c r="X15" s="461">
        <f t="shared" si="3"/>
        <v>70</v>
      </c>
      <c r="Y15" s="112">
        <v>2018</v>
      </c>
      <c r="Z15" s="252" t="s">
        <v>25</v>
      </c>
      <c r="AA15" s="105"/>
      <c r="AB15" s="105"/>
      <c r="AC15" s="105"/>
      <c r="AD15" s="205">
        <v>44672</v>
      </c>
      <c r="AE15">
        <v>2021</v>
      </c>
      <c r="AF15" t="s">
        <v>528</v>
      </c>
      <c r="AG15">
        <v>197</v>
      </c>
      <c r="AH15" t="s">
        <v>102</v>
      </c>
      <c r="AI15" s="104"/>
      <c r="AJ15" s="104"/>
      <c r="AK15" s="104"/>
      <c r="AL15" s="104"/>
      <c r="AM15" s="104"/>
      <c r="AN15" s="104"/>
      <c r="AO15" s="104"/>
      <c r="AP15" s="104"/>
      <c r="AQ15" s="104"/>
    </row>
    <row r="16" spans="1:43" ht="15" customHeight="1" x14ac:dyDescent="0.2">
      <c r="A16" s="252">
        <v>133688</v>
      </c>
      <c r="B16" s="112">
        <v>2018</v>
      </c>
      <c r="C16" s="112">
        <v>3</v>
      </c>
      <c r="D16" s="252" t="s">
        <v>23</v>
      </c>
      <c r="E16" s="478">
        <v>10.75</v>
      </c>
      <c r="F16" s="241">
        <v>200</v>
      </c>
      <c r="G16" s="241">
        <v>0</v>
      </c>
      <c r="H16" s="241">
        <v>20</v>
      </c>
      <c r="I16" s="241">
        <v>32</v>
      </c>
      <c r="J16" s="241">
        <v>26</v>
      </c>
      <c r="K16" s="241">
        <v>27</v>
      </c>
      <c r="L16" s="241">
        <v>19</v>
      </c>
      <c r="M16" s="241">
        <v>22</v>
      </c>
      <c r="N16" s="241">
        <v>10</v>
      </c>
      <c r="O16" s="241">
        <v>22</v>
      </c>
      <c r="P16" s="241">
        <v>22</v>
      </c>
      <c r="Q16" s="281"/>
      <c r="R16" s="281"/>
      <c r="S16" s="281"/>
      <c r="T16" s="256">
        <f t="shared" si="4"/>
        <v>200</v>
      </c>
      <c r="U16" s="512">
        <f t="shared" si="1"/>
        <v>22.222222222222221</v>
      </c>
      <c r="V16" s="513">
        <f t="shared" si="2"/>
        <v>0</v>
      </c>
      <c r="W16" s="527">
        <v>0</v>
      </c>
      <c r="X16" s="461">
        <f t="shared" si="3"/>
        <v>0</v>
      </c>
      <c r="Y16" s="112">
        <v>2018</v>
      </c>
      <c r="Z16" s="252" t="s">
        <v>23</v>
      </c>
      <c r="AA16" s="105"/>
      <c r="AB16" s="105"/>
      <c r="AC16" s="105"/>
      <c r="AD16" s="205">
        <v>44672</v>
      </c>
      <c r="AE16">
        <v>2021</v>
      </c>
      <c r="AF16" t="s">
        <v>529</v>
      </c>
      <c r="AG16">
        <v>473</v>
      </c>
      <c r="AH16" t="s">
        <v>102</v>
      </c>
      <c r="AI16" s="104"/>
      <c r="AJ16" s="104"/>
      <c r="AK16" s="104"/>
      <c r="AL16" s="104"/>
      <c r="AM16" s="104"/>
      <c r="AN16" s="104"/>
      <c r="AO16" s="104"/>
      <c r="AP16" s="104"/>
      <c r="AQ16" s="104"/>
    </row>
    <row r="17" spans="1:43" ht="15" customHeight="1" x14ac:dyDescent="0.2">
      <c r="A17" s="252">
        <v>27736</v>
      </c>
      <c r="B17" s="112">
        <v>2018</v>
      </c>
      <c r="C17" s="112">
        <v>3</v>
      </c>
      <c r="D17" s="252" t="s">
        <v>70</v>
      </c>
      <c r="E17" s="478">
        <v>8.5</v>
      </c>
      <c r="F17" s="241">
        <v>319</v>
      </c>
      <c r="G17" s="241">
        <v>0</v>
      </c>
      <c r="H17" s="241">
        <v>0</v>
      </c>
      <c r="I17" s="241">
        <v>0</v>
      </c>
      <c r="J17" s="241">
        <v>0</v>
      </c>
      <c r="K17" s="241">
        <v>8</v>
      </c>
      <c r="L17" s="241">
        <v>101</v>
      </c>
      <c r="M17" s="241">
        <v>26</v>
      </c>
      <c r="N17" s="241">
        <v>53</v>
      </c>
      <c r="O17" s="241">
        <v>55</v>
      </c>
      <c r="P17" s="241">
        <v>27</v>
      </c>
      <c r="Q17" s="241">
        <v>49</v>
      </c>
      <c r="R17" s="281"/>
      <c r="S17" s="281"/>
      <c r="T17" s="256">
        <f t="shared" si="4"/>
        <v>319</v>
      </c>
      <c r="U17" s="512">
        <f t="shared" si="1"/>
        <v>31.9</v>
      </c>
      <c r="V17" s="513">
        <f t="shared" si="2"/>
        <v>0</v>
      </c>
      <c r="W17" s="527">
        <v>0</v>
      </c>
      <c r="X17" s="461">
        <f t="shared" si="3"/>
        <v>0</v>
      </c>
      <c r="Y17" s="112">
        <v>2018</v>
      </c>
      <c r="Z17" s="252" t="s">
        <v>70</v>
      </c>
      <c r="AA17" s="105"/>
      <c r="AB17" s="105"/>
      <c r="AC17" s="105"/>
      <c r="AD17" s="205">
        <v>44672</v>
      </c>
      <c r="AE17">
        <v>2021</v>
      </c>
      <c r="AF17" t="s">
        <v>530</v>
      </c>
      <c r="AG17">
        <v>411</v>
      </c>
      <c r="AH17" t="s">
        <v>102</v>
      </c>
      <c r="AI17" s="104"/>
      <c r="AJ17" s="104"/>
      <c r="AK17" s="104"/>
      <c r="AL17" s="104"/>
      <c r="AM17" s="104"/>
      <c r="AN17" s="104"/>
      <c r="AO17" s="104"/>
      <c r="AP17" s="104"/>
      <c r="AQ17" s="104"/>
    </row>
    <row r="18" spans="1:43" ht="15" customHeight="1" x14ac:dyDescent="0.2">
      <c r="A18" s="252">
        <v>135371</v>
      </c>
      <c r="B18" s="112">
        <v>2018</v>
      </c>
      <c r="C18" s="112">
        <v>4</v>
      </c>
      <c r="D18" s="252" t="s">
        <v>307</v>
      </c>
      <c r="E18" s="478">
        <v>16</v>
      </c>
      <c r="F18" s="241">
        <v>228</v>
      </c>
      <c r="G18" s="241">
        <v>0</v>
      </c>
      <c r="H18" s="241">
        <v>12</v>
      </c>
      <c r="I18" s="241">
        <v>23</v>
      </c>
      <c r="J18" s="241">
        <v>18</v>
      </c>
      <c r="K18" s="241">
        <v>13</v>
      </c>
      <c r="L18" s="241">
        <v>15</v>
      </c>
      <c r="M18" s="241">
        <v>13</v>
      </c>
      <c r="N18" s="241">
        <v>13</v>
      </c>
      <c r="O18" s="241">
        <v>12</v>
      </c>
      <c r="P18" s="241">
        <v>14</v>
      </c>
      <c r="Q18" s="241">
        <v>14</v>
      </c>
      <c r="R18" s="241">
        <v>20</v>
      </c>
      <c r="S18" s="241">
        <v>12</v>
      </c>
      <c r="T18" s="256">
        <f t="shared" si="4"/>
        <v>179</v>
      </c>
      <c r="U18" s="512">
        <f t="shared" si="1"/>
        <v>14.916666666666666</v>
      </c>
      <c r="V18" s="513">
        <f t="shared" si="2"/>
        <v>3.4189944134078214</v>
      </c>
      <c r="W18" s="527">
        <v>2</v>
      </c>
      <c r="X18" s="461">
        <f t="shared" si="3"/>
        <v>51</v>
      </c>
      <c r="Y18" s="112">
        <v>2018</v>
      </c>
      <c r="Z18" s="252" t="s">
        <v>307</v>
      </c>
      <c r="AA18" s="105"/>
      <c r="AB18" s="105"/>
      <c r="AC18" s="105"/>
      <c r="AD18" s="205">
        <v>44672</v>
      </c>
      <c r="AE18">
        <v>2021</v>
      </c>
      <c r="AF18" t="s">
        <v>531</v>
      </c>
      <c r="AG18">
        <v>114</v>
      </c>
      <c r="AH18" t="s">
        <v>102</v>
      </c>
      <c r="AI18" s="104"/>
      <c r="AJ18" s="104"/>
      <c r="AK18" s="104"/>
      <c r="AL18" s="104"/>
      <c r="AM18" s="104"/>
      <c r="AN18" s="104"/>
      <c r="AO18" s="104"/>
      <c r="AP18" s="104"/>
      <c r="AQ18" s="104"/>
    </row>
    <row r="19" spans="1:43" x14ac:dyDescent="0.2">
      <c r="A19" s="252">
        <v>22921</v>
      </c>
      <c r="B19" s="112">
        <v>2018</v>
      </c>
      <c r="C19" s="112">
        <v>3</v>
      </c>
      <c r="D19" s="252" t="s">
        <v>278</v>
      </c>
      <c r="E19" s="478">
        <v>54</v>
      </c>
      <c r="F19" s="241">
        <v>578</v>
      </c>
      <c r="G19" s="241">
        <v>0</v>
      </c>
      <c r="H19" s="241">
        <v>43</v>
      </c>
      <c r="I19" s="241">
        <v>83</v>
      </c>
      <c r="J19" s="241">
        <v>48</v>
      </c>
      <c r="K19" s="241">
        <v>28</v>
      </c>
      <c r="L19" s="241">
        <v>42</v>
      </c>
      <c r="M19" s="241">
        <v>35</v>
      </c>
      <c r="N19" s="241">
        <v>25</v>
      </c>
      <c r="O19" s="241">
        <v>37</v>
      </c>
      <c r="P19" s="241">
        <v>21</v>
      </c>
      <c r="Q19" s="241">
        <v>33</v>
      </c>
      <c r="R19" s="241">
        <v>50</v>
      </c>
      <c r="S19" s="241">
        <v>41</v>
      </c>
      <c r="T19" s="256">
        <f t="shared" si="4"/>
        <v>486</v>
      </c>
      <c r="U19" s="512">
        <f t="shared" si="1"/>
        <v>40.5</v>
      </c>
      <c r="V19" s="513">
        <f t="shared" si="2"/>
        <v>2.3703703703703702</v>
      </c>
      <c r="W19" s="527">
        <v>4</v>
      </c>
      <c r="X19" s="461">
        <f t="shared" si="3"/>
        <v>96</v>
      </c>
      <c r="Y19" s="112">
        <v>2018</v>
      </c>
      <c r="Z19" s="252" t="s">
        <v>278</v>
      </c>
      <c r="AA19" s="105"/>
      <c r="AB19" s="105"/>
      <c r="AC19" s="105"/>
      <c r="AD19" s="205">
        <v>44763</v>
      </c>
      <c r="AE19">
        <v>2021</v>
      </c>
      <c r="AF19" t="s">
        <v>31</v>
      </c>
      <c r="AG19">
        <v>253</v>
      </c>
      <c r="AH19" t="s">
        <v>102</v>
      </c>
      <c r="AI19" s="104"/>
      <c r="AJ19" s="104"/>
      <c r="AK19" s="104"/>
      <c r="AL19" s="104"/>
      <c r="AM19" s="104"/>
      <c r="AN19" s="104"/>
      <c r="AO19" s="104"/>
      <c r="AP19" s="104"/>
      <c r="AQ19" s="104"/>
    </row>
    <row r="20" spans="1:43" ht="15" customHeight="1" x14ac:dyDescent="0.2">
      <c r="A20" s="252">
        <v>137519</v>
      </c>
      <c r="B20" s="112" t="s">
        <v>306</v>
      </c>
      <c r="C20" s="112">
        <v>4</v>
      </c>
      <c r="D20" s="252" t="s">
        <v>94</v>
      </c>
      <c r="E20" s="478">
        <v>42.333333333333336</v>
      </c>
      <c r="F20" s="241">
        <v>311</v>
      </c>
      <c r="G20" s="241">
        <v>0</v>
      </c>
      <c r="H20" s="241">
        <v>25</v>
      </c>
      <c r="I20" s="241">
        <v>45</v>
      </c>
      <c r="J20" s="241">
        <v>18</v>
      </c>
      <c r="K20" s="241">
        <v>33</v>
      </c>
      <c r="L20" s="241">
        <v>66</v>
      </c>
      <c r="M20" s="241">
        <v>21</v>
      </c>
      <c r="N20" s="241">
        <v>29</v>
      </c>
      <c r="O20" s="241">
        <v>68</v>
      </c>
      <c r="P20" s="241">
        <v>6</v>
      </c>
      <c r="Q20" s="281"/>
      <c r="R20" s="281"/>
      <c r="S20" s="281"/>
      <c r="T20" s="256">
        <f t="shared" si="4"/>
        <v>311</v>
      </c>
      <c r="U20" s="512">
        <f t="shared" si="1"/>
        <v>34.555555555555557</v>
      </c>
      <c r="V20" s="513">
        <f t="shared" si="2"/>
        <v>0</v>
      </c>
      <c r="W20" s="527">
        <v>0</v>
      </c>
      <c r="X20" s="461">
        <f t="shared" si="3"/>
        <v>0</v>
      </c>
      <c r="Y20" s="112" t="s">
        <v>306</v>
      </c>
      <c r="Z20" s="252" t="s">
        <v>94</v>
      </c>
      <c r="AA20" s="105"/>
      <c r="AB20" s="105"/>
      <c r="AC20" s="105"/>
      <c r="AD20" s="205">
        <v>44763</v>
      </c>
      <c r="AE20">
        <v>2021</v>
      </c>
      <c r="AF20" t="s">
        <v>25</v>
      </c>
      <c r="AG20">
        <v>306</v>
      </c>
      <c r="AH20" t="s">
        <v>102</v>
      </c>
      <c r="AI20" s="104"/>
      <c r="AJ20" s="104"/>
      <c r="AK20" s="104"/>
      <c r="AL20" s="104"/>
      <c r="AM20" s="104"/>
      <c r="AN20" s="104"/>
      <c r="AO20" s="104"/>
      <c r="AP20" s="104"/>
      <c r="AQ20" s="104"/>
    </row>
    <row r="21" spans="1:43" ht="15" customHeight="1" x14ac:dyDescent="0.2">
      <c r="A21" s="249"/>
      <c r="B21" s="165"/>
      <c r="C21" s="165">
        <v>0</v>
      </c>
      <c r="D21" s="249"/>
      <c r="E21" s="476"/>
      <c r="F21" s="251"/>
      <c r="G21" s="251">
        <v>0</v>
      </c>
      <c r="H21" s="251"/>
      <c r="I21" s="251"/>
      <c r="J21" s="251"/>
      <c r="K21" s="251"/>
      <c r="L21" s="251"/>
      <c r="M21" s="251"/>
      <c r="N21" s="251"/>
      <c r="O21" s="251"/>
      <c r="P21" s="251"/>
      <c r="Q21" s="251"/>
      <c r="R21" s="251"/>
      <c r="S21" s="251"/>
      <c r="T21" s="251"/>
      <c r="U21" s="510"/>
      <c r="V21" s="511"/>
      <c r="W21" s="526"/>
      <c r="X21" s="251"/>
      <c r="Y21" s="165"/>
      <c r="Z21" s="249"/>
      <c r="AA21" s="105"/>
      <c r="AB21" s="105"/>
      <c r="AC21" s="105"/>
      <c r="AD21" s="205"/>
      <c r="AE21"/>
      <c r="AF21"/>
      <c r="AG21"/>
      <c r="AH21"/>
      <c r="AI21" s="104"/>
      <c r="AJ21" s="104"/>
      <c r="AK21" s="104"/>
      <c r="AL21" s="104"/>
      <c r="AM21" s="104"/>
      <c r="AN21" s="104"/>
      <c r="AO21" s="104"/>
      <c r="AP21" s="104"/>
      <c r="AQ21" s="104"/>
    </row>
    <row r="22" spans="1:43" ht="15" customHeight="1" x14ac:dyDescent="0.2">
      <c r="A22" s="252">
        <v>152192</v>
      </c>
      <c r="B22" s="116" t="s">
        <v>133</v>
      </c>
      <c r="C22" s="116">
        <v>1</v>
      </c>
      <c r="D22" s="252" t="s">
        <v>328</v>
      </c>
      <c r="E22" s="477">
        <v>45.333333333333336</v>
      </c>
      <c r="F22" s="241">
        <v>202</v>
      </c>
      <c r="G22" s="241">
        <v>0</v>
      </c>
      <c r="H22" s="241">
        <v>10</v>
      </c>
      <c r="I22" s="241">
        <v>79</v>
      </c>
      <c r="J22" s="241">
        <v>29</v>
      </c>
      <c r="K22" s="241">
        <v>16</v>
      </c>
      <c r="L22" s="241">
        <v>68</v>
      </c>
      <c r="M22" s="281"/>
      <c r="N22" s="281"/>
      <c r="O22" s="281"/>
      <c r="P22" s="281"/>
      <c r="Q22" s="281"/>
      <c r="R22" s="281"/>
      <c r="S22" s="281"/>
      <c r="T22" s="256">
        <f t="shared" ref="T22:T32" si="5">SUM(H22:S22)</f>
        <v>202</v>
      </c>
      <c r="U22" s="512">
        <f t="shared" ref="U22:U33" si="6">IFERROR((AVERAGE(H22:S22)),0)</f>
        <v>40.4</v>
      </c>
      <c r="V22" s="513">
        <f t="shared" ref="V22:V33" si="7">IFERROR((X22/U22),0)</f>
        <v>0</v>
      </c>
      <c r="W22" s="527">
        <v>0</v>
      </c>
      <c r="X22" s="461">
        <f t="shared" si="3"/>
        <v>0</v>
      </c>
      <c r="Y22" s="112">
        <v>2019</v>
      </c>
      <c r="Z22" s="252" t="s">
        <v>328</v>
      </c>
      <c r="AA22" s="105"/>
      <c r="AB22" s="105"/>
      <c r="AC22" s="105"/>
      <c r="AD22"/>
      <c r="AE22"/>
      <c r="AF22"/>
      <c r="AG22"/>
      <c r="AH22"/>
      <c r="AI22" s="104"/>
      <c r="AJ22" s="104"/>
      <c r="AK22" s="104"/>
      <c r="AL22" s="104"/>
      <c r="AM22" s="104"/>
      <c r="AN22" s="104"/>
      <c r="AO22" s="104"/>
      <c r="AP22" s="104"/>
      <c r="AQ22" s="104"/>
    </row>
    <row r="23" spans="1:43" ht="15" customHeight="1" x14ac:dyDescent="0.2">
      <c r="A23" s="252">
        <v>151516</v>
      </c>
      <c r="B23" s="112">
        <v>2019</v>
      </c>
      <c r="C23" s="112">
        <v>1</v>
      </c>
      <c r="D23" s="252" t="s">
        <v>330</v>
      </c>
      <c r="E23" s="190">
        <v>16</v>
      </c>
      <c r="F23" s="241">
        <v>149</v>
      </c>
      <c r="G23" s="241">
        <v>0</v>
      </c>
      <c r="H23" s="241">
        <v>2</v>
      </c>
      <c r="I23" s="241">
        <v>36</v>
      </c>
      <c r="J23" s="241">
        <v>9</v>
      </c>
      <c r="K23" s="241">
        <v>9</v>
      </c>
      <c r="L23" s="241">
        <v>11</v>
      </c>
      <c r="M23" s="241">
        <v>16</v>
      </c>
      <c r="N23" s="241">
        <v>9</v>
      </c>
      <c r="O23" s="241">
        <v>22</v>
      </c>
      <c r="P23" s="241">
        <v>21</v>
      </c>
      <c r="Q23" s="241">
        <v>13</v>
      </c>
      <c r="R23" s="241">
        <v>1</v>
      </c>
      <c r="S23" s="281"/>
      <c r="T23" s="256">
        <f t="shared" si="5"/>
        <v>149</v>
      </c>
      <c r="U23" s="512">
        <f t="shared" si="6"/>
        <v>13.545454545454545</v>
      </c>
      <c r="V23" s="513">
        <f t="shared" si="7"/>
        <v>0</v>
      </c>
      <c r="W23" s="527">
        <v>0</v>
      </c>
      <c r="X23" s="461">
        <f t="shared" si="3"/>
        <v>0</v>
      </c>
      <c r="Y23" s="112">
        <v>2019</v>
      </c>
      <c r="Z23" s="252" t="s">
        <v>330</v>
      </c>
      <c r="AA23" s="105"/>
      <c r="AB23" s="105"/>
      <c r="AC23" s="105"/>
      <c r="AD23"/>
      <c r="AE23"/>
      <c r="AF23"/>
      <c r="AG23"/>
      <c r="AH23"/>
      <c r="AI23" s="104"/>
      <c r="AJ23" s="104"/>
      <c r="AK23" s="104"/>
      <c r="AL23" s="104"/>
      <c r="AM23" s="104"/>
      <c r="AN23" s="104"/>
      <c r="AO23" s="104"/>
      <c r="AP23" s="104"/>
      <c r="AQ23" s="104"/>
    </row>
    <row r="24" spans="1:43" ht="15" customHeight="1" x14ac:dyDescent="0.2">
      <c r="A24" s="252">
        <v>57632</v>
      </c>
      <c r="B24" s="112">
        <v>2019</v>
      </c>
      <c r="C24" s="112">
        <v>2</v>
      </c>
      <c r="D24" s="252" t="s">
        <v>31</v>
      </c>
      <c r="E24" s="191">
        <v>6</v>
      </c>
      <c r="F24" s="241">
        <v>414</v>
      </c>
      <c r="G24" s="241">
        <v>0</v>
      </c>
      <c r="H24" s="241">
        <v>17</v>
      </c>
      <c r="I24" s="241">
        <v>22</v>
      </c>
      <c r="J24" s="241">
        <v>15</v>
      </c>
      <c r="K24" s="241">
        <v>30</v>
      </c>
      <c r="L24" s="241">
        <v>60</v>
      </c>
      <c r="M24" s="241">
        <v>30</v>
      </c>
      <c r="N24" s="241">
        <v>19</v>
      </c>
      <c r="O24" s="241">
        <v>26</v>
      </c>
      <c r="P24" s="241">
        <v>25</v>
      </c>
      <c r="Q24" s="241">
        <v>25</v>
      </c>
      <c r="R24" s="241">
        <v>27</v>
      </c>
      <c r="S24" s="241">
        <v>19</v>
      </c>
      <c r="T24" s="256">
        <f t="shared" si="5"/>
        <v>315</v>
      </c>
      <c r="U24" s="512">
        <f t="shared" si="6"/>
        <v>26.25</v>
      </c>
      <c r="V24" s="513">
        <f t="shared" si="7"/>
        <v>3.9238095238095236</v>
      </c>
      <c r="W24" s="527">
        <v>4</v>
      </c>
      <c r="X24" s="461">
        <f t="shared" si="3"/>
        <v>103</v>
      </c>
      <c r="Y24" s="112">
        <v>2019</v>
      </c>
      <c r="Z24" s="252" t="s">
        <v>31</v>
      </c>
      <c r="AA24" s="105"/>
      <c r="AB24" s="105"/>
      <c r="AC24" s="105"/>
      <c r="AD24" s="244"/>
      <c r="AE24" s="245"/>
      <c r="AF24" s="246"/>
      <c r="AG24" s="247"/>
      <c r="AH24" s="246"/>
      <c r="AI24" s="104"/>
      <c r="AJ24" s="104"/>
      <c r="AK24" s="104"/>
      <c r="AL24" s="104"/>
      <c r="AM24" s="104"/>
      <c r="AN24" s="104"/>
      <c r="AO24" s="104"/>
      <c r="AP24" s="104"/>
      <c r="AQ24" s="104"/>
    </row>
    <row r="25" spans="1:43" ht="15" customHeight="1" x14ac:dyDescent="0.2">
      <c r="A25" s="252">
        <v>57630</v>
      </c>
      <c r="B25" s="112">
        <v>2019</v>
      </c>
      <c r="C25" s="112">
        <v>2</v>
      </c>
      <c r="D25" s="252" t="s">
        <v>25</v>
      </c>
      <c r="E25" s="477">
        <v>2</v>
      </c>
      <c r="F25" s="241">
        <v>361</v>
      </c>
      <c r="G25" s="241">
        <v>0</v>
      </c>
      <c r="H25" s="282">
        <v>0</v>
      </c>
      <c r="I25" s="282">
        <v>0</v>
      </c>
      <c r="J25" s="282"/>
      <c r="K25" s="282">
        <v>0</v>
      </c>
      <c r="L25" s="282">
        <v>0</v>
      </c>
      <c r="M25" s="282">
        <v>0</v>
      </c>
      <c r="N25" s="282">
        <v>0</v>
      </c>
      <c r="O25" s="282">
        <v>0</v>
      </c>
      <c r="P25" s="282">
        <v>0</v>
      </c>
      <c r="Q25" s="282">
        <v>0</v>
      </c>
      <c r="R25" s="282">
        <v>0</v>
      </c>
      <c r="S25" s="282"/>
      <c r="T25" s="256">
        <f t="shared" si="5"/>
        <v>0</v>
      </c>
      <c r="U25" s="512">
        <f t="shared" si="6"/>
        <v>0</v>
      </c>
      <c r="V25" s="513">
        <f t="shared" si="7"/>
        <v>0</v>
      </c>
      <c r="W25" s="527">
        <v>0</v>
      </c>
      <c r="X25" s="461">
        <f t="shared" si="3"/>
        <v>361</v>
      </c>
      <c r="Y25" s="112">
        <v>2019</v>
      </c>
      <c r="Z25" s="252" t="s">
        <v>25</v>
      </c>
      <c r="AA25" s="105"/>
      <c r="AB25" s="105"/>
      <c r="AC25" s="105"/>
      <c r="AD25" s="105"/>
      <c r="AE25" s="104"/>
      <c r="AF25" s="104"/>
      <c r="AG25" s="104"/>
      <c r="AH25" s="104"/>
      <c r="AI25" s="104"/>
      <c r="AJ25" s="104"/>
      <c r="AK25" s="104"/>
      <c r="AL25" s="104"/>
      <c r="AM25" s="104"/>
      <c r="AN25" s="104"/>
      <c r="AO25" s="104"/>
      <c r="AP25" s="104"/>
      <c r="AQ25" s="104"/>
    </row>
    <row r="26" spans="1:43" ht="15" customHeight="1" x14ac:dyDescent="0.25">
      <c r="A26" s="252">
        <v>22384</v>
      </c>
      <c r="B26" s="112">
        <v>2019</v>
      </c>
      <c r="C26" s="112">
        <v>3</v>
      </c>
      <c r="D26" s="252" t="s">
        <v>26</v>
      </c>
      <c r="E26" s="191">
        <v>6.166666666666667</v>
      </c>
      <c r="F26" s="241">
        <v>153</v>
      </c>
      <c r="G26" s="241">
        <v>0</v>
      </c>
      <c r="H26" s="241">
        <v>9</v>
      </c>
      <c r="I26" s="241">
        <v>19</v>
      </c>
      <c r="J26" s="241">
        <v>14</v>
      </c>
      <c r="K26" s="241">
        <v>9</v>
      </c>
      <c r="L26" s="241">
        <v>11</v>
      </c>
      <c r="M26" s="241">
        <v>2</v>
      </c>
      <c r="N26" s="241">
        <v>11</v>
      </c>
      <c r="O26" s="241">
        <v>8</v>
      </c>
      <c r="P26" s="241">
        <v>11</v>
      </c>
      <c r="Q26" s="241">
        <v>14</v>
      </c>
      <c r="R26" s="241">
        <v>17</v>
      </c>
      <c r="S26" s="241">
        <v>21</v>
      </c>
      <c r="T26" s="256">
        <f t="shared" si="5"/>
        <v>146</v>
      </c>
      <c r="U26" s="512">
        <f t="shared" si="6"/>
        <v>12.166666666666666</v>
      </c>
      <c r="V26" s="513">
        <f t="shared" si="7"/>
        <v>0.90410958904109595</v>
      </c>
      <c r="W26" s="527">
        <v>4</v>
      </c>
      <c r="X26" s="461">
        <f t="shared" si="3"/>
        <v>11</v>
      </c>
      <c r="Y26" s="112">
        <v>2019</v>
      </c>
      <c r="Z26" s="252" t="s">
        <v>26</v>
      </c>
      <c r="AA26" s="105"/>
      <c r="AB26" s="105"/>
      <c r="AC26" s="105"/>
      <c r="AD26" s="580" t="s">
        <v>394</v>
      </c>
      <c r="AE26" s="580"/>
      <c r="AF26" s="580"/>
      <c r="AG26" s="580"/>
      <c r="AH26" s="580"/>
      <c r="AI26" s="104"/>
      <c r="AJ26" s="104"/>
      <c r="AK26" s="104"/>
      <c r="AL26" s="104"/>
      <c r="AM26" s="104"/>
      <c r="AN26" s="104"/>
      <c r="AO26" s="104"/>
      <c r="AP26" s="104"/>
      <c r="AQ26" s="104"/>
    </row>
    <row r="27" spans="1:43" ht="15" customHeight="1" x14ac:dyDescent="0.2">
      <c r="A27" s="252">
        <v>133688</v>
      </c>
      <c r="B27" s="112">
        <v>2019</v>
      </c>
      <c r="C27" s="112">
        <v>3</v>
      </c>
      <c r="D27" s="252" t="s">
        <v>23</v>
      </c>
      <c r="E27" s="477">
        <v>1.4166666666666667</v>
      </c>
      <c r="F27" s="241">
        <v>640</v>
      </c>
      <c r="G27" s="241">
        <v>0</v>
      </c>
      <c r="H27" s="282">
        <v>2</v>
      </c>
      <c r="I27" s="282">
        <v>0</v>
      </c>
      <c r="J27" s="282">
        <v>1</v>
      </c>
      <c r="K27" s="282">
        <v>0</v>
      </c>
      <c r="L27" s="282">
        <v>0</v>
      </c>
      <c r="M27" s="282">
        <v>0</v>
      </c>
      <c r="N27" s="282">
        <v>0</v>
      </c>
      <c r="O27" s="282">
        <v>0</v>
      </c>
      <c r="P27" s="282">
        <v>0</v>
      </c>
      <c r="Q27" s="283">
        <v>41</v>
      </c>
      <c r="R27" s="283">
        <v>70</v>
      </c>
      <c r="S27" s="283">
        <v>36</v>
      </c>
      <c r="T27" s="256">
        <f t="shared" si="5"/>
        <v>150</v>
      </c>
      <c r="U27" s="512">
        <f t="shared" si="6"/>
        <v>12.5</v>
      </c>
      <c r="V27" s="513">
        <f t="shared" si="7"/>
        <v>39.6</v>
      </c>
      <c r="W27" s="527">
        <v>5</v>
      </c>
      <c r="X27" s="461">
        <f t="shared" si="3"/>
        <v>495</v>
      </c>
      <c r="Y27" s="112">
        <v>2019</v>
      </c>
      <c r="Z27" s="252" t="s">
        <v>23</v>
      </c>
      <c r="AA27" s="105"/>
      <c r="AB27" s="105"/>
      <c r="AC27" s="105"/>
      <c r="AD27" s="265" t="s">
        <v>395</v>
      </c>
      <c r="AE27" s="266" t="s">
        <v>396</v>
      </c>
      <c r="AF27" s="267" t="s">
        <v>397</v>
      </c>
      <c r="AG27" s="267" t="s">
        <v>398</v>
      </c>
      <c r="AH27" s="267" t="s">
        <v>399</v>
      </c>
      <c r="AI27" s="104"/>
      <c r="AJ27" s="104"/>
      <c r="AK27" s="104"/>
      <c r="AL27" s="104"/>
      <c r="AM27" s="104"/>
      <c r="AN27" s="104"/>
      <c r="AO27" s="104"/>
      <c r="AP27" s="104"/>
      <c r="AQ27" s="104"/>
    </row>
    <row r="28" spans="1:43" ht="15" customHeight="1" x14ac:dyDescent="0.2">
      <c r="A28" s="252">
        <v>133687</v>
      </c>
      <c r="B28" s="112">
        <v>2019</v>
      </c>
      <c r="C28" s="112">
        <v>4</v>
      </c>
      <c r="D28" s="252" t="s">
        <v>93</v>
      </c>
      <c r="E28" s="477">
        <v>3.25</v>
      </c>
      <c r="F28" s="241">
        <v>259</v>
      </c>
      <c r="G28" s="241">
        <v>0</v>
      </c>
      <c r="H28" s="241">
        <v>10</v>
      </c>
      <c r="I28" s="241">
        <v>12</v>
      </c>
      <c r="J28" s="241">
        <v>8</v>
      </c>
      <c r="K28" s="241">
        <v>7</v>
      </c>
      <c r="L28" s="241">
        <v>18</v>
      </c>
      <c r="M28" s="241">
        <v>7</v>
      </c>
      <c r="N28" s="241">
        <v>6</v>
      </c>
      <c r="O28" s="241">
        <v>7</v>
      </c>
      <c r="P28" s="241">
        <v>14</v>
      </c>
      <c r="Q28" s="241">
        <v>12</v>
      </c>
      <c r="R28" s="241">
        <v>20</v>
      </c>
      <c r="S28" s="241">
        <v>12</v>
      </c>
      <c r="T28" s="256">
        <f t="shared" si="5"/>
        <v>133</v>
      </c>
      <c r="U28" s="512">
        <f t="shared" si="6"/>
        <v>11.083333333333334</v>
      </c>
      <c r="V28" s="513">
        <f t="shared" si="7"/>
        <v>11.548872180451127</v>
      </c>
      <c r="W28" s="527">
        <v>2</v>
      </c>
      <c r="X28" s="461">
        <f t="shared" si="3"/>
        <v>128</v>
      </c>
      <c r="Y28" s="112">
        <v>2019</v>
      </c>
      <c r="Z28" s="252" t="s">
        <v>427</v>
      </c>
      <c r="AA28" s="105"/>
      <c r="AB28" s="105"/>
      <c r="AC28" s="105"/>
      <c r="AD28"/>
      <c r="AE28"/>
      <c r="AF28"/>
      <c r="AG28"/>
      <c r="AH28"/>
      <c r="AI28" s="104"/>
      <c r="AJ28" s="104"/>
      <c r="AK28" s="104"/>
      <c r="AL28" s="104"/>
      <c r="AM28" s="104"/>
      <c r="AN28" s="104"/>
      <c r="AO28" s="104"/>
      <c r="AP28" s="104"/>
      <c r="AQ28" s="104"/>
    </row>
    <row r="29" spans="1:43" ht="15" customHeight="1" x14ac:dyDescent="0.2">
      <c r="A29" s="252">
        <v>27736</v>
      </c>
      <c r="B29" s="112">
        <v>2019</v>
      </c>
      <c r="C29" s="112">
        <v>3</v>
      </c>
      <c r="D29" s="252" t="s">
        <v>70</v>
      </c>
      <c r="E29" s="477">
        <v>7.916666666666667</v>
      </c>
      <c r="F29" s="241">
        <v>296</v>
      </c>
      <c r="G29" s="241">
        <v>0</v>
      </c>
      <c r="H29" s="241">
        <v>19</v>
      </c>
      <c r="I29" s="241">
        <v>21</v>
      </c>
      <c r="J29" s="241">
        <v>45</v>
      </c>
      <c r="K29" s="241">
        <v>28</v>
      </c>
      <c r="L29" s="241">
        <v>37</v>
      </c>
      <c r="M29" s="241">
        <v>18</v>
      </c>
      <c r="N29" s="241">
        <v>13</v>
      </c>
      <c r="O29" s="241">
        <v>12</v>
      </c>
      <c r="P29" s="241">
        <v>16</v>
      </c>
      <c r="Q29" s="241">
        <v>18</v>
      </c>
      <c r="R29" s="241">
        <v>32</v>
      </c>
      <c r="S29" s="241">
        <v>20</v>
      </c>
      <c r="T29" s="256">
        <f t="shared" si="5"/>
        <v>279</v>
      </c>
      <c r="U29" s="512">
        <f t="shared" si="6"/>
        <v>23.25</v>
      </c>
      <c r="V29" s="513">
        <f t="shared" si="7"/>
        <v>0.90322580645161288</v>
      </c>
      <c r="W29" s="527">
        <v>4</v>
      </c>
      <c r="X29" s="461">
        <f t="shared" si="3"/>
        <v>21</v>
      </c>
      <c r="Y29" s="112">
        <v>2019</v>
      </c>
      <c r="Z29" s="252" t="s">
        <v>70</v>
      </c>
      <c r="AA29" s="105"/>
      <c r="AB29" s="105"/>
      <c r="AC29" s="105"/>
      <c r="AD29" s="99"/>
      <c r="AE29" s="71"/>
      <c r="AF29" s="71"/>
      <c r="AG29" s="71"/>
      <c r="AH29" s="71"/>
      <c r="AI29" s="104"/>
      <c r="AJ29" s="104"/>
      <c r="AK29" s="104"/>
      <c r="AL29" s="104"/>
      <c r="AM29" s="104"/>
      <c r="AN29" s="104"/>
      <c r="AO29" s="104"/>
      <c r="AP29" s="104"/>
      <c r="AQ29" s="104"/>
    </row>
    <row r="30" spans="1:43" ht="15" customHeight="1" x14ac:dyDescent="0.2">
      <c r="A30" s="252">
        <v>135371</v>
      </c>
      <c r="B30" s="112">
        <v>2019</v>
      </c>
      <c r="C30" s="112">
        <v>4</v>
      </c>
      <c r="D30" s="252" t="s">
        <v>307</v>
      </c>
      <c r="E30" s="480">
        <v>1.25</v>
      </c>
      <c r="F30" s="241">
        <v>78</v>
      </c>
      <c r="G30" s="241">
        <v>0</v>
      </c>
      <c r="H30" s="282">
        <v>3</v>
      </c>
      <c r="I30" s="282">
        <v>0</v>
      </c>
      <c r="J30" s="282">
        <v>2</v>
      </c>
      <c r="K30" s="282">
        <v>0</v>
      </c>
      <c r="L30" s="282">
        <v>0</v>
      </c>
      <c r="M30" s="282">
        <v>0</v>
      </c>
      <c r="N30" s="282">
        <v>0</v>
      </c>
      <c r="O30" s="282">
        <v>0</v>
      </c>
      <c r="P30" s="282">
        <v>0</v>
      </c>
      <c r="Q30" s="282">
        <v>0</v>
      </c>
      <c r="R30" s="282">
        <v>0</v>
      </c>
      <c r="S30" s="282">
        <v>0</v>
      </c>
      <c r="T30" s="256">
        <f t="shared" si="5"/>
        <v>5</v>
      </c>
      <c r="U30" s="512">
        <f t="shared" si="6"/>
        <v>0.41666666666666669</v>
      </c>
      <c r="V30" s="513">
        <f t="shared" si="7"/>
        <v>175.2</v>
      </c>
      <c r="W30" s="527">
        <v>0</v>
      </c>
      <c r="X30" s="461">
        <f t="shared" si="3"/>
        <v>73</v>
      </c>
      <c r="Y30" s="112">
        <v>2019</v>
      </c>
      <c r="Z30" s="252" t="s">
        <v>307</v>
      </c>
      <c r="AA30" s="105"/>
      <c r="AB30" s="105"/>
      <c r="AC30" s="105"/>
      <c r="AD30" s="206">
        <v>44641</v>
      </c>
      <c r="AE30" s="71">
        <v>2021</v>
      </c>
      <c r="AF30" s="71" t="s">
        <v>532</v>
      </c>
      <c r="AG30" s="71">
        <v>200</v>
      </c>
      <c r="AH30" s="71" t="s">
        <v>102</v>
      </c>
      <c r="AI30" s="104"/>
      <c r="AJ30" s="104"/>
      <c r="AK30" s="104"/>
      <c r="AL30" s="104"/>
      <c r="AM30" s="104"/>
      <c r="AN30" s="104"/>
      <c r="AO30" s="104"/>
      <c r="AP30" s="104"/>
      <c r="AQ30" s="104"/>
    </row>
    <row r="31" spans="1:43" x14ac:dyDescent="0.2">
      <c r="A31" s="252">
        <v>22921</v>
      </c>
      <c r="B31" s="112">
        <v>2019</v>
      </c>
      <c r="C31" s="112">
        <v>3</v>
      </c>
      <c r="D31" s="252" t="s">
        <v>278</v>
      </c>
      <c r="E31" s="477">
        <v>1.1666666666666667</v>
      </c>
      <c r="F31" s="241">
        <v>546</v>
      </c>
      <c r="G31" s="241">
        <v>0</v>
      </c>
      <c r="H31" s="282">
        <v>0</v>
      </c>
      <c r="I31" s="282">
        <v>0</v>
      </c>
      <c r="J31" s="282">
        <v>0</v>
      </c>
      <c r="K31" s="282">
        <v>0</v>
      </c>
      <c r="L31" s="282">
        <v>0</v>
      </c>
      <c r="M31" s="282">
        <v>0</v>
      </c>
      <c r="N31" s="282">
        <v>0</v>
      </c>
      <c r="O31" s="282">
        <v>0</v>
      </c>
      <c r="P31" s="282">
        <v>0</v>
      </c>
      <c r="Q31" s="282">
        <v>0</v>
      </c>
      <c r="R31" s="282">
        <v>0</v>
      </c>
      <c r="S31" s="282">
        <v>0</v>
      </c>
      <c r="T31" s="256">
        <f t="shared" si="5"/>
        <v>0</v>
      </c>
      <c r="U31" s="512">
        <f t="shared" si="6"/>
        <v>0</v>
      </c>
      <c r="V31" s="513">
        <f t="shared" si="7"/>
        <v>0</v>
      </c>
      <c r="W31" s="527">
        <v>0</v>
      </c>
      <c r="X31" s="461">
        <f t="shared" si="3"/>
        <v>546</v>
      </c>
      <c r="Y31" s="112">
        <v>2019</v>
      </c>
      <c r="Z31" s="252" t="s">
        <v>278</v>
      </c>
      <c r="AA31" s="105"/>
      <c r="AB31" s="105"/>
      <c r="AC31" s="105"/>
      <c r="AD31" s="99"/>
      <c r="AE31" s="71"/>
      <c r="AF31" s="71"/>
      <c r="AG31" s="71"/>
      <c r="AH31" s="71"/>
      <c r="AI31" s="104"/>
      <c r="AJ31" s="104"/>
      <c r="AK31" s="104"/>
      <c r="AL31" s="104"/>
      <c r="AM31" s="104"/>
      <c r="AN31" s="104"/>
      <c r="AO31" s="104"/>
      <c r="AP31" s="104"/>
      <c r="AQ31" s="104"/>
    </row>
    <row r="32" spans="1:43" ht="15.75" customHeight="1" x14ac:dyDescent="0.2">
      <c r="A32" s="252">
        <v>168932</v>
      </c>
      <c r="B32" s="112" t="s">
        <v>338</v>
      </c>
      <c r="C32" s="112">
        <v>4</v>
      </c>
      <c r="D32" s="252" t="s">
        <v>94</v>
      </c>
      <c r="E32" s="477">
        <v>6.083333333333333</v>
      </c>
      <c r="F32" s="241">
        <v>806</v>
      </c>
      <c r="G32" s="241">
        <v>0</v>
      </c>
      <c r="H32" s="282">
        <v>10</v>
      </c>
      <c r="I32" s="282">
        <v>1</v>
      </c>
      <c r="J32" s="282">
        <v>10</v>
      </c>
      <c r="K32" s="282">
        <v>0</v>
      </c>
      <c r="L32" s="282">
        <v>0</v>
      </c>
      <c r="M32" s="282">
        <v>0</v>
      </c>
      <c r="N32" s="282">
        <v>0</v>
      </c>
      <c r="O32" s="282">
        <v>0</v>
      </c>
      <c r="P32" s="283">
        <v>57</v>
      </c>
      <c r="Q32" s="283">
        <v>47</v>
      </c>
      <c r="R32" s="283">
        <v>113</v>
      </c>
      <c r="S32" s="283">
        <v>44</v>
      </c>
      <c r="T32" s="256">
        <f t="shared" si="5"/>
        <v>282</v>
      </c>
      <c r="U32" s="512">
        <f t="shared" si="6"/>
        <v>23.5</v>
      </c>
      <c r="V32" s="513">
        <f t="shared" si="7"/>
        <v>22.468085106382979</v>
      </c>
      <c r="W32" s="527">
        <v>4</v>
      </c>
      <c r="X32" s="461">
        <f t="shared" si="3"/>
        <v>528</v>
      </c>
      <c r="Y32" s="112" t="s">
        <v>338</v>
      </c>
      <c r="Z32" s="252" t="s">
        <v>94</v>
      </c>
      <c r="AA32"/>
      <c r="AB32"/>
      <c r="AC32"/>
      <c r="AD32" s="207">
        <v>44672</v>
      </c>
      <c r="AE32" s="71">
        <v>2021</v>
      </c>
      <c r="AF32" s="71" t="s">
        <v>533</v>
      </c>
      <c r="AG32" s="71">
        <v>56</v>
      </c>
      <c r="AH32" s="71" t="s">
        <v>102</v>
      </c>
      <c r="AI32" s="104"/>
      <c r="AJ32" s="104"/>
      <c r="AK32" s="104"/>
      <c r="AL32" s="104"/>
      <c r="AM32" s="104"/>
      <c r="AN32" s="104"/>
      <c r="AO32" s="104"/>
      <c r="AP32" s="104"/>
      <c r="AQ32" s="104"/>
    </row>
    <row r="33" spans="1:43" ht="15.75" hidden="1" customHeight="1" x14ac:dyDescent="0.2">
      <c r="A33" s="252"/>
      <c r="B33" s="112"/>
      <c r="C33" s="112">
        <v>5</v>
      </c>
      <c r="D33" s="252" t="s">
        <v>433</v>
      </c>
      <c r="E33" s="481">
        <v>6.083333333333333</v>
      </c>
      <c r="F33" s="241"/>
      <c r="G33" s="241"/>
      <c r="H33" s="241"/>
      <c r="I33" s="241"/>
      <c r="J33" s="241"/>
      <c r="K33" s="241"/>
      <c r="L33" s="241"/>
      <c r="M33" s="241"/>
      <c r="N33" s="241"/>
      <c r="O33" s="241"/>
      <c r="P33" s="241"/>
      <c r="Q33" s="241"/>
      <c r="R33" s="241"/>
      <c r="S33" s="241"/>
      <c r="T33" s="256">
        <f t="shared" ref="T33" si="8">SUM(H33:S33)</f>
        <v>0</v>
      </c>
      <c r="U33" s="512">
        <f t="shared" si="6"/>
        <v>0</v>
      </c>
      <c r="V33" s="513">
        <f t="shared" si="7"/>
        <v>0</v>
      </c>
      <c r="W33" s="527"/>
      <c r="X33" s="461">
        <f t="shared" si="3"/>
        <v>0</v>
      </c>
      <c r="Y33" s="112"/>
      <c r="Z33" s="252" t="s">
        <v>434</v>
      </c>
      <c r="AA33"/>
      <c r="AB33"/>
      <c r="AC33"/>
      <c r="AD33" s="207">
        <v>44672</v>
      </c>
      <c r="AE33" s="71">
        <v>2021</v>
      </c>
      <c r="AF33" s="71" t="s">
        <v>534</v>
      </c>
      <c r="AG33" s="71">
        <v>197</v>
      </c>
      <c r="AH33" s="71" t="s">
        <v>102</v>
      </c>
      <c r="AI33" s="104"/>
      <c r="AJ33" s="104"/>
      <c r="AK33" s="104"/>
      <c r="AL33" s="104"/>
      <c r="AM33" s="104"/>
      <c r="AN33" s="104"/>
      <c r="AO33" s="104"/>
      <c r="AP33" s="104"/>
      <c r="AQ33" s="104"/>
    </row>
    <row r="34" spans="1:43" ht="15.75" customHeight="1" x14ac:dyDescent="0.2">
      <c r="A34" s="249"/>
      <c r="B34" s="165"/>
      <c r="C34" s="165">
        <v>0</v>
      </c>
      <c r="D34" s="249"/>
      <c r="E34" s="476"/>
      <c r="F34" s="251"/>
      <c r="G34" s="251"/>
      <c r="H34" s="251"/>
      <c r="I34" s="251"/>
      <c r="J34" s="251"/>
      <c r="K34" s="251"/>
      <c r="L34" s="251"/>
      <c r="M34" s="251"/>
      <c r="N34" s="251"/>
      <c r="O34" s="251"/>
      <c r="P34" s="251"/>
      <c r="Q34" s="251"/>
      <c r="R34" s="251"/>
      <c r="S34" s="251"/>
      <c r="T34" s="251"/>
      <c r="U34" s="510"/>
      <c r="V34" s="511"/>
      <c r="W34" s="526"/>
      <c r="X34" s="251"/>
      <c r="Y34" s="165"/>
      <c r="Z34" s="249"/>
      <c r="AA34"/>
      <c r="AB34"/>
      <c r="AC34"/>
      <c r="AD34" s="207">
        <v>44672</v>
      </c>
      <c r="AE34" s="71">
        <v>2021</v>
      </c>
      <c r="AF34" s="71" t="s">
        <v>530</v>
      </c>
      <c r="AG34" s="71">
        <v>411</v>
      </c>
      <c r="AH34" s="71" t="s">
        <v>102</v>
      </c>
      <c r="AI34" s="104"/>
      <c r="AJ34" s="104"/>
      <c r="AK34" s="104"/>
      <c r="AL34" s="104"/>
      <c r="AM34" s="104"/>
      <c r="AN34" s="104"/>
      <c r="AO34" s="104"/>
      <c r="AP34" s="104"/>
      <c r="AQ34" s="104"/>
    </row>
    <row r="35" spans="1:43" ht="15.75" customHeight="1" x14ac:dyDescent="0.2">
      <c r="A35" s="252">
        <v>11198</v>
      </c>
      <c r="B35" s="112">
        <v>2020</v>
      </c>
      <c r="C35" s="112">
        <v>1</v>
      </c>
      <c r="D35" s="252" t="s">
        <v>46</v>
      </c>
      <c r="E35" s="477">
        <v>17.333333333333332</v>
      </c>
      <c r="F35" s="241">
        <v>180</v>
      </c>
      <c r="G35" s="241">
        <v>0</v>
      </c>
      <c r="H35" s="241">
        <v>16</v>
      </c>
      <c r="I35" s="241">
        <v>16</v>
      </c>
      <c r="J35" s="241">
        <v>26</v>
      </c>
      <c r="K35" s="241">
        <v>23</v>
      </c>
      <c r="L35" s="241">
        <v>33</v>
      </c>
      <c r="M35" s="241">
        <v>35</v>
      </c>
      <c r="N35" s="241">
        <v>23</v>
      </c>
      <c r="O35" s="241">
        <v>8</v>
      </c>
      <c r="P35" s="281"/>
      <c r="Q35" s="281"/>
      <c r="R35" s="281"/>
      <c r="S35" s="281"/>
      <c r="T35" s="256">
        <f t="shared" ref="T35:T40" si="9">SUM(H35:S35)</f>
        <v>180</v>
      </c>
      <c r="U35" s="512">
        <f t="shared" ref="U35:U46" si="10">IFERROR((AVERAGE(H35:S35)),0)</f>
        <v>22.5</v>
      </c>
      <c r="V35" s="513">
        <f t="shared" ref="V35:V46" si="11">IFERROR((X35/U35),0)</f>
        <v>0</v>
      </c>
      <c r="W35" s="527">
        <v>0</v>
      </c>
      <c r="X35" s="461">
        <f t="shared" si="3"/>
        <v>0</v>
      </c>
      <c r="Y35" s="112">
        <v>2020</v>
      </c>
      <c r="Z35" s="252" t="s">
        <v>46</v>
      </c>
      <c r="AA35"/>
      <c r="AB35"/>
      <c r="AC35"/>
      <c r="AD35" s="207">
        <v>44672</v>
      </c>
      <c r="AE35" s="71">
        <v>2021</v>
      </c>
      <c r="AF35" s="71" t="s">
        <v>535</v>
      </c>
      <c r="AG35" s="71">
        <v>114</v>
      </c>
      <c r="AH35" s="71" t="s">
        <v>102</v>
      </c>
      <c r="AI35" s="104"/>
      <c r="AJ35" s="104"/>
      <c r="AK35" s="104"/>
      <c r="AL35" s="104"/>
      <c r="AM35" s="104"/>
      <c r="AN35" s="104"/>
      <c r="AO35" s="104"/>
      <c r="AP35" s="104"/>
      <c r="AQ35" s="104"/>
    </row>
    <row r="36" spans="1:43" ht="15.75" customHeight="1" x14ac:dyDescent="0.2">
      <c r="A36" s="252">
        <v>57632</v>
      </c>
      <c r="B36" s="112">
        <v>2020</v>
      </c>
      <c r="C36" s="112">
        <v>2</v>
      </c>
      <c r="D36" s="252" t="s">
        <v>31</v>
      </c>
      <c r="E36" s="191">
        <v>22.6</v>
      </c>
      <c r="F36" s="241">
        <v>417</v>
      </c>
      <c r="G36" s="241">
        <v>0</v>
      </c>
      <c r="H36" s="282">
        <v>0</v>
      </c>
      <c r="I36" s="282">
        <v>0</v>
      </c>
      <c r="J36" s="282">
        <v>0</v>
      </c>
      <c r="K36" s="282">
        <v>0</v>
      </c>
      <c r="L36" s="282">
        <v>0</v>
      </c>
      <c r="M36" s="282">
        <v>0</v>
      </c>
      <c r="N36" s="282">
        <v>0</v>
      </c>
      <c r="O36" s="282">
        <v>0</v>
      </c>
      <c r="P36" s="282">
        <v>0</v>
      </c>
      <c r="Q36" s="282">
        <v>0</v>
      </c>
      <c r="R36" s="282">
        <v>0</v>
      </c>
      <c r="S36" s="282">
        <v>0</v>
      </c>
      <c r="T36" s="256">
        <f t="shared" si="9"/>
        <v>0</v>
      </c>
      <c r="U36" s="512">
        <f t="shared" si="10"/>
        <v>0</v>
      </c>
      <c r="V36" s="513">
        <f t="shared" si="11"/>
        <v>0</v>
      </c>
      <c r="W36" s="527">
        <v>0</v>
      </c>
      <c r="X36" s="461">
        <f t="shared" si="3"/>
        <v>417</v>
      </c>
      <c r="Y36" s="112">
        <v>2020</v>
      </c>
      <c r="Z36" s="252" t="s">
        <v>31</v>
      </c>
      <c r="AA36"/>
      <c r="AB36"/>
      <c r="AC36"/>
      <c r="AD36" s="207">
        <v>44672</v>
      </c>
      <c r="AE36" s="71">
        <v>2021</v>
      </c>
      <c r="AF36" s="71" t="s">
        <v>536</v>
      </c>
      <c r="AG36" s="71">
        <v>411</v>
      </c>
      <c r="AH36" s="71" t="s">
        <v>102</v>
      </c>
      <c r="AI36" s="104"/>
      <c r="AJ36" s="104"/>
      <c r="AK36" s="104"/>
      <c r="AL36" s="104"/>
      <c r="AM36" s="104"/>
      <c r="AN36" s="104"/>
      <c r="AO36" s="104"/>
      <c r="AP36" s="104"/>
      <c r="AQ36" s="104"/>
    </row>
    <row r="37" spans="1:43" ht="15.75" customHeight="1" x14ac:dyDescent="0.2">
      <c r="A37" s="252">
        <v>57630</v>
      </c>
      <c r="B37" s="112">
        <v>2020</v>
      </c>
      <c r="C37" s="112">
        <v>2</v>
      </c>
      <c r="D37" s="252" t="s">
        <v>25</v>
      </c>
      <c r="E37" s="477">
        <v>0.2857142857142857</v>
      </c>
      <c r="F37" s="241">
        <v>0</v>
      </c>
      <c r="G37" s="241">
        <v>0</v>
      </c>
      <c r="H37" s="241">
        <v>0</v>
      </c>
      <c r="I37" s="241"/>
      <c r="J37" s="241"/>
      <c r="K37" s="241"/>
      <c r="L37" s="241"/>
      <c r="M37" s="241"/>
      <c r="N37" s="241"/>
      <c r="O37" s="241"/>
      <c r="P37" s="241"/>
      <c r="Q37" s="241"/>
      <c r="R37" s="241"/>
      <c r="S37" s="241"/>
      <c r="T37" s="256">
        <f t="shared" si="9"/>
        <v>0</v>
      </c>
      <c r="U37" s="512">
        <f t="shared" si="10"/>
        <v>0</v>
      </c>
      <c r="V37" s="513">
        <f t="shared" si="11"/>
        <v>0</v>
      </c>
      <c r="W37" s="527">
        <v>0</v>
      </c>
      <c r="X37" s="461">
        <f t="shared" si="3"/>
        <v>0</v>
      </c>
      <c r="Y37" s="112">
        <v>2020</v>
      </c>
      <c r="Z37" s="252" t="s">
        <v>25</v>
      </c>
      <c r="AA37"/>
      <c r="AB37"/>
      <c r="AC37"/>
      <c r="AD37" s="105"/>
      <c r="AE37" s="104"/>
      <c r="AF37" s="104"/>
      <c r="AG37" s="104"/>
      <c r="AH37" s="104"/>
      <c r="AI37" s="104"/>
      <c r="AJ37" s="104"/>
      <c r="AK37" s="104"/>
      <c r="AL37" s="104"/>
      <c r="AM37" s="104"/>
      <c r="AN37" s="104"/>
      <c r="AO37" s="104"/>
      <c r="AP37" s="104"/>
      <c r="AQ37" s="104"/>
    </row>
    <row r="38" spans="1:43" ht="15.75" customHeight="1" x14ac:dyDescent="0.2">
      <c r="A38" s="522">
        <v>34641</v>
      </c>
      <c r="B38" s="112">
        <v>2020</v>
      </c>
      <c r="C38" s="112">
        <v>4</v>
      </c>
      <c r="D38" s="252" t="s">
        <v>118</v>
      </c>
      <c r="E38" s="191">
        <v>0</v>
      </c>
      <c r="F38" s="241">
        <v>393</v>
      </c>
      <c r="G38" s="241">
        <v>0</v>
      </c>
      <c r="H38" s="282">
        <v>4</v>
      </c>
      <c r="I38" s="282">
        <v>0</v>
      </c>
      <c r="J38" s="282">
        <v>22</v>
      </c>
      <c r="K38" s="282">
        <v>0</v>
      </c>
      <c r="L38" s="282">
        <v>0</v>
      </c>
      <c r="M38" s="282">
        <v>0</v>
      </c>
      <c r="N38" s="282">
        <v>0</v>
      </c>
      <c r="O38" s="282">
        <v>0</v>
      </c>
      <c r="P38" s="282">
        <v>0</v>
      </c>
      <c r="Q38" s="282">
        <v>0</v>
      </c>
      <c r="R38" s="283">
        <v>31</v>
      </c>
      <c r="S38" s="283">
        <v>21</v>
      </c>
      <c r="T38" s="256">
        <f t="shared" si="9"/>
        <v>78</v>
      </c>
      <c r="U38" s="512">
        <f t="shared" si="10"/>
        <v>6.5</v>
      </c>
      <c r="V38" s="513">
        <f t="shared" si="11"/>
        <v>48.769230769230766</v>
      </c>
      <c r="W38" s="527">
        <v>2</v>
      </c>
      <c r="X38" s="461">
        <f t="shared" si="3"/>
        <v>317</v>
      </c>
      <c r="Y38" s="112">
        <v>2020</v>
      </c>
      <c r="Z38" s="252" t="s">
        <v>118</v>
      </c>
      <c r="AA38"/>
      <c r="AB38"/>
      <c r="AC38"/>
      <c r="AD38"/>
      <c r="AE38"/>
      <c r="AF38"/>
      <c r="AG38"/>
      <c r="AH38"/>
      <c r="AI38" s="104"/>
      <c r="AJ38" s="104"/>
      <c r="AK38" s="104"/>
      <c r="AL38" s="104"/>
      <c r="AM38" s="104"/>
      <c r="AN38" s="104"/>
      <c r="AO38" s="104"/>
      <c r="AP38" s="104"/>
      <c r="AQ38" s="104"/>
    </row>
    <row r="39" spans="1:43" ht="15.75" customHeight="1" x14ac:dyDescent="0.2">
      <c r="A39" s="252">
        <v>133688</v>
      </c>
      <c r="B39" s="112">
        <v>2020</v>
      </c>
      <c r="C39" s="112">
        <v>3</v>
      </c>
      <c r="D39" s="252" t="s">
        <v>23</v>
      </c>
      <c r="E39" s="481">
        <v>10</v>
      </c>
      <c r="F39" s="241">
        <v>398</v>
      </c>
      <c r="G39" s="241">
        <v>0</v>
      </c>
      <c r="H39" s="282">
        <v>11</v>
      </c>
      <c r="I39" s="282">
        <v>0</v>
      </c>
      <c r="J39" s="282">
        <v>2</v>
      </c>
      <c r="K39" s="282">
        <v>1</v>
      </c>
      <c r="L39" s="282">
        <v>0</v>
      </c>
      <c r="M39" s="282">
        <v>0</v>
      </c>
      <c r="N39" s="282">
        <v>0</v>
      </c>
      <c r="O39" s="282">
        <v>0</v>
      </c>
      <c r="P39" s="282">
        <v>0</v>
      </c>
      <c r="Q39" s="282">
        <v>0</v>
      </c>
      <c r="R39" s="282">
        <v>0</v>
      </c>
      <c r="S39" s="282">
        <v>0</v>
      </c>
      <c r="T39" s="256">
        <f t="shared" si="9"/>
        <v>14</v>
      </c>
      <c r="U39" s="512">
        <f t="shared" si="10"/>
        <v>1.1666666666666667</v>
      </c>
      <c r="V39" s="513">
        <f t="shared" si="11"/>
        <v>329.14285714285711</v>
      </c>
      <c r="W39" s="527">
        <v>0</v>
      </c>
      <c r="X39" s="461">
        <f t="shared" si="3"/>
        <v>384</v>
      </c>
      <c r="Y39" s="112">
        <v>2020</v>
      </c>
      <c r="Z39" s="252" t="s">
        <v>23</v>
      </c>
      <c r="AA39"/>
      <c r="AB39"/>
      <c r="AC39"/>
      <c r="AD39"/>
      <c r="AE39"/>
      <c r="AF39"/>
      <c r="AG39"/>
      <c r="AH39"/>
      <c r="AI39" s="104"/>
      <c r="AJ39" s="104"/>
      <c r="AK39" s="104"/>
      <c r="AL39" s="104"/>
      <c r="AM39" s="104"/>
      <c r="AN39" s="104"/>
      <c r="AO39" s="104"/>
      <c r="AP39" s="104"/>
      <c r="AQ39" s="104"/>
    </row>
    <row r="40" spans="1:43" ht="15.75" customHeight="1" x14ac:dyDescent="0.2">
      <c r="A40" s="252">
        <v>133687</v>
      </c>
      <c r="B40" s="112">
        <v>2020</v>
      </c>
      <c r="C40" s="112">
        <v>4</v>
      </c>
      <c r="D40" s="252" t="s">
        <v>93</v>
      </c>
      <c r="E40" s="481">
        <v>26</v>
      </c>
      <c r="F40" s="241">
        <v>236</v>
      </c>
      <c r="G40" s="241">
        <v>0</v>
      </c>
      <c r="H40" s="282">
        <v>2</v>
      </c>
      <c r="I40" s="282">
        <v>0</v>
      </c>
      <c r="J40" s="282">
        <v>0</v>
      </c>
      <c r="K40" s="282">
        <v>0</v>
      </c>
      <c r="L40" s="282">
        <v>0</v>
      </c>
      <c r="M40" s="282">
        <v>0</v>
      </c>
      <c r="N40" s="282">
        <v>0</v>
      </c>
      <c r="O40" s="282">
        <v>0</v>
      </c>
      <c r="P40" s="282">
        <v>0</v>
      </c>
      <c r="Q40" s="282">
        <v>0</v>
      </c>
      <c r="R40" s="282">
        <v>0</v>
      </c>
      <c r="S40" s="282">
        <v>0</v>
      </c>
      <c r="T40" s="256">
        <f t="shared" si="9"/>
        <v>2</v>
      </c>
      <c r="U40" s="512">
        <f t="shared" si="10"/>
        <v>0.16666666666666666</v>
      </c>
      <c r="V40" s="513">
        <f t="shared" si="11"/>
        <v>1404</v>
      </c>
      <c r="W40" s="527">
        <v>0</v>
      </c>
      <c r="X40" s="461">
        <f t="shared" si="3"/>
        <v>234</v>
      </c>
      <c r="Y40" s="112">
        <v>2020</v>
      </c>
      <c r="Z40" s="252" t="s">
        <v>427</v>
      </c>
      <c r="AA40"/>
      <c r="AB40"/>
      <c r="AC40"/>
      <c r="AD40"/>
      <c r="AE40"/>
      <c r="AF40"/>
      <c r="AG40"/>
      <c r="AH40"/>
      <c r="AI40" s="104"/>
      <c r="AJ40" s="104"/>
      <c r="AK40" s="104"/>
      <c r="AL40" s="104"/>
      <c r="AM40" s="104"/>
      <c r="AN40" s="104"/>
      <c r="AO40" s="104"/>
      <c r="AP40" s="104"/>
      <c r="AQ40" s="104"/>
    </row>
    <row r="41" spans="1:43" ht="15.75" customHeight="1" x14ac:dyDescent="0.2">
      <c r="A41" s="252">
        <v>27736</v>
      </c>
      <c r="B41" s="112">
        <v>2020</v>
      </c>
      <c r="C41" s="112">
        <v>3</v>
      </c>
      <c r="D41" s="252" t="s">
        <v>70</v>
      </c>
      <c r="E41" s="481">
        <v>0</v>
      </c>
      <c r="F41" s="241">
        <v>322</v>
      </c>
      <c r="G41" s="241">
        <v>0</v>
      </c>
      <c r="H41" s="282">
        <v>0</v>
      </c>
      <c r="I41" s="282">
        <v>0</v>
      </c>
      <c r="J41" s="282">
        <v>12</v>
      </c>
      <c r="K41" s="282">
        <v>10</v>
      </c>
      <c r="L41" s="282">
        <v>0</v>
      </c>
      <c r="M41" s="282">
        <v>0</v>
      </c>
      <c r="N41" s="282">
        <v>0</v>
      </c>
      <c r="O41" s="282">
        <v>0</v>
      </c>
      <c r="P41" s="282">
        <v>0</v>
      </c>
      <c r="Q41" s="282">
        <v>0</v>
      </c>
      <c r="R41" s="282">
        <v>0</v>
      </c>
      <c r="S41" s="282">
        <v>0</v>
      </c>
      <c r="T41" s="256">
        <f t="shared" ref="T41:T45" si="12">SUM(H41:S41)</f>
        <v>22</v>
      </c>
      <c r="U41" s="512">
        <f t="shared" si="10"/>
        <v>1.8333333333333333</v>
      </c>
      <c r="V41" s="513">
        <f t="shared" si="11"/>
        <v>163.63636363636365</v>
      </c>
      <c r="W41" s="527">
        <v>0</v>
      </c>
      <c r="X41" s="461">
        <f t="shared" si="3"/>
        <v>300</v>
      </c>
      <c r="Y41" s="112">
        <v>2020</v>
      </c>
      <c r="Z41" s="252" t="s">
        <v>70</v>
      </c>
      <c r="AA41"/>
      <c r="AB41"/>
      <c r="AC41"/>
      <c r="AD41"/>
      <c r="AE41"/>
      <c r="AF41"/>
      <c r="AG41"/>
      <c r="AH41"/>
      <c r="AI41" s="104"/>
      <c r="AJ41" s="104"/>
      <c r="AK41" s="104"/>
      <c r="AL41" s="104"/>
      <c r="AM41" s="104"/>
      <c r="AN41" s="104"/>
      <c r="AO41" s="104"/>
      <c r="AP41" s="104"/>
      <c r="AQ41" s="104"/>
    </row>
    <row r="42" spans="1:43" ht="15.75" customHeight="1" x14ac:dyDescent="0.2">
      <c r="A42" s="252">
        <v>135370</v>
      </c>
      <c r="B42" s="112">
        <v>2020</v>
      </c>
      <c r="C42" s="112">
        <v>4</v>
      </c>
      <c r="D42" s="252" t="s">
        <v>217</v>
      </c>
      <c r="E42" s="481">
        <v>23</v>
      </c>
      <c r="F42" s="241">
        <v>288</v>
      </c>
      <c r="G42" s="241">
        <v>0</v>
      </c>
      <c r="H42" s="282">
        <v>15</v>
      </c>
      <c r="I42" s="282">
        <v>0</v>
      </c>
      <c r="J42" s="282">
        <v>6</v>
      </c>
      <c r="K42" s="282">
        <v>1</v>
      </c>
      <c r="L42" s="282">
        <v>0</v>
      </c>
      <c r="M42" s="282">
        <v>0</v>
      </c>
      <c r="N42" s="282">
        <v>0</v>
      </c>
      <c r="O42" s="282">
        <v>0</v>
      </c>
      <c r="P42" s="282">
        <v>0</v>
      </c>
      <c r="Q42" s="282">
        <v>0</v>
      </c>
      <c r="R42" s="282">
        <v>0</v>
      </c>
      <c r="S42" s="282">
        <v>0</v>
      </c>
      <c r="T42" s="256">
        <f t="shared" ref="T42" si="13">SUM(H42:S42)</f>
        <v>22</v>
      </c>
      <c r="U42" s="512">
        <f t="shared" si="10"/>
        <v>1.8333333333333333</v>
      </c>
      <c r="V42" s="513">
        <f t="shared" si="11"/>
        <v>145.09090909090909</v>
      </c>
      <c r="W42" s="527">
        <v>0</v>
      </c>
      <c r="X42" s="461">
        <f t="shared" si="3"/>
        <v>266</v>
      </c>
      <c r="Y42" s="112">
        <v>2020</v>
      </c>
      <c r="Z42" s="252" t="s">
        <v>505</v>
      </c>
      <c r="AA42"/>
      <c r="AB42"/>
      <c r="AC42"/>
      <c r="AD42" s="581" t="s">
        <v>445</v>
      </c>
      <c r="AE42" s="581"/>
      <c r="AF42" s="581"/>
      <c r="AG42" s="581"/>
      <c r="AH42" s="581"/>
      <c r="AI42" s="104"/>
      <c r="AJ42" s="104"/>
      <c r="AK42" s="104"/>
      <c r="AL42" s="104"/>
      <c r="AM42" s="104"/>
      <c r="AN42" s="104"/>
      <c r="AO42" s="104"/>
      <c r="AP42" s="104"/>
      <c r="AQ42" s="104"/>
    </row>
    <row r="43" spans="1:43" ht="15.75" customHeight="1" x14ac:dyDescent="0.2">
      <c r="A43" s="252">
        <v>135371</v>
      </c>
      <c r="B43" s="112">
        <v>2020</v>
      </c>
      <c r="C43" s="112">
        <v>4</v>
      </c>
      <c r="D43" s="252" t="s">
        <v>307</v>
      </c>
      <c r="E43" s="482">
        <v>31</v>
      </c>
      <c r="F43" s="241">
        <v>139</v>
      </c>
      <c r="G43" s="241">
        <v>0</v>
      </c>
      <c r="H43" s="282">
        <v>0</v>
      </c>
      <c r="I43" s="282">
        <v>0</v>
      </c>
      <c r="J43" s="282">
        <v>0</v>
      </c>
      <c r="K43" s="282">
        <v>0</v>
      </c>
      <c r="L43" s="282">
        <v>0</v>
      </c>
      <c r="M43" s="282">
        <v>0</v>
      </c>
      <c r="N43" s="282">
        <v>0</v>
      </c>
      <c r="O43" s="282">
        <v>0</v>
      </c>
      <c r="P43" s="282">
        <v>0</v>
      </c>
      <c r="Q43" s="282">
        <v>0</v>
      </c>
      <c r="R43" s="282">
        <v>0</v>
      </c>
      <c r="S43" s="282">
        <v>0</v>
      </c>
      <c r="T43" s="256">
        <f t="shared" si="12"/>
        <v>0</v>
      </c>
      <c r="U43" s="512">
        <f t="shared" si="10"/>
        <v>0</v>
      </c>
      <c r="V43" s="513">
        <f t="shared" si="11"/>
        <v>0</v>
      </c>
      <c r="W43" s="527">
        <v>0</v>
      </c>
      <c r="X43" s="461">
        <f t="shared" si="3"/>
        <v>139</v>
      </c>
      <c r="Y43" s="112">
        <v>2020</v>
      </c>
      <c r="Z43" s="252" t="s">
        <v>307</v>
      </c>
      <c r="AA43"/>
      <c r="AB43"/>
      <c r="AC43"/>
      <c r="AD43" s="279"/>
      <c r="AE43" s="280" t="s">
        <v>35</v>
      </c>
      <c r="AF43" s="280"/>
      <c r="AG43" s="280"/>
      <c r="AH43" s="280"/>
      <c r="AI43" s="104"/>
      <c r="AJ43" s="104"/>
      <c r="AK43" s="104"/>
      <c r="AL43" s="104"/>
      <c r="AM43" s="104"/>
      <c r="AN43" s="104"/>
      <c r="AO43" s="104"/>
      <c r="AP43" s="104"/>
      <c r="AQ43" s="104"/>
    </row>
    <row r="44" spans="1:43" ht="15.75" customHeight="1" x14ac:dyDescent="0.2">
      <c r="A44" s="252">
        <v>133687</v>
      </c>
      <c r="B44" s="112">
        <v>2020</v>
      </c>
      <c r="C44" s="112">
        <v>3</v>
      </c>
      <c r="D44" s="252" t="s">
        <v>278</v>
      </c>
      <c r="E44" s="481">
        <v>0</v>
      </c>
      <c r="F44" s="241">
        <v>666</v>
      </c>
      <c r="G44" s="241">
        <v>0</v>
      </c>
      <c r="H44" s="282">
        <v>2</v>
      </c>
      <c r="I44" s="282">
        <v>0</v>
      </c>
      <c r="J44" s="282">
        <v>2</v>
      </c>
      <c r="K44" s="282">
        <v>0</v>
      </c>
      <c r="L44" s="282">
        <v>0</v>
      </c>
      <c r="M44" s="282">
        <v>0</v>
      </c>
      <c r="N44" s="282">
        <v>0</v>
      </c>
      <c r="O44" s="282">
        <v>0</v>
      </c>
      <c r="P44" s="282">
        <v>0</v>
      </c>
      <c r="Q44" s="282">
        <v>0</v>
      </c>
      <c r="R44" s="282">
        <v>0</v>
      </c>
      <c r="S44" s="282">
        <v>0</v>
      </c>
      <c r="T44" s="256">
        <f t="shared" si="12"/>
        <v>4</v>
      </c>
      <c r="U44" s="512">
        <f t="shared" si="10"/>
        <v>0.33333333333333331</v>
      </c>
      <c r="V44" s="513">
        <f t="shared" si="11"/>
        <v>1986</v>
      </c>
      <c r="W44" s="527">
        <v>0</v>
      </c>
      <c r="X44" s="461">
        <f t="shared" si="3"/>
        <v>662</v>
      </c>
      <c r="Y44" s="112">
        <v>2020</v>
      </c>
      <c r="Z44" s="252" t="s">
        <v>278</v>
      </c>
      <c r="AA44"/>
      <c r="AB44"/>
      <c r="AC44"/>
      <c r="AD44" s="239">
        <v>44622</v>
      </c>
      <c r="AE44" s="279"/>
      <c r="AF44" s="280" t="s">
        <v>537</v>
      </c>
      <c r="AG44" s="280">
        <v>11</v>
      </c>
      <c r="AH44" s="280" t="s">
        <v>538</v>
      </c>
      <c r="AI44" s="104"/>
      <c r="AJ44" s="104"/>
      <c r="AK44" s="104"/>
      <c r="AL44" s="104"/>
      <c r="AM44" s="104"/>
      <c r="AN44" s="104"/>
      <c r="AO44" s="104"/>
      <c r="AP44" s="104"/>
      <c r="AQ44" s="104"/>
    </row>
    <row r="45" spans="1:43" x14ac:dyDescent="0.2">
      <c r="A45" s="252">
        <v>168932</v>
      </c>
      <c r="B45" s="112" t="s">
        <v>508</v>
      </c>
      <c r="C45" s="112">
        <v>4</v>
      </c>
      <c r="D45" s="252" t="s">
        <v>94</v>
      </c>
      <c r="E45" s="481">
        <v>0</v>
      </c>
      <c r="F45" s="241">
        <v>599</v>
      </c>
      <c r="G45" s="241">
        <v>0</v>
      </c>
      <c r="H45" s="282">
        <v>5</v>
      </c>
      <c r="I45" s="282">
        <v>0</v>
      </c>
      <c r="J45" s="282">
        <v>0</v>
      </c>
      <c r="K45" s="282">
        <v>0</v>
      </c>
      <c r="L45" s="282">
        <v>0</v>
      </c>
      <c r="M45" s="282">
        <v>0</v>
      </c>
      <c r="N45" s="282">
        <v>0</v>
      </c>
      <c r="O45" s="282">
        <v>0</v>
      </c>
      <c r="P45" s="282">
        <v>0</v>
      </c>
      <c r="Q45" s="282">
        <v>0</v>
      </c>
      <c r="R45" s="282">
        <v>0</v>
      </c>
      <c r="S45" s="282">
        <v>0</v>
      </c>
      <c r="T45" s="256">
        <f t="shared" si="12"/>
        <v>5</v>
      </c>
      <c r="U45" s="512">
        <f t="shared" si="10"/>
        <v>0.41666666666666669</v>
      </c>
      <c r="V45" s="513">
        <f t="shared" si="11"/>
        <v>1425.6</v>
      </c>
      <c r="W45" s="527">
        <v>0</v>
      </c>
      <c r="X45" s="461">
        <f t="shared" si="3"/>
        <v>594</v>
      </c>
      <c r="Y45" s="112" t="s">
        <v>508</v>
      </c>
      <c r="Z45" s="252" t="s">
        <v>94</v>
      </c>
      <c r="AA45"/>
      <c r="AB45"/>
      <c r="AC45"/>
      <c r="AD45" s="239"/>
      <c r="AE45" s="279"/>
      <c r="AF45" s="280"/>
      <c r="AG45" s="280"/>
      <c r="AH45" s="280"/>
      <c r="AI45" s="104"/>
      <c r="AJ45" s="104"/>
      <c r="AK45" s="104"/>
      <c r="AL45" s="104"/>
      <c r="AM45" s="104"/>
      <c r="AN45" s="104"/>
      <c r="AO45" s="104"/>
      <c r="AP45" s="104"/>
      <c r="AQ45" s="104"/>
    </row>
    <row r="46" spans="1:43" ht="15.75" customHeight="1" x14ac:dyDescent="0.2">
      <c r="A46" s="252"/>
      <c r="B46" s="112"/>
      <c r="C46" s="112">
        <v>5</v>
      </c>
      <c r="D46" s="252" t="s">
        <v>433</v>
      </c>
      <c r="E46" s="481">
        <v>3</v>
      </c>
      <c r="F46" s="241">
        <v>33</v>
      </c>
      <c r="G46" s="241">
        <v>0</v>
      </c>
      <c r="H46" s="241">
        <v>7</v>
      </c>
      <c r="I46" s="241">
        <v>11</v>
      </c>
      <c r="J46" s="241">
        <v>0</v>
      </c>
      <c r="K46" s="241">
        <v>8</v>
      </c>
      <c r="L46" s="241">
        <v>7</v>
      </c>
      <c r="M46" s="281"/>
      <c r="N46" s="281"/>
      <c r="O46" s="281"/>
      <c r="P46" s="281"/>
      <c r="Q46" s="281"/>
      <c r="R46" s="281"/>
      <c r="S46" s="281"/>
      <c r="T46" s="256">
        <f t="shared" ref="T46:T75" si="14">SUM(H46:S46)</f>
        <v>33</v>
      </c>
      <c r="U46" s="512">
        <f t="shared" si="10"/>
        <v>6.6</v>
      </c>
      <c r="V46" s="513">
        <f t="shared" si="11"/>
        <v>0</v>
      </c>
      <c r="W46" s="527">
        <v>0</v>
      </c>
      <c r="X46" s="461">
        <f t="shared" si="3"/>
        <v>0</v>
      </c>
      <c r="Y46" s="112"/>
      <c r="Z46" s="252" t="s">
        <v>434</v>
      </c>
      <c r="AA46"/>
      <c r="AB46"/>
      <c r="AC46"/>
      <c r="AD46" s="239">
        <v>44670</v>
      </c>
      <c r="AE46" s="279"/>
      <c r="AF46" s="280" t="s">
        <v>539</v>
      </c>
      <c r="AG46" s="280">
        <v>30</v>
      </c>
      <c r="AH46" s="280" t="s">
        <v>538</v>
      </c>
      <c r="AI46" s="104"/>
      <c r="AJ46" s="104"/>
      <c r="AK46" s="104"/>
      <c r="AL46" s="104"/>
      <c r="AM46" s="104"/>
      <c r="AN46" s="104"/>
      <c r="AO46" s="104"/>
      <c r="AP46" s="104"/>
      <c r="AQ46" s="104"/>
    </row>
    <row r="47" spans="1:43" ht="15.75" customHeight="1" x14ac:dyDescent="0.2">
      <c r="A47" s="249"/>
      <c r="B47" s="165"/>
      <c r="C47" s="165">
        <v>0</v>
      </c>
      <c r="D47" s="249"/>
      <c r="E47" s="249"/>
      <c r="F47" s="509"/>
      <c r="G47" s="509"/>
      <c r="H47" s="509"/>
      <c r="I47" s="509"/>
      <c r="J47" s="509"/>
      <c r="K47" s="509"/>
      <c r="L47" s="509"/>
      <c r="M47" s="509"/>
      <c r="N47" s="509"/>
      <c r="O47" s="509"/>
      <c r="P47" s="509"/>
      <c r="Q47" s="509"/>
      <c r="R47" s="509"/>
      <c r="S47" s="509"/>
      <c r="T47" s="251">
        <f t="shared" ref="T47:T59" si="15">SUM(H47:S47)</f>
        <v>0</v>
      </c>
      <c r="U47" s="510"/>
      <c r="V47" s="511"/>
      <c r="W47" s="526"/>
      <c r="X47" s="251"/>
      <c r="Y47" s="165"/>
      <c r="Z47" s="249"/>
      <c r="AA47"/>
      <c r="AB47"/>
      <c r="AC47"/>
      <c r="AD47" s="239">
        <v>44670</v>
      </c>
      <c r="AE47" s="279"/>
      <c r="AF47" s="280" t="s">
        <v>540</v>
      </c>
      <c r="AG47" s="280">
        <v>44</v>
      </c>
      <c r="AH47" s="280" t="s">
        <v>538</v>
      </c>
      <c r="AI47" s="104"/>
      <c r="AJ47" s="104"/>
      <c r="AK47" s="104"/>
      <c r="AL47" s="104"/>
      <c r="AM47" s="104"/>
      <c r="AN47" s="104"/>
      <c r="AO47" s="104"/>
      <c r="AP47" s="104"/>
      <c r="AQ47" s="104"/>
    </row>
    <row r="48" spans="1:43" ht="15.75" customHeight="1" x14ac:dyDescent="0.2">
      <c r="A48" s="252">
        <v>11198</v>
      </c>
      <c r="B48" s="112">
        <v>2021</v>
      </c>
      <c r="C48" s="112">
        <v>1</v>
      </c>
      <c r="D48" s="252" t="s">
        <v>46</v>
      </c>
      <c r="E48" s="477">
        <v>26</v>
      </c>
      <c r="F48" s="241">
        <v>426</v>
      </c>
      <c r="G48" s="241">
        <v>0</v>
      </c>
      <c r="H48" s="282" t="s">
        <v>35</v>
      </c>
      <c r="I48" s="282" t="s">
        <v>35</v>
      </c>
      <c r="J48" s="282">
        <v>44</v>
      </c>
      <c r="K48" s="282">
        <v>2</v>
      </c>
      <c r="L48" s="282">
        <v>0</v>
      </c>
      <c r="M48" s="282">
        <v>0</v>
      </c>
      <c r="N48" s="282">
        <v>2</v>
      </c>
      <c r="O48" s="283">
        <v>15</v>
      </c>
      <c r="P48" s="283">
        <v>21</v>
      </c>
      <c r="Q48" s="283">
        <v>15</v>
      </c>
      <c r="R48" s="283">
        <v>23</v>
      </c>
      <c r="S48" s="283">
        <v>17</v>
      </c>
      <c r="T48" s="256">
        <f t="shared" si="15"/>
        <v>139</v>
      </c>
      <c r="U48" s="512">
        <f t="shared" ref="U48:U66" si="16">IFERROR((AVERAGE(H48:S48)),0)</f>
        <v>13.9</v>
      </c>
      <c r="V48" s="513">
        <f t="shared" ref="V48:V66" si="17">IFERROR((X48/U48),0)</f>
        <v>21.007194244604317</v>
      </c>
      <c r="W48" s="527">
        <v>5</v>
      </c>
      <c r="X48" s="461">
        <f t="shared" si="3"/>
        <v>292</v>
      </c>
      <c r="Y48" s="112">
        <v>2021</v>
      </c>
      <c r="Z48" s="252" t="s">
        <v>46</v>
      </c>
      <c r="AA48"/>
      <c r="AB48"/>
      <c r="AC48"/>
      <c r="AD48" s="239">
        <v>44670</v>
      </c>
      <c r="AE48" s="279"/>
      <c r="AF48" s="280" t="s">
        <v>541</v>
      </c>
      <c r="AG48" s="280">
        <v>52</v>
      </c>
      <c r="AH48" s="280" t="s">
        <v>538</v>
      </c>
      <c r="AI48" s="104"/>
      <c r="AJ48" s="104"/>
      <c r="AK48" s="104"/>
      <c r="AL48" s="104"/>
      <c r="AM48" s="104"/>
      <c r="AN48" s="104"/>
      <c r="AO48" s="104"/>
      <c r="AP48" s="104"/>
      <c r="AQ48" s="104"/>
    </row>
    <row r="49" spans="1:43" ht="15.75" customHeight="1" x14ac:dyDescent="0.2">
      <c r="A49" s="252">
        <v>168933</v>
      </c>
      <c r="B49" s="112">
        <v>2021</v>
      </c>
      <c r="C49" s="112">
        <v>1</v>
      </c>
      <c r="D49" s="252" t="s">
        <v>468</v>
      </c>
      <c r="E49" s="190">
        <v>19</v>
      </c>
      <c r="F49" s="241">
        <v>222</v>
      </c>
      <c r="G49" s="241">
        <v>0</v>
      </c>
      <c r="H49" s="282" t="s">
        <v>35</v>
      </c>
      <c r="I49" s="282" t="s">
        <v>35</v>
      </c>
      <c r="J49" s="282" t="s">
        <v>35</v>
      </c>
      <c r="K49" s="282" t="s">
        <v>35</v>
      </c>
      <c r="L49" s="283">
        <v>8</v>
      </c>
      <c r="M49" s="283">
        <v>5</v>
      </c>
      <c r="N49" s="283">
        <v>24</v>
      </c>
      <c r="O49" s="283">
        <v>50</v>
      </c>
      <c r="P49" s="283">
        <v>19</v>
      </c>
      <c r="Q49" s="283">
        <v>13</v>
      </c>
      <c r="R49" s="283">
        <v>18</v>
      </c>
      <c r="S49" s="283">
        <v>12</v>
      </c>
      <c r="T49" s="256">
        <f t="shared" ref="T49" si="18">SUM(H49:S49)</f>
        <v>149</v>
      </c>
      <c r="U49" s="512">
        <f t="shared" ref="U49" si="19">IFERROR((AVERAGE(H49:S49)),0)</f>
        <v>18.625</v>
      </c>
      <c r="V49" s="513">
        <f t="shared" si="17"/>
        <v>4.0805369127516782</v>
      </c>
      <c r="W49" s="527">
        <v>3</v>
      </c>
      <c r="X49" s="461">
        <f t="shared" si="3"/>
        <v>76</v>
      </c>
      <c r="Y49" s="112">
        <v>2021</v>
      </c>
      <c r="Z49" s="252" t="s">
        <v>468</v>
      </c>
      <c r="AA49"/>
      <c r="AB49"/>
      <c r="AC49"/>
      <c r="AD49" s="239"/>
      <c r="AE49" s="279"/>
      <c r="AF49" s="280"/>
      <c r="AG49" s="280"/>
      <c r="AH49" s="280"/>
      <c r="AI49" s="104"/>
      <c r="AJ49" s="104"/>
      <c r="AK49" s="104"/>
      <c r="AL49" s="104"/>
      <c r="AM49" s="104"/>
      <c r="AN49" s="104"/>
      <c r="AO49" s="104"/>
      <c r="AP49" s="104"/>
      <c r="AQ49" s="104"/>
    </row>
    <row r="50" spans="1:43" ht="15.75" customHeight="1" x14ac:dyDescent="0.2">
      <c r="A50" s="252">
        <v>168933</v>
      </c>
      <c r="B50" s="112">
        <v>2021</v>
      </c>
      <c r="C50" s="112">
        <v>5</v>
      </c>
      <c r="D50" s="252" t="s">
        <v>542</v>
      </c>
      <c r="E50" s="481">
        <v>0</v>
      </c>
      <c r="F50" s="241">
        <v>127</v>
      </c>
      <c r="G50" s="241">
        <v>0</v>
      </c>
      <c r="H50" s="282" t="s">
        <v>35</v>
      </c>
      <c r="I50" s="282" t="s">
        <v>35</v>
      </c>
      <c r="J50" s="282"/>
      <c r="K50" s="283">
        <v>35</v>
      </c>
      <c r="L50" s="283">
        <v>90</v>
      </c>
      <c r="M50" s="283">
        <v>2</v>
      </c>
      <c r="N50" s="281"/>
      <c r="O50" s="281"/>
      <c r="P50" s="281"/>
      <c r="Q50" s="281"/>
      <c r="R50" s="281"/>
      <c r="S50" s="281"/>
      <c r="T50" s="256">
        <f>SUM(H50:S50)</f>
        <v>127</v>
      </c>
      <c r="U50" s="512">
        <f>IFERROR((AVERAGE(H50:S50)),0)</f>
        <v>42.333333333333336</v>
      </c>
      <c r="V50" s="513">
        <f t="shared" si="17"/>
        <v>0</v>
      </c>
      <c r="W50" s="527">
        <v>0</v>
      </c>
      <c r="X50" s="461">
        <f t="shared" si="3"/>
        <v>0</v>
      </c>
      <c r="Y50" s="112">
        <v>2021</v>
      </c>
      <c r="Z50" s="252" t="s">
        <v>543</v>
      </c>
      <c r="AA50"/>
      <c r="AB50"/>
      <c r="AC50"/>
      <c r="AD50" s="239"/>
      <c r="AE50" s="279"/>
      <c r="AF50" s="280"/>
      <c r="AG50" s="280"/>
      <c r="AH50" s="280"/>
      <c r="AI50" s="104"/>
      <c r="AJ50" s="104"/>
      <c r="AK50" s="104"/>
      <c r="AL50" s="104"/>
      <c r="AM50" s="104"/>
      <c r="AN50" s="104"/>
      <c r="AO50" s="104"/>
      <c r="AP50" s="104"/>
      <c r="AQ50" s="104"/>
    </row>
    <row r="51" spans="1:43" ht="15.75" customHeight="1" x14ac:dyDescent="0.2">
      <c r="A51" s="252">
        <v>57632</v>
      </c>
      <c r="B51" s="112">
        <v>2021</v>
      </c>
      <c r="C51" s="112">
        <v>2</v>
      </c>
      <c r="D51" s="252" t="s">
        <v>31</v>
      </c>
      <c r="E51" s="191">
        <v>36</v>
      </c>
      <c r="F51" s="241">
        <v>253</v>
      </c>
      <c r="G51" s="241">
        <v>0</v>
      </c>
      <c r="H51" s="282" t="s">
        <v>35</v>
      </c>
      <c r="I51" s="282" t="s">
        <v>35</v>
      </c>
      <c r="J51" s="282"/>
      <c r="K51" s="282"/>
      <c r="L51" s="282"/>
      <c r="M51" s="282"/>
      <c r="N51" s="282">
        <v>0</v>
      </c>
      <c r="O51" s="282">
        <v>0</v>
      </c>
      <c r="P51" s="282">
        <v>0</v>
      </c>
      <c r="Q51" s="282">
        <v>0</v>
      </c>
      <c r="R51" s="282">
        <v>0</v>
      </c>
      <c r="S51" s="282">
        <v>13</v>
      </c>
      <c r="T51" s="256">
        <f t="shared" si="15"/>
        <v>13</v>
      </c>
      <c r="U51" s="512">
        <f t="shared" si="16"/>
        <v>2.1666666666666665</v>
      </c>
      <c r="V51" s="513">
        <f t="shared" si="17"/>
        <v>110.76923076923077</v>
      </c>
      <c r="W51" s="527">
        <v>0</v>
      </c>
      <c r="X51" s="461">
        <f t="shared" si="3"/>
        <v>240</v>
      </c>
      <c r="Y51" s="112">
        <v>2021</v>
      </c>
      <c r="Z51" s="252" t="s">
        <v>31</v>
      </c>
      <c r="AA51"/>
      <c r="AB51"/>
      <c r="AC51"/>
      <c r="AD51" s="239"/>
      <c r="AE51" s="279"/>
      <c r="AF51" s="280"/>
      <c r="AG51" s="280"/>
      <c r="AH51" s="280"/>
      <c r="AI51" s="104"/>
      <c r="AJ51" s="104"/>
      <c r="AK51" s="104"/>
      <c r="AL51" s="104"/>
      <c r="AM51" s="104"/>
      <c r="AN51" s="104"/>
      <c r="AO51" s="104"/>
      <c r="AP51" s="104"/>
      <c r="AQ51" s="104"/>
    </row>
    <row r="52" spans="1:43" ht="15.75" customHeight="1" x14ac:dyDescent="0.2">
      <c r="A52" s="252">
        <v>57630</v>
      </c>
      <c r="B52" s="112">
        <v>2021</v>
      </c>
      <c r="C52" s="112">
        <v>2</v>
      </c>
      <c r="D52" s="252" t="s">
        <v>25</v>
      </c>
      <c r="E52" s="477">
        <v>30</v>
      </c>
      <c r="F52" s="241">
        <v>306</v>
      </c>
      <c r="G52" s="241">
        <v>0</v>
      </c>
      <c r="H52" s="282" t="s">
        <v>35</v>
      </c>
      <c r="I52" s="282" t="s">
        <v>35</v>
      </c>
      <c r="J52" s="282"/>
      <c r="K52" s="282"/>
      <c r="L52" s="282"/>
      <c r="M52" s="282"/>
      <c r="N52" s="282">
        <v>0</v>
      </c>
      <c r="O52" s="282">
        <v>0</v>
      </c>
      <c r="P52" s="282">
        <v>0</v>
      </c>
      <c r="Q52" s="282">
        <v>0</v>
      </c>
      <c r="R52" s="282">
        <v>0</v>
      </c>
      <c r="S52" s="282">
        <v>16</v>
      </c>
      <c r="T52" s="256">
        <f t="shared" si="15"/>
        <v>16</v>
      </c>
      <c r="U52" s="512">
        <f t="shared" si="16"/>
        <v>2.6666666666666665</v>
      </c>
      <c r="V52" s="513">
        <f t="shared" si="17"/>
        <v>108.75</v>
      </c>
      <c r="W52" s="527">
        <v>0</v>
      </c>
      <c r="X52" s="461">
        <f t="shared" si="3"/>
        <v>290</v>
      </c>
      <c r="Y52" s="112">
        <v>2021</v>
      </c>
      <c r="Z52" s="252" t="s">
        <v>25</v>
      </c>
      <c r="AA52"/>
      <c r="AB52"/>
      <c r="AC52"/>
      <c r="AD52" s="239"/>
      <c r="AE52" s="279"/>
      <c r="AF52" s="280"/>
      <c r="AG52" s="280"/>
      <c r="AH52" s="280"/>
      <c r="AI52" s="104"/>
      <c r="AJ52" s="104"/>
      <c r="AK52" s="104"/>
      <c r="AL52" s="104"/>
      <c r="AM52" s="104"/>
      <c r="AN52" s="104"/>
      <c r="AO52" s="104"/>
      <c r="AP52" s="104"/>
      <c r="AQ52" s="104"/>
    </row>
    <row r="53" spans="1:43" ht="15.75" customHeight="1" x14ac:dyDescent="0.2">
      <c r="A53" s="252">
        <v>111575</v>
      </c>
      <c r="B53" s="112">
        <v>2021</v>
      </c>
      <c r="C53" s="112">
        <v>1</v>
      </c>
      <c r="D53" s="252" t="s">
        <v>110</v>
      </c>
      <c r="E53" s="477">
        <v>45.333333333333336</v>
      </c>
      <c r="F53" s="241">
        <v>473</v>
      </c>
      <c r="G53" s="241">
        <v>0</v>
      </c>
      <c r="H53" s="282" t="s">
        <v>35</v>
      </c>
      <c r="I53" s="282" t="s">
        <v>35</v>
      </c>
      <c r="J53" s="282" t="s">
        <v>35</v>
      </c>
      <c r="K53" s="282" t="s">
        <v>35</v>
      </c>
      <c r="L53" s="283">
        <v>11</v>
      </c>
      <c r="M53" s="283">
        <v>26</v>
      </c>
      <c r="N53" s="283">
        <v>17</v>
      </c>
      <c r="O53" s="283">
        <v>20</v>
      </c>
      <c r="P53" s="283">
        <v>14</v>
      </c>
      <c r="Q53" s="283">
        <v>9</v>
      </c>
      <c r="R53" s="283">
        <v>17</v>
      </c>
      <c r="S53" s="283">
        <v>10</v>
      </c>
      <c r="T53" s="256">
        <f t="shared" ref="T53" si="20">SUM(H53:S53)</f>
        <v>124</v>
      </c>
      <c r="U53" s="512">
        <f t="shared" ref="U53" si="21">IFERROR((AVERAGE(H53:S53)),0)</f>
        <v>15.5</v>
      </c>
      <c r="V53" s="513">
        <f t="shared" si="17"/>
        <v>22.838709677419356</v>
      </c>
      <c r="W53" s="527">
        <v>5</v>
      </c>
      <c r="X53" s="461">
        <f t="shared" si="3"/>
        <v>354</v>
      </c>
      <c r="Y53" s="112">
        <v>2021</v>
      </c>
      <c r="Z53" s="252" t="s">
        <v>110</v>
      </c>
      <c r="AA53"/>
      <c r="AB53"/>
      <c r="AC53"/>
      <c r="AD53" s="239"/>
      <c r="AE53" s="279"/>
      <c r="AF53" s="280"/>
      <c r="AG53" s="280"/>
      <c r="AH53" s="280"/>
      <c r="AI53" s="104"/>
      <c r="AJ53" s="104"/>
      <c r="AK53" s="104"/>
      <c r="AL53" s="104"/>
      <c r="AM53" s="104"/>
      <c r="AN53" s="104"/>
      <c r="AO53" s="104"/>
      <c r="AP53" s="104"/>
      <c r="AQ53" s="104"/>
    </row>
    <row r="54" spans="1:43" ht="15.75" customHeight="1" x14ac:dyDescent="0.2">
      <c r="A54" s="252"/>
      <c r="B54" s="112">
        <v>2021</v>
      </c>
      <c r="C54" s="112">
        <v>5</v>
      </c>
      <c r="D54" s="252" t="s">
        <v>544</v>
      </c>
      <c r="E54" s="477"/>
      <c r="F54" s="241">
        <v>96</v>
      </c>
      <c r="G54" s="241">
        <v>0</v>
      </c>
      <c r="H54" s="282" t="s">
        <v>35</v>
      </c>
      <c r="I54" s="282" t="s">
        <v>35</v>
      </c>
      <c r="J54" s="282" t="s">
        <v>35</v>
      </c>
      <c r="K54" s="282" t="s">
        <v>35</v>
      </c>
      <c r="L54" s="282"/>
      <c r="M54" s="282"/>
      <c r="N54" s="283">
        <v>38</v>
      </c>
      <c r="O54" s="283">
        <v>16</v>
      </c>
      <c r="P54" s="283">
        <v>12</v>
      </c>
      <c r="Q54" s="283">
        <v>11</v>
      </c>
      <c r="R54" s="283">
        <v>5</v>
      </c>
      <c r="S54" s="283">
        <v>2</v>
      </c>
      <c r="T54" s="256">
        <f t="shared" ref="T54:T56" si="22">SUM(H54:S54)</f>
        <v>84</v>
      </c>
      <c r="U54" s="512">
        <f t="shared" ref="U54:U56" si="23">IFERROR((AVERAGE(H54:S54)),0)</f>
        <v>14</v>
      </c>
      <c r="V54" s="513">
        <f t="shared" si="17"/>
        <v>0.8571428571428571</v>
      </c>
      <c r="W54" s="527">
        <v>0</v>
      </c>
      <c r="X54" s="461">
        <f t="shared" si="3"/>
        <v>12</v>
      </c>
      <c r="Y54" s="112"/>
      <c r="Z54" s="252" t="s">
        <v>544</v>
      </c>
      <c r="AA54"/>
      <c r="AB54"/>
      <c r="AC54"/>
      <c r="AD54" s="239"/>
      <c r="AE54" s="279"/>
      <c r="AF54" s="280"/>
      <c r="AG54" s="280"/>
      <c r="AH54" s="280"/>
      <c r="AI54" s="104"/>
      <c r="AJ54" s="104"/>
      <c r="AK54" s="104"/>
      <c r="AL54" s="104"/>
      <c r="AM54" s="104"/>
      <c r="AN54" s="104"/>
      <c r="AO54" s="104"/>
      <c r="AP54" s="104"/>
      <c r="AQ54" s="104"/>
    </row>
    <row r="55" spans="1:43" ht="15.75" customHeight="1" x14ac:dyDescent="0.2">
      <c r="A55" s="252"/>
      <c r="B55" s="112">
        <v>2021</v>
      </c>
      <c r="C55" s="112">
        <v>5</v>
      </c>
      <c r="D55" s="252" t="s">
        <v>545</v>
      </c>
      <c r="E55" s="477"/>
      <c r="F55" s="241">
        <v>106</v>
      </c>
      <c r="G55" s="241">
        <v>0</v>
      </c>
      <c r="H55" s="282" t="s">
        <v>35</v>
      </c>
      <c r="I55" s="282" t="s">
        <v>35</v>
      </c>
      <c r="J55" s="282" t="s">
        <v>35</v>
      </c>
      <c r="K55" s="282" t="s">
        <v>35</v>
      </c>
      <c r="L55" s="282"/>
      <c r="M55" s="282"/>
      <c r="N55" s="283">
        <v>39</v>
      </c>
      <c r="O55" s="283">
        <v>21</v>
      </c>
      <c r="P55" s="283">
        <v>12</v>
      </c>
      <c r="Q55" s="283">
        <v>11</v>
      </c>
      <c r="R55" s="283">
        <v>7</v>
      </c>
      <c r="S55" s="283">
        <v>3</v>
      </c>
      <c r="T55" s="256">
        <f t="shared" si="22"/>
        <v>93</v>
      </c>
      <c r="U55" s="512">
        <f t="shared" si="23"/>
        <v>15.5</v>
      </c>
      <c r="V55" s="513">
        <f t="shared" si="17"/>
        <v>0.83870967741935487</v>
      </c>
      <c r="W55" s="527">
        <v>0</v>
      </c>
      <c r="X55" s="461">
        <f t="shared" si="3"/>
        <v>13</v>
      </c>
      <c r="Y55" s="112"/>
      <c r="Z55" s="252" t="s">
        <v>545</v>
      </c>
      <c r="AA55"/>
      <c r="AB55"/>
      <c r="AC55"/>
      <c r="AD55" s="239"/>
      <c r="AE55" s="279"/>
      <c r="AF55" s="280"/>
      <c r="AG55" s="280"/>
      <c r="AH55" s="280"/>
      <c r="AI55" s="104"/>
      <c r="AJ55" s="104"/>
      <c r="AK55" s="104"/>
      <c r="AL55" s="104"/>
      <c r="AM55" s="104"/>
      <c r="AN55" s="104"/>
      <c r="AO55" s="104"/>
      <c r="AP55" s="104"/>
      <c r="AQ55" s="104"/>
    </row>
    <row r="56" spans="1:43" ht="15.75" customHeight="1" x14ac:dyDescent="0.2">
      <c r="A56" s="252"/>
      <c r="B56" s="112">
        <v>2021</v>
      </c>
      <c r="C56" s="112">
        <v>5</v>
      </c>
      <c r="D56" s="252" t="s">
        <v>546</v>
      </c>
      <c r="E56" s="477"/>
      <c r="F56" s="241">
        <v>124</v>
      </c>
      <c r="G56" s="241">
        <v>0</v>
      </c>
      <c r="H56" s="282" t="s">
        <v>35</v>
      </c>
      <c r="I56" s="282" t="s">
        <v>35</v>
      </c>
      <c r="J56" s="282" t="s">
        <v>35</v>
      </c>
      <c r="K56" s="282" t="s">
        <v>35</v>
      </c>
      <c r="L56" s="282"/>
      <c r="M56" s="282"/>
      <c r="N56" s="283">
        <v>41</v>
      </c>
      <c r="O56" s="283">
        <v>21</v>
      </c>
      <c r="P56" s="283">
        <v>15</v>
      </c>
      <c r="Q56" s="283">
        <v>17</v>
      </c>
      <c r="R56" s="283">
        <v>5</v>
      </c>
      <c r="S56" s="283">
        <v>2</v>
      </c>
      <c r="T56" s="256">
        <f t="shared" si="22"/>
        <v>101</v>
      </c>
      <c r="U56" s="512">
        <f t="shared" si="23"/>
        <v>16.833333333333332</v>
      </c>
      <c r="V56" s="513">
        <f t="shared" si="17"/>
        <v>1.3663366336633664</v>
      </c>
      <c r="W56" s="527">
        <v>0</v>
      </c>
      <c r="X56" s="461">
        <f t="shared" si="3"/>
        <v>23</v>
      </c>
      <c r="Y56" s="112"/>
      <c r="Z56" s="252" t="s">
        <v>546</v>
      </c>
      <c r="AA56"/>
      <c r="AB56"/>
      <c r="AC56"/>
      <c r="AD56" s="239"/>
      <c r="AE56" s="279"/>
      <c r="AF56" s="280"/>
      <c r="AG56" s="280"/>
      <c r="AH56" s="280"/>
      <c r="AI56" s="104"/>
      <c r="AJ56" s="104"/>
      <c r="AK56" s="104"/>
      <c r="AL56" s="104"/>
      <c r="AM56" s="104"/>
      <c r="AN56" s="104"/>
      <c r="AO56" s="104"/>
      <c r="AP56" s="104"/>
      <c r="AQ56" s="104"/>
    </row>
    <row r="57" spans="1:43" ht="15.75" customHeight="1" x14ac:dyDescent="0.2">
      <c r="A57" s="252">
        <v>133688</v>
      </c>
      <c r="B57" s="112">
        <v>2021</v>
      </c>
      <c r="C57" s="112">
        <v>3</v>
      </c>
      <c r="D57" s="252" t="s">
        <v>23</v>
      </c>
      <c r="E57" s="481">
        <v>39</v>
      </c>
      <c r="F57" s="241">
        <v>315</v>
      </c>
      <c r="G57" s="241">
        <v>0</v>
      </c>
      <c r="H57" s="282" t="s">
        <v>35</v>
      </c>
      <c r="I57" s="282" t="s">
        <v>35</v>
      </c>
      <c r="J57" s="282"/>
      <c r="K57" s="282"/>
      <c r="L57" s="282"/>
      <c r="M57" s="282"/>
      <c r="N57" s="282"/>
      <c r="O57" s="282"/>
      <c r="P57" s="282"/>
      <c r="Q57" s="282"/>
      <c r="R57" s="282"/>
      <c r="S57" s="282"/>
      <c r="T57" s="256">
        <f t="shared" si="15"/>
        <v>0</v>
      </c>
      <c r="U57" s="512">
        <f t="shared" si="16"/>
        <v>0</v>
      </c>
      <c r="V57" s="513">
        <f t="shared" si="17"/>
        <v>0</v>
      </c>
      <c r="W57" s="527">
        <v>0</v>
      </c>
      <c r="X57" s="461">
        <f t="shared" si="3"/>
        <v>315</v>
      </c>
      <c r="Y57" s="112">
        <v>2021</v>
      </c>
      <c r="Z57" s="252" t="s">
        <v>307</v>
      </c>
      <c r="AA57"/>
      <c r="AB57"/>
      <c r="AC57"/>
      <c r="AD57"/>
      <c r="AE57"/>
      <c r="AF57"/>
      <c r="AG57"/>
      <c r="AH57"/>
      <c r="AI57" s="104"/>
      <c r="AJ57" s="104"/>
      <c r="AK57" s="104"/>
      <c r="AL57" s="104"/>
      <c r="AM57" s="104"/>
      <c r="AN57" s="104"/>
      <c r="AO57" s="104"/>
      <c r="AP57" s="104"/>
      <c r="AQ57" s="104"/>
    </row>
    <row r="58" spans="1:43" ht="15.75" customHeight="1" x14ac:dyDescent="0.2">
      <c r="A58" s="252">
        <v>133687</v>
      </c>
      <c r="B58" s="112">
        <v>2021</v>
      </c>
      <c r="C58" s="112">
        <v>4</v>
      </c>
      <c r="D58" s="252" t="s">
        <v>93</v>
      </c>
      <c r="E58" s="481" t="s">
        <v>35</v>
      </c>
      <c r="F58" s="241">
        <v>351</v>
      </c>
      <c r="G58" s="241">
        <v>0</v>
      </c>
      <c r="H58" s="282" t="s">
        <v>35</v>
      </c>
      <c r="I58" s="282" t="s">
        <v>35</v>
      </c>
      <c r="J58" s="282"/>
      <c r="K58" s="282"/>
      <c r="L58" s="282"/>
      <c r="M58" s="282"/>
      <c r="N58" s="282"/>
      <c r="O58" s="282"/>
      <c r="P58" s="282"/>
      <c r="Q58" s="282"/>
      <c r="R58" s="282"/>
      <c r="S58" s="282"/>
      <c r="T58" s="256">
        <f t="shared" si="15"/>
        <v>0</v>
      </c>
      <c r="U58" s="512">
        <f t="shared" si="16"/>
        <v>0</v>
      </c>
      <c r="V58" s="513">
        <f t="shared" si="17"/>
        <v>0</v>
      </c>
      <c r="W58" s="527">
        <v>0</v>
      </c>
      <c r="X58" s="461">
        <f t="shared" si="3"/>
        <v>351</v>
      </c>
      <c r="Y58" s="112">
        <v>2021</v>
      </c>
      <c r="Z58" s="252" t="s">
        <v>278</v>
      </c>
      <c r="AA58"/>
      <c r="AB58"/>
      <c r="AC58"/>
      <c r="AD58"/>
      <c r="AE58"/>
      <c r="AF58"/>
      <c r="AG58"/>
      <c r="AH58"/>
      <c r="AI58" s="104"/>
      <c r="AJ58" s="104"/>
      <c r="AK58" s="104"/>
      <c r="AL58" s="104"/>
      <c r="AM58" s="104"/>
      <c r="AN58" s="104"/>
      <c r="AO58" s="104"/>
      <c r="AP58" s="104"/>
      <c r="AQ58" s="104"/>
    </row>
    <row r="59" spans="1:43" ht="15.75" customHeight="1" x14ac:dyDescent="0.2">
      <c r="A59" s="252">
        <v>135370</v>
      </c>
      <c r="B59" s="112">
        <v>2020</v>
      </c>
      <c r="C59" s="112">
        <v>4</v>
      </c>
      <c r="D59" s="252" t="s">
        <v>217</v>
      </c>
      <c r="E59" s="481"/>
      <c r="F59" s="241">
        <v>136</v>
      </c>
      <c r="G59" s="241">
        <v>0</v>
      </c>
      <c r="H59" s="282"/>
      <c r="I59" s="282"/>
      <c r="J59" s="282"/>
      <c r="K59" s="282"/>
      <c r="L59" s="282"/>
      <c r="M59" s="282"/>
      <c r="N59" s="282"/>
      <c r="O59" s="282"/>
      <c r="P59" s="282"/>
      <c r="Q59" s="282"/>
      <c r="R59" s="282"/>
      <c r="S59" s="282"/>
      <c r="T59" s="256">
        <f t="shared" si="15"/>
        <v>0</v>
      </c>
      <c r="U59" s="512">
        <f t="shared" si="16"/>
        <v>0</v>
      </c>
      <c r="V59" s="513">
        <f t="shared" si="17"/>
        <v>0</v>
      </c>
      <c r="W59" s="527">
        <v>0</v>
      </c>
      <c r="X59" s="461">
        <f t="shared" si="3"/>
        <v>136</v>
      </c>
      <c r="Y59" s="112">
        <v>2020</v>
      </c>
      <c r="Z59" s="252" t="s">
        <v>505</v>
      </c>
      <c r="AA59"/>
      <c r="AB59"/>
      <c r="AC59"/>
      <c r="AD59"/>
      <c r="AE59"/>
      <c r="AF59"/>
      <c r="AG59"/>
      <c r="AH59"/>
      <c r="AI59" s="104"/>
      <c r="AJ59" s="104"/>
      <c r="AK59" s="104"/>
      <c r="AL59" s="104"/>
      <c r="AM59" s="104"/>
      <c r="AN59" s="104"/>
      <c r="AO59" s="104"/>
      <c r="AP59" s="104"/>
      <c r="AQ59" s="104"/>
    </row>
    <row r="60" spans="1:43" ht="15.75" customHeight="1" x14ac:dyDescent="0.2">
      <c r="A60" s="104">
        <v>27736</v>
      </c>
      <c r="B60" s="112">
        <v>2021</v>
      </c>
      <c r="C60" s="112">
        <v>3</v>
      </c>
      <c r="D60" s="252" t="s">
        <v>70</v>
      </c>
      <c r="E60" s="481">
        <v>29</v>
      </c>
      <c r="F60" s="241">
        <v>341</v>
      </c>
      <c r="G60" s="241">
        <v>0</v>
      </c>
      <c r="H60" s="282" t="s">
        <v>35</v>
      </c>
      <c r="I60" s="282" t="s">
        <v>35</v>
      </c>
      <c r="J60" s="282"/>
      <c r="K60" s="282"/>
      <c r="L60" s="282"/>
      <c r="M60" s="282"/>
      <c r="N60" s="282"/>
      <c r="O60" s="282"/>
      <c r="P60" s="282"/>
      <c r="Q60" s="282"/>
      <c r="R60" s="282"/>
      <c r="S60" s="282"/>
      <c r="T60" s="256">
        <f t="shared" ref="T60:T65" si="24">SUM(H60:S60)</f>
        <v>0</v>
      </c>
      <c r="U60" s="512">
        <f t="shared" si="16"/>
        <v>0</v>
      </c>
      <c r="V60" s="513">
        <f t="shared" si="17"/>
        <v>0</v>
      </c>
      <c r="W60" s="527">
        <v>0</v>
      </c>
      <c r="X60" s="461">
        <f t="shared" si="3"/>
        <v>341</v>
      </c>
      <c r="Y60" s="112">
        <v>2021</v>
      </c>
      <c r="Z60" s="252" t="s">
        <v>94</v>
      </c>
      <c r="AA60"/>
      <c r="AB60"/>
      <c r="AC60"/>
      <c r="AD60"/>
      <c r="AE60"/>
      <c r="AF60"/>
      <c r="AG60"/>
      <c r="AH60"/>
      <c r="AI60" s="104"/>
      <c r="AJ60" s="104"/>
      <c r="AK60" s="104"/>
      <c r="AL60" s="104"/>
      <c r="AM60" s="104"/>
      <c r="AN60" s="104"/>
      <c r="AO60" s="104"/>
      <c r="AP60" s="104"/>
      <c r="AQ60" s="104"/>
    </row>
    <row r="61" spans="1:43" ht="15.75" customHeight="1" x14ac:dyDescent="0.2">
      <c r="A61" s="522">
        <v>34641</v>
      </c>
      <c r="B61" s="112">
        <v>2021</v>
      </c>
      <c r="C61" s="112">
        <v>4</v>
      </c>
      <c r="D61" s="252" t="s">
        <v>118</v>
      </c>
      <c r="E61" s="191">
        <v>0</v>
      </c>
      <c r="F61" s="241">
        <v>564</v>
      </c>
      <c r="G61" s="241">
        <v>0</v>
      </c>
      <c r="H61" s="282"/>
      <c r="I61" s="282"/>
      <c r="J61" s="282"/>
      <c r="K61" s="282"/>
      <c r="L61" s="282"/>
      <c r="M61" s="282"/>
      <c r="N61" s="282"/>
      <c r="O61" s="282"/>
      <c r="P61" s="282"/>
      <c r="Q61" s="282"/>
      <c r="R61" s="282"/>
      <c r="S61" s="282"/>
      <c r="T61" s="256">
        <f t="shared" ref="T61" si="25">SUM(H61:S61)</f>
        <v>0</v>
      </c>
      <c r="U61" s="512">
        <f t="shared" si="16"/>
        <v>0</v>
      </c>
      <c r="V61" s="513">
        <f t="shared" si="17"/>
        <v>0</v>
      </c>
      <c r="W61" s="527">
        <v>0</v>
      </c>
      <c r="X61" s="461">
        <f t="shared" si="3"/>
        <v>564</v>
      </c>
      <c r="Y61" s="112">
        <v>2021</v>
      </c>
      <c r="Z61" s="252" t="s">
        <v>118</v>
      </c>
      <c r="AA61"/>
      <c r="AB61"/>
      <c r="AC61"/>
      <c r="AD61"/>
      <c r="AE61"/>
      <c r="AF61"/>
      <c r="AG61"/>
      <c r="AH61"/>
      <c r="AI61" s="104"/>
      <c r="AJ61" s="104"/>
      <c r="AK61" s="104"/>
      <c r="AL61" s="104"/>
      <c r="AM61" s="104"/>
      <c r="AN61" s="104"/>
      <c r="AO61" s="104"/>
      <c r="AP61" s="104"/>
      <c r="AQ61" s="104"/>
    </row>
    <row r="62" spans="1:43" ht="15.75" customHeight="1" x14ac:dyDescent="0.2">
      <c r="A62" s="104"/>
      <c r="B62" s="112">
        <v>2021</v>
      </c>
      <c r="C62" s="112">
        <v>3</v>
      </c>
      <c r="D62" s="252" t="s">
        <v>547</v>
      </c>
      <c r="E62" s="191">
        <v>0</v>
      </c>
      <c r="F62" s="241">
        <v>86</v>
      </c>
      <c r="G62" s="241">
        <v>0</v>
      </c>
      <c r="H62" s="282"/>
      <c r="I62" s="282"/>
      <c r="J62" s="282"/>
      <c r="K62" s="282"/>
      <c r="L62" s="282"/>
      <c r="M62" s="282"/>
      <c r="N62" s="282"/>
      <c r="O62" s="282"/>
      <c r="P62" s="282"/>
      <c r="Q62" s="282"/>
      <c r="R62" s="282"/>
      <c r="S62" s="282"/>
      <c r="T62" s="256">
        <f t="shared" ref="T62" si="26">SUM(H62:S62)</f>
        <v>0</v>
      </c>
      <c r="U62" s="512">
        <f t="shared" ref="U62" si="27">IFERROR((AVERAGE(H62:S62)),0)</f>
        <v>0</v>
      </c>
      <c r="V62" s="513">
        <f t="shared" si="17"/>
        <v>0</v>
      </c>
      <c r="W62" s="527">
        <v>0</v>
      </c>
      <c r="X62" s="461">
        <f t="shared" si="3"/>
        <v>86</v>
      </c>
      <c r="Y62" s="112">
        <v>2021</v>
      </c>
      <c r="Z62" s="252" t="s">
        <v>548</v>
      </c>
      <c r="AA62"/>
      <c r="AB62"/>
      <c r="AC62"/>
      <c r="AD62"/>
      <c r="AE62"/>
      <c r="AF62"/>
      <c r="AG62"/>
      <c r="AH62"/>
      <c r="AI62" s="104"/>
      <c r="AJ62" s="104"/>
      <c r="AK62" s="104"/>
      <c r="AL62" s="104"/>
      <c r="AM62" s="104"/>
      <c r="AN62" s="104"/>
      <c r="AO62" s="104"/>
      <c r="AP62" s="104"/>
      <c r="AQ62" s="104"/>
    </row>
    <row r="63" spans="1:43" ht="15.75" customHeight="1" x14ac:dyDescent="0.2">
      <c r="A63" s="252">
        <v>135371</v>
      </c>
      <c r="B63" s="112">
        <v>2021</v>
      </c>
      <c r="C63" s="112">
        <v>4</v>
      </c>
      <c r="D63" s="252" t="s">
        <v>307</v>
      </c>
      <c r="E63" s="482">
        <v>0</v>
      </c>
      <c r="F63" s="241">
        <v>142</v>
      </c>
      <c r="G63" s="241">
        <v>0</v>
      </c>
      <c r="H63" s="282" t="s">
        <v>35</v>
      </c>
      <c r="I63" s="282" t="s">
        <v>35</v>
      </c>
      <c r="J63" s="282"/>
      <c r="K63" s="282"/>
      <c r="L63" s="282"/>
      <c r="M63" s="282"/>
      <c r="N63" s="282"/>
      <c r="O63" s="282"/>
      <c r="P63" s="282"/>
      <c r="Q63" s="282"/>
      <c r="R63" s="284"/>
      <c r="S63" s="282"/>
      <c r="T63" s="256">
        <f t="shared" si="24"/>
        <v>0</v>
      </c>
      <c r="U63" s="512">
        <f t="shared" si="16"/>
        <v>0</v>
      </c>
      <c r="V63" s="513">
        <f t="shared" si="17"/>
        <v>0</v>
      </c>
      <c r="W63" s="527">
        <v>0</v>
      </c>
      <c r="X63" s="461">
        <f t="shared" si="3"/>
        <v>142</v>
      </c>
      <c r="Y63" s="112">
        <v>2021</v>
      </c>
      <c r="Z63" s="252" t="s">
        <v>434</v>
      </c>
      <c r="AA63" s="105"/>
      <c r="AB63" s="105"/>
      <c r="AC63" s="105"/>
      <c r="AD63"/>
      <c r="AE63"/>
      <c r="AF63"/>
      <c r="AG63"/>
      <c r="AH63"/>
      <c r="AI63" s="104"/>
      <c r="AJ63" s="104"/>
      <c r="AK63" s="104"/>
      <c r="AL63" s="104"/>
      <c r="AM63" s="104"/>
      <c r="AN63" s="104"/>
      <c r="AO63" s="104"/>
      <c r="AP63" s="104"/>
      <c r="AQ63" s="104"/>
    </row>
    <row r="64" spans="1:43" ht="15.75" customHeight="1" x14ac:dyDescent="0.2">
      <c r="A64" s="252">
        <v>133687</v>
      </c>
      <c r="B64" s="112">
        <v>2021</v>
      </c>
      <c r="C64" s="112">
        <v>3</v>
      </c>
      <c r="D64" s="252" t="s">
        <v>278</v>
      </c>
      <c r="E64" s="481">
        <v>54</v>
      </c>
      <c r="F64" s="241">
        <v>556</v>
      </c>
      <c r="G64" s="241">
        <v>0</v>
      </c>
      <c r="H64" s="282" t="s">
        <v>35</v>
      </c>
      <c r="I64" s="282" t="s">
        <v>35</v>
      </c>
      <c r="J64" s="282"/>
      <c r="K64" s="282"/>
      <c r="L64" s="282"/>
      <c r="M64" s="282"/>
      <c r="N64" s="282"/>
      <c r="O64" s="282"/>
      <c r="P64" s="282"/>
      <c r="Q64" s="282"/>
      <c r="R64" s="282"/>
      <c r="S64" s="282"/>
      <c r="T64" s="256">
        <f t="shared" si="24"/>
        <v>0</v>
      </c>
      <c r="U64" s="512">
        <f t="shared" si="16"/>
        <v>0</v>
      </c>
      <c r="V64" s="513">
        <f t="shared" si="17"/>
        <v>0</v>
      </c>
      <c r="W64" s="527">
        <v>0</v>
      </c>
      <c r="X64" s="461">
        <f t="shared" si="3"/>
        <v>556</v>
      </c>
      <c r="Y64" s="112">
        <v>2021</v>
      </c>
      <c r="Z64" s="252" t="s">
        <v>278</v>
      </c>
      <c r="AA64" s="105"/>
      <c r="AB64" s="105"/>
      <c r="AC64" s="105"/>
      <c r="AD64"/>
      <c r="AE64"/>
      <c r="AF64"/>
      <c r="AG64"/>
      <c r="AH64"/>
      <c r="AI64" s="104"/>
      <c r="AJ64" s="104"/>
      <c r="AK64" s="104"/>
      <c r="AL64" s="104"/>
      <c r="AM64" s="104"/>
      <c r="AN64" s="104"/>
      <c r="AO64" s="104"/>
      <c r="AP64" s="104"/>
      <c r="AQ64" s="104"/>
    </row>
    <row r="65" spans="1:43" ht="15.75" customHeight="1" x14ac:dyDescent="0.2">
      <c r="A65" s="252">
        <v>168932</v>
      </c>
      <c r="B65" s="112" t="s">
        <v>35</v>
      </c>
      <c r="C65" s="112">
        <v>4</v>
      </c>
      <c r="D65" s="252" t="s">
        <v>549</v>
      </c>
      <c r="E65" s="481">
        <v>0</v>
      </c>
      <c r="F65" s="241">
        <v>444</v>
      </c>
      <c r="G65" s="241">
        <v>0</v>
      </c>
      <c r="H65" s="282" t="s">
        <v>35</v>
      </c>
      <c r="I65" s="282" t="s">
        <v>35</v>
      </c>
      <c r="J65" s="282"/>
      <c r="K65" s="282"/>
      <c r="L65" s="282"/>
      <c r="M65" s="282"/>
      <c r="N65" s="282"/>
      <c r="O65" s="282"/>
      <c r="P65" s="282"/>
      <c r="Q65" s="282"/>
      <c r="R65" s="282"/>
      <c r="S65" s="282"/>
      <c r="T65" s="256">
        <f t="shared" si="24"/>
        <v>0</v>
      </c>
      <c r="U65" s="512">
        <f t="shared" si="16"/>
        <v>0</v>
      </c>
      <c r="V65" s="513">
        <f t="shared" si="17"/>
        <v>0</v>
      </c>
      <c r="W65" s="527">
        <v>0</v>
      </c>
      <c r="X65" s="461">
        <f t="shared" si="3"/>
        <v>444</v>
      </c>
      <c r="Y65" s="112" t="s">
        <v>550</v>
      </c>
      <c r="Z65" s="252"/>
      <c r="AA65" s="105"/>
      <c r="AB65" s="105"/>
      <c r="AC65" s="105"/>
      <c r="AD65"/>
      <c r="AE65"/>
      <c r="AF65"/>
      <c r="AG65"/>
      <c r="AH65"/>
      <c r="AI65" s="104"/>
      <c r="AJ65" s="104"/>
      <c r="AK65" s="104"/>
      <c r="AL65" s="104"/>
      <c r="AM65" s="104"/>
      <c r="AN65" s="104"/>
      <c r="AO65" s="104"/>
      <c r="AP65" s="104"/>
      <c r="AQ65" s="104"/>
    </row>
    <row r="66" spans="1:43" ht="15.75" customHeight="1" x14ac:dyDescent="0.2">
      <c r="A66" s="252"/>
      <c r="B66" s="112"/>
      <c r="C66" s="112">
        <v>5</v>
      </c>
      <c r="D66" s="252" t="s">
        <v>134</v>
      </c>
      <c r="E66" s="481"/>
      <c r="F66" s="241">
        <v>99</v>
      </c>
      <c r="G66" s="241">
        <v>0</v>
      </c>
      <c r="H66" s="282" t="s">
        <v>35</v>
      </c>
      <c r="I66" s="282" t="s">
        <v>35</v>
      </c>
      <c r="J66" s="282" t="s">
        <v>35</v>
      </c>
      <c r="K66" s="282" t="s">
        <v>35</v>
      </c>
      <c r="L66" s="282">
        <v>1</v>
      </c>
      <c r="M66" s="283">
        <v>15</v>
      </c>
      <c r="N66" s="283">
        <v>9</v>
      </c>
      <c r="O66" s="283">
        <v>11</v>
      </c>
      <c r="P66" s="283">
        <v>8</v>
      </c>
      <c r="Q66" s="283">
        <v>8</v>
      </c>
      <c r="R66" s="283">
        <v>11</v>
      </c>
      <c r="S66" s="283">
        <v>8</v>
      </c>
      <c r="T66" s="256">
        <f t="shared" ref="T66:T67" si="28">SUM(H66:S66)</f>
        <v>71</v>
      </c>
      <c r="U66" s="512">
        <f t="shared" si="16"/>
        <v>8.875</v>
      </c>
      <c r="V66" s="513">
        <f t="shared" si="17"/>
        <v>3.380281690140845</v>
      </c>
      <c r="W66" s="527">
        <v>2</v>
      </c>
      <c r="X66" s="461">
        <f t="shared" si="3"/>
        <v>30</v>
      </c>
      <c r="Y66" s="112"/>
      <c r="Z66" s="252" t="s">
        <v>134</v>
      </c>
      <c r="AA66" s="105"/>
      <c r="AB66" s="105"/>
      <c r="AC66" s="105"/>
      <c r="AD66"/>
      <c r="AE66"/>
      <c r="AF66"/>
      <c r="AG66"/>
      <c r="AH66"/>
      <c r="AI66" s="104"/>
      <c r="AJ66" s="104"/>
      <c r="AK66" s="104"/>
      <c r="AL66" s="104"/>
      <c r="AM66" s="104"/>
      <c r="AN66" s="104"/>
      <c r="AO66" s="104"/>
      <c r="AP66" s="104"/>
      <c r="AQ66" s="104"/>
    </row>
    <row r="67" spans="1:43" ht="15.75" customHeight="1" x14ac:dyDescent="0.2">
      <c r="A67" s="252"/>
      <c r="B67" s="165"/>
      <c r="C67" s="165"/>
      <c r="D67" s="249"/>
      <c r="E67" s="249"/>
      <c r="F67" s="509"/>
      <c r="G67" s="509"/>
      <c r="H67" s="509"/>
      <c r="I67" s="509"/>
      <c r="J67" s="509"/>
      <c r="K67" s="509"/>
      <c r="L67" s="509"/>
      <c r="M67" s="509"/>
      <c r="N67" s="509"/>
      <c r="O67" s="509"/>
      <c r="P67" s="509"/>
      <c r="Q67" s="509"/>
      <c r="R67" s="509"/>
      <c r="S67" s="509"/>
      <c r="T67" s="251">
        <f t="shared" si="28"/>
        <v>0</v>
      </c>
      <c r="U67" s="510"/>
      <c r="V67" s="511"/>
      <c r="W67" s="526"/>
      <c r="X67" s="462">
        <f>SUM(F67-T67)</f>
        <v>0</v>
      </c>
      <c r="Y67" s="165"/>
      <c r="Z67" s="252"/>
      <c r="AA67" s="105"/>
      <c r="AB67" s="105"/>
      <c r="AC67" s="105"/>
      <c r="AD67"/>
      <c r="AE67"/>
      <c r="AF67"/>
      <c r="AG67"/>
      <c r="AH67"/>
      <c r="AI67" s="104"/>
      <c r="AJ67" s="104"/>
      <c r="AK67" s="104"/>
      <c r="AL67" s="104"/>
      <c r="AM67" s="104"/>
      <c r="AN67" s="104"/>
      <c r="AO67" s="104"/>
      <c r="AP67" s="104"/>
      <c r="AQ67" s="104"/>
    </row>
    <row r="68" spans="1:43" ht="15.75" customHeight="1" x14ac:dyDescent="0.2">
      <c r="A68" s="252"/>
      <c r="B68" s="112">
        <v>2015</v>
      </c>
      <c r="C68" s="112"/>
      <c r="D68" s="252"/>
      <c r="E68" s="272"/>
      <c r="F68" s="512">
        <f>SUM(F9:F9)</f>
        <v>165</v>
      </c>
      <c r="G68" s="512">
        <f>SUM(G9)</f>
        <v>0</v>
      </c>
      <c r="H68" s="512">
        <f t="shared" ref="H68:S68" si="29">SUM(H9:H9)</f>
        <v>7</v>
      </c>
      <c r="I68" s="512">
        <f t="shared" si="29"/>
        <v>63</v>
      </c>
      <c r="J68" s="512">
        <f t="shared" si="29"/>
        <v>0</v>
      </c>
      <c r="K68" s="512">
        <f t="shared" si="29"/>
        <v>0</v>
      </c>
      <c r="L68" s="512">
        <f t="shared" si="29"/>
        <v>0</v>
      </c>
      <c r="M68" s="512">
        <f t="shared" si="29"/>
        <v>0</v>
      </c>
      <c r="N68" s="512">
        <f t="shared" si="29"/>
        <v>0</v>
      </c>
      <c r="O68" s="512">
        <f t="shared" si="29"/>
        <v>2</v>
      </c>
      <c r="P68" s="512">
        <f t="shared" si="29"/>
        <v>1</v>
      </c>
      <c r="Q68" s="512">
        <f t="shared" si="29"/>
        <v>1</v>
      </c>
      <c r="R68" s="512">
        <f t="shared" si="29"/>
        <v>0</v>
      </c>
      <c r="S68" s="512">
        <f t="shared" si="29"/>
        <v>0</v>
      </c>
      <c r="T68" s="256">
        <f t="shared" si="14"/>
        <v>74</v>
      </c>
      <c r="U68" s="512">
        <f>AVERAGE(H68:S68)</f>
        <v>6.166666666666667</v>
      </c>
      <c r="V68" s="513">
        <f>X68/U68</f>
        <v>14.756756756756756</v>
      </c>
      <c r="W68" s="527">
        <v>0</v>
      </c>
      <c r="X68" s="461">
        <f t="shared" ref="X68:X69" si="30">F68+G68-T68</f>
        <v>91</v>
      </c>
      <c r="Y68" s="112">
        <v>2015</v>
      </c>
      <c r="Z68" s="252"/>
      <c r="AA68" s="105"/>
      <c r="AB68" s="105"/>
      <c r="AC68" s="105"/>
      <c r="AD68"/>
      <c r="AE68"/>
      <c r="AF68"/>
      <c r="AG68"/>
      <c r="AH68"/>
      <c r="AI68" s="104"/>
      <c r="AJ68" s="104"/>
      <c r="AK68" s="104"/>
      <c r="AL68" s="104"/>
      <c r="AM68" s="104"/>
      <c r="AN68" s="104"/>
      <c r="AO68" s="104"/>
      <c r="AP68" s="104"/>
      <c r="AQ68" s="104"/>
    </row>
    <row r="69" spans="1:43" ht="15.75" customHeight="1" x14ac:dyDescent="0.2">
      <c r="A69" s="252"/>
      <c r="B69" s="112">
        <v>2016</v>
      </c>
      <c r="C69" s="112"/>
      <c r="D69" s="252"/>
      <c r="E69" s="272"/>
      <c r="F69" s="512">
        <v>0</v>
      </c>
      <c r="G69" s="512">
        <v>0</v>
      </c>
      <c r="H69" s="512">
        <v>0</v>
      </c>
      <c r="I69" s="512">
        <v>0</v>
      </c>
      <c r="J69" s="512">
        <v>0</v>
      </c>
      <c r="K69" s="512">
        <v>0</v>
      </c>
      <c r="L69" s="512">
        <v>0</v>
      </c>
      <c r="M69" s="512">
        <v>0</v>
      </c>
      <c r="N69" s="512">
        <v>0</v>
      </c>
      <c r="O69" s="512">
        <v>0</v>
      </c>
      <c r="P69" s="512">
        <v>0</v>
      </c>
      <c r="Q69" s="512">
        <v>0</v>
      </c>
      <c r="R69" s="512">
        <v>0</v>
      </c>
      <c r="S69" s="512">
        <v>0</v>
      </c>
      <c r="T69" s="256">
        <f t="shared" si="14"/>
        <v>0</v>
      </c>
      <c r="U69" s="512">
        <f t="shared" ref="U69:U75" si="31">AVERAGE(H69:S69)</f>
        <v>0</v>
      </c>
      <c r="V69" s="513">
        <v>0</v>
      </c>
      <c r="W69" s="527">
        <v>0</v>
      </c>
      <c r="X69" s="461">
        <f t="shared" si="30"/>
        <v>0</v>
      </c>
      <c r="Y69" s="112">
        <v>2016</v>
      </c>
      <c r="Z69" s="252"/>
      <c r="AA69" s="105"/>
      <c r="AB69" s="105"/>
      <c r="AC69" s="105"/>
      <c r="AD69"/>
      <c r="AE69"/>
      <c r="AF69"/>
      <c r="AG69"/>
      <c r="AH69"/>
      <c r="AI69" s="104"/>
      <c r="AJ69" s="104"/>
      <c r="AK69" s="104"/>
      <c r="AL69" s="104"/>
      <c r="AM69" s="104"/>
      <c r="AN69" s="104"/>
      <c r="AO69" s="104"/>
      <c r="AP69" s="104"/>
      <c r="AQ69" s="104"/>
    </row>
    <row r="70" spans="1:43" ht="15.75" customHeight="1" x14ac:dyDescent="0.25">
      <c r="A70" s="278"/>
      <c r="B70" s="112">
        <v>2017</v>
      </c>
      <c r="C70" s="112"/>
      <c r="D70" s="252"/>
      <c r="E70" s="272"/>
      <c r="F70" s="512">
        <f>SUM(F11:F13)</f>
        <v>198</v>
      </c>
      <c r="G70" s="512">
        <f>SUM(G11:G13)</f>
        <v>0</v>
      </c>
      <c r="H70" s="512">
        <f t="shared" ref="H70:S70" si="32">SUM(H11:H13)</f>
        <v>23</v>
      </c>
      <c r="I70" s="512">
        <f t="shared" si="32"/>
        <v>39</v>
      </c>
      <c r="J70" s="512">
        <f t="shared" si="32"/>
        <v>33</v>
      </c>
      <c r="K70" s="512">
        <f t="shared" si="32"/>
        <v>36</v>
      </c>
      <c r="L70" s="512">
        <f t="shared" si="32"/>
        <v>20</v>
      </c>
      <c r="M70" s="512">
        <f t="shared" si="32"/>
        <v>10</v>
      </c>
      <c r="N70" s="512">
        <f t="shared" si="32"/>
        <v>7</v>
      </c>
      <c r="O70" s="512">
        <f t="shared" si="32"/>
        <v>7</v>
      </c>
      <c r="P70" s="512">
        <f t="shared" si="32"/>
        <v>8</v>
      </c>
      <c r="Q70" s="512">
        <f t="shared" si="32"/>
        <v>4</v>
      </c>
      <c r="R70" s="512">
        <f t="shared" si="32"/>
        <v>3</v>
      </c>
      <c r="S70" s="512">
        <f t="shared" si="32"/>
        <v>1</v>
      </c>
      <c r="T70" s="256">
        <f t="shared" si="14"/>
        <v>191</v>
      </c>
      <c r="U70" s="512">
        <f t="shared" si="31"/>
        <v>15.916666666666666</v>
      </c>
      <c r="V70" s="513">
        <f t="shared" ref="V70:V75" si="33">X70/U70</f>
        <v>0.56544502617801051</v>
      </c>
      <c r="W70" s="527">
        <f>SUM(W11:W13)</f>
        <v>2</v>
      </c>
      <c r="X70" s="461">
        <f>F70+G70+W70-T70</f>
        <v>9</v>
      </c>
      <c r="Y70" s="451">
        <v>2017</v>
      </c>
      <c r="Z70" s="252"/>
      <c r="AA70" s="105"/>
      <c r="AB70" s="105"/>
      <c r="AC70" s="105"/>
      <c r="AD70"/>
      <c r="AE70"/>
      <c r="AF70"/>
      <c r="AG70"/>
      <c r="AH70"/>
      <c r="AI70" s="104"/>
      <c r="AJ70" s="104"/>
      <c r="AK70" s="104"/>
      <c r="AL70" s="104"/>
      <c r="AM70" s="104"/>
      <c r="AN70" s="104"/>
      <c r="AO70" s="104"/>
      <c r="AP70" s="104"/>
      <c r="AQ70" s="104"/>
    </row>
    <row r="71" spans="1:43" ht="15.75" customHeight="1" x14ac:dyDescent="0.2">
      <c r="A71" s="104"/>
      <c r="B71" s="112">
        <v>2018</v>
      </c>
      <c r="C71" s="112"/>
      <c r="D71" s="252"/>
      <c r="E71" s="272"/>
      <c r="F71" s="512">
        <f>SUM(F15:F20)</f>
        <v>1996</v>
      </c>
      <c r="G71" s="512">
        <f>SUM(G15:G20)</f>
        <v>0</v>
      </c>
      <c r="H71" s="512">
        <f t="shared" ref="H71:S71" si="34">SUM(H15:H20)</f>
        <v>127</v>
      </c>
      <c r="I71" s="512">
        <f t="shared" si="34"/>
        <v>184</v>
      </c>
      <c r="J71" s="512">
        <f t="shared" si="34"/>
        <v>113</v>
      </c>
      <c r="K71" s="512">
        <f t="shared" si="34"/>
        <v>111</v>
      </c>
      <c r="L71" s="512">
        <f t="shared" si="34"/>
        <v>272</v>
      </c>
      <c r="M71" s="512">
        <f t="shared" si="34"/>
        <v>145</v>
      </c>
      <c r="N71" s="512">
        <f t="shared" si="34"/>
        <v>151</v>
      </c>
      <c r="O71" s="512">
        <f t="shared" si="34"/>
        <v>223</v>
      </c>
      <c r="P71" s="512">
        <f t="shared" si="34"/>
        <v>124</v>
      </c>
      <c r="Q71" s="512">
        <f t="shared" si="34"/>
        <v>124</v>
      </c>
      <c r="R71" s="512">
        <f t="shared" si="34"/>
        <v>134</v>
      </c>
      <c r="S71" s="512">
        <f t="shared" si="34"/>
        <v>83</v>
      </c>
      <c r="T71" s="256">
        <f t="shared" si="14"/>
        <v>1791</v>
      </c>
      <c r="U71" s="512">
        <f t="shared" si="31"/>
        <v>149.25</v>
      </c>
      <c r="V71" s="513">
        <f t="shared" si="33"/>
        <v>1.4539363484087102</v>
      </c>
      <c r="W71" s="527">
        <f>SUM(W15:W20)</f>
        <v>12</v>
      </c>
      <c r="X71" s="461">
        <f t="shared" ref="X71:X74" si="35">F71+G71+W71-T71</f>
        <v>217</v>
      </c>
      <c r="Y71" s="312">
        <v>2018</v>
      </c>
      <c r="Z71" s="252"/>
      <c r="AA71" s="105"/>
      <c r="AB71" s="105"/>
      <c r="AC71" s="105"/>
      <c r="AD71"/>
      <c r="AE71"/>
      <c r="AF71"/>
      <c r="AG71"/>
      <c r="AH71"/>
      <c r="AI71" s="104"/>
      <c r="AJ71" s="104"/>
      <c r="AK71" s="104"/>
      <c r="AL71" s="104"/>
      <c r="AM71" s="104"/>
      <c r="AN71" s="104"/>
      <c r="AO71" s="104"/>
      <c r="AP71" s="104"/>
      <c r="AQ71" s="104"/>
    </row>
    <row r="72" spans="1:43" ht="15.75" customHeight="1" x14ac:dyDescent="0.25">
      <c r="A72" s="104"/>
      <c r="B72" s="112">
        <v>2019</v>
      </c>
      <c r="C72" s="112"/>
      <c r="D72" s="252"/>
      <c r="E72" s="273"/>
      <c r="F72" s="512">
        <f>SUM(F22:F33)</f>
        <v>3904</v>
      </c>
      <c r="G72" s="512">
        <f>SUM(G22:G32)</f>
        <v>0</v>
      </c>
      <c r="H72" s="512">
        <f t="shared" ref="H72:S72" si="36">SUM(H22:H33)</f>
        <v>82</v>
      </c>
      <c r="I72" s="512">
        <f t="shared" si="36"/>
        <v>190</v>
      </c>
      <c r="J72" s="512">
        <f t="shared" si="36"/>
        <v>133</v>
      </c>
      <c r="K72" s="512">
        <f t="shared" si="36"/>
        <v>99</v>
      </c>
      <c r="L72" s="512">
        <f t="shared" si="36"/>
        <v>205</v>
      </c>
      <c r="M72" s="512">
        <f t="shared" si="36"/>
        <v>73</v>
      </c>
      <c r="N72" s="512">
        <f t="shared" si="36"/>
        <v>58</v>
      </c>
      <c r="O72" s="512">
        <f t="shared" si="36"/>
        <v>75</v>
      </c>
      <c r="P72" s="512">
        <f t="shared" si="36"/>
        <v>144</v>
      </c>
      <c r="Q72" s="512">
        <f t="shared" si="36"/>
        <v>170</v>
      </c>
      <c r="R72" s="512">
        <f t="shared" si="36"/>
        <v>280</v>
      </c>
      <c r="S72" s="512">
        <f t="shared" si="36"/>
        <v>152</v>
      </c>
      <c r="T72" s="256">
        <f t="shared" si="14"/>
        <v>1661</v>
      </c>
      <c r="U72" s="512">
        <f t="shared" si="31"/>
        <v>138.41666666666666</v>
      </c>
      <c r="V72" s="513">
        <f t="shared" si="33"/>
        <v>16.370860927152318</v>
      </c>
      <c r="W72" s="527">
        <f>SUM(W22:W32)</f>
        <v>23</v>
      </c>
      <c r="X72" s="461">
        <f t="shared" si="35"/>
        <v>2266</v>
      </c>
      <c r="Y72" s="112">
        <v>2019</v>
      </c>
      <c r="Z72" s="278"/>
      <c r="AA72" s="105"/>
      <c r="AB72" s="105"/>
      <c r="AC72" s="105"/>
      <c r="AD72" s="104"/>
      <c r="AE72" s="104"/>
      <c r="AF72" s="104"/>
      <c r="AG72" s="104"/>
      <c r="AH72" s="104"/>
      <c r="AI72" s="104"/>
      <c r="AJ72" s="104"/>
      <c r="AK72" s="104"/>
      <c r="AL72" s="104"/>
      <c r="AM72" s="104"/>
      <c r="AN72" s="104"/>
      <c r="AO72" s="104"/>
      <c r="AP72" s="104"/>
      <c r="AQ72" s="104"/>
    </row>
    <row r="73" spans="1:43" ht="15.75" customHeight="1" x14ac:dyDescent="0.2">
      <c r="A73" s="104"/>
      <c r="B73" s="112">
        <v>2020</v>
      </c>
      <c r="C73" s="112"/>
      <c r="D73" s="252"/>
      <c r="E73" s="204"/>
      <c r="F73" s="512">
        <f>SUM(F35:F46)</f>
        <v>3671</v>
      </c>
      <c r="G73" s="512">
        <f>SUM(G35:G46)</f>
        <v>0</v>
      </c>
      <c r="H73" s="512">
        <f t="shared" ref="H73:S73" si="37">SUM(H35:H46)</f>
        <v>62</v>
      </c>
      <c r="I73" s="512">
        <f t="shared" si="37"/>
        <v>27</v>
      </c>
      <c r="J73" s="512">
        <f t="shared" si="37"/>
        <v>70</v>
      </c>
      <c r="K73" s="512">
        <f t="shared" si="37"/>
        <v>43</v>
      </c>
      <c r="L73" s="512">
        <f t="shared" si="37"/>
        <v>40</v>
      </c>
      <c r="M73" s="512">
        <f t="shared" si="37"/>
        <v>35</v>
      </c>
      <c r="N73" s="512">
        <f t="shared" si="37"/>
        <v>23</v>
      </c>
      <c r="O73" s="512">
        <f t="shared" si="37"/>
        <v>8</v>
      </c>
      <c r="P73" s="512">
        <f t="shared" si="37"/>
        <v>0</v>
      </c>
      <c r="Q73" s="512">
        <f t="shared" si="37"/>
        <v>0</v>
      </c>
      <c r="R73" s="512">
        <f t="shared" si="37"/>
        <v>31</v>
      </c>
      <c r="S73" s="512">
        <f t="shared" si="37"/>
        <v>21</v>
      </c>
      <c r="T73" s="256">
        <f t="shared" si="14"/>
        <v>360</v>
      </c>
      <c r="U73" s="512">
        <f t="shared" si="31"/>
        <v>30</v>
      </c>
      <c r="V73" s="513">
        <f t="shared" si="33"/>
        <v>110.93333333333334</v>
      </c>
      <c r="W73" s="527">
        <f>SUM(W35:W66)</f>
        <v>17</v>
      </c>
      <c r="X73" s="461">
        <f t="shared" si="35"/>
        <v>3328</v>
      </c>
      <c r="Y73" s="112">
        <v>2020</v>
      </c>
      <c r="Z73" s="117"/>
      <c r="AA73" s="105"/>
      <c r="AB73" s="105"/>
      <c r="AC73" s="105"/>
      <c r="AD73" s="104"/>
      <c r="AE73" s="104"/>
      <c r="AF73" s="104"/>
      <c r="AG73" s="104"/>
      <c r="AH73" s="104"/>
      <c r="AI73" s="104"/>
      <c r="AJ73" s="104"/>
      <c r="AK73" s="104"/>
      <c r="AL73" s="104"/>
      <c r="AM73" s="104"/>
      <c r="AN73" s="104"/>
      <c r="AO73" s="104"/>
      <c r="AP73" s="104"/>
      <c r="AQ73" s="104"/>
    </row>
    <row r="74" spans="1:43" x14ac:dyDescent="0.2">
      <c r="A74" s="104"/>
      <c r="B74" s="112">
        <v>2021</v>
      </c>
      <c r="C74" s="112"/>
      <c r="D74" s="252"/>
      <c r="E74" s="204"/>
      <c r="F74" s="512">
        <f t="shared" ref="F74:S74" si="38">SUM(F48:F66)</f>
        <v>5167</v>
      </c>
      <c r="G74" s="512">
        <f>SUM(G48:G66)</f>
        <v>0</v>
      </c>
      <c r="H74" s="512">
        <f t="shared" si="38"/>
        <v>0</v>
      </c>
      <c r="I74" s="512">
        <f t="shared" si="38"/>
        <v>0</v>
      </c>
      <c r="J74" s="512">
        <f t="shared" si="38"/>
        <v>44</v>
      </c>
      <c r="K74" s="512">
        <f t="shared" si="38"/>
        <v>37</v>
      </c>
      <c r="L74" s="512">
        <f t="shared" si="38"/>
        <v>110</v>
      </c>
      <c r="M74" s="512">
        <f t="shared" si="38"/>
        <v>48</v>
      </c>
      <c r="N74" s="512">
        <f t="shared" si="38"/>
        <v>170</v>
      </c>
      <c r="O74" s="512">
        <f t="shared" si="38"/>
        <v>154</v>
      </c>
      <c r="P74" s="512">
        <f t="shared" si="38"/>
        <v>101</v>
      </c>
      <c r="Q74" s="512">
        <f t="shared" si="38"/>
        <v>84</v>
      </c>
      <c r="R74" s="512">
        <f t="shared" si="38"/>
        <v>86</v>
      </c>
      <c r="S74" s="512">
        <f t="shared" si="38"/>
        <v>83</v>
      </c>
      <c r="T74" s="285">
        <f>SUM(H74:S74)</f>
        <v>917</v>
      </c>
      <c r="U74" s="512">
        <f t="shared" si="31"/>
        <v>76.416666666666671</v>
      </c>
      <c r="V74" s="513">
        <f t="shared" si="33"/>
        <v>55.812431842966191</v>
      </c>
      <c r="W74" s="527">
        <f>SUM(W48:W66)</f>
        <v>15</v>
      </c>
      <c r="X74" s="461">
        <f t="shared" si="35"/>
        <v>4265</v>
      </c>
      <c r="Y74" s="112">
        <v>2021</v>
      </c>
      <c r="Z74" s="104"/>
      <c r="AA74" s="105"/>
      <c r="AB74" s="105"/>
      <c r="AC74" s="105"/>
      <c r="AD74" s="104"/>
      <c r="AE74" s="104"/>
      <c r="AF74" s="104"/>
      <c r="AG74" s="104"/>
      <c r="AH74" s="104"/>
      <c r="AI74" s="104"/>
      <c r="AJ74" s="104"/>
      <c r="AK74" s="104"/>
      <c r="AL74" s="104"/>
      <c r="AM74" s="104"/>
      <c r="AN74" s="104"/>
      <c r="AO74" s="104"/>
      <c r="AP74" s="104"/>
      <c r="AQ74" s="104"/>
    </row>
    <row r="75" spans="1:43" ht="18" x14ac:dyDescent="0.25">
      <c r="A75" s="104"/>
      <c r="B75" s="202" t="s">
        <v>78</v>
      </c>
      <c r="C75" s="202"/>
      <c r="D75" s="278"/>
      <c r="E75" s="203"/>
      <c r="F75" s="524">
        <f>SUM(F68:F74)</f>
        <v>15101</v>
      </c>
      <c r="G75" s="524">
        <f>SUM(G68:G74)</f>
        <v>0</v>
      </c>
      <c r="H75" s="524">
        <f>SUM(H68:H74)</f>
        <v>301</v>
      </c>
      <c r="I75" s="524">
        <f t="shared" ref="I75:S75" si="39">SUM(I68:I74)</f>
        <v>503</v>
      </c>
      <c r="J75" s="524">
        <f t="shared" si="39"/>
        <v>393</v>
      </c>
      <c r="K75" s="524">
        <f t="shared" si="39"/>
        <v>326</v>
      </c>
      <c r="L75" s="524">
        <f t="shared" si="39"/>
        <v>647</v>
      </c>
      <c r="M75" s="524">
        <f t="shared" si="39"/>
        <v>311</v>
      </c>
      <c r="N75" s="524">
        <f t="shared" si="39"/>
        <v>409</v>
      </c>
      <c r="O75" s="524">
        <f t="shared" si="39"/>
        <v>469</v>
      </c>
      <c r="P75" s="524">
        <f t="shared" si="39"/>
        <v>378</v>
      </c>
      <c r="Q75" s="524">
        <f t="shared" si="39"/>
        <v>383</v>
      </c>
      <c r="R75" s="524">
        <f t="shared" si="39"/>
        <v>534</v>
      </c>
      <c r="S75" s="524">
        <f t="shared" si="39"/>
        <v>340</v>
      </c>
      <c r="T75" s="286">
        <f t="shared" si="14"/>
        <v>4994</v>
      </c>
      <c r="U75" s="524">
        <f t="shared" si="31"/>
        <v>416.16666666666669</v>
      </c>
      <c r="V75" s="525">
        <f t="shared" si="33"/>
        <v>24.45174209050861</v>
      </c>
      <c r="W75" s="527">
        <f>SUM(W68:W74)</f>
        <v>69</v>
      </c>
      <c r="X75" s="483">
        <f>F75+G75+W75-T75</f>
        <v>10176</v>
      </c>
      <c r="Y75" s="313" t="s">
        <v>78</v>
      </c>
      <c r="Z75" s="117"/>
      <c r="AA75" s="105"/>
      <c r="AB75" s="105"/>
      <c r="AC75" s="105"/>
      <c r="AD75" s="195"/>
      <c r="AE75" s="124"/>
      <c r="AF75" s="196"/>
      <c r="AG75" s="197"/>
      <c r="AH75" s="198"/>
      <c r="AI75" s="104"/>
      <c r="AJ75" s="104"/>
      <c r="AK75" s="104"/>
      <c r="AL75" s="104"/>
      <c r="AM75" s="104"/>
      <c r="AN75" s="104"/>
      <c r="AO75" s="104"/>
      <c r="AP75" s="104"/>
      <c r="AQ75" s="104"/>
    </row>
    <row r="76" spans="1:43" x14ac:dyDescent="0.2">
      <c r="A76" s="249"/>
      <c r="B76" s="117"/>
      <c r="C76" s="117"/>
      <c r="D76" s="117"/>
      <c r="E76" s="249"/>
      <c r="F76" s="119"/>
      <c r="G76" s="119"/>
      <c r="H76" s="119"/>
      <c r="I76" s="119"/>
      <c r="J76" s="119"/>
      <c r="K76" s="119"/>
      <c r="L76" s="119"/>
      <c r="M76" s="120"/>
      <c r="N76" s="120"/>
      <c r="O76" s="120"/>
      <c r="P76" s="120"/>
      <c r="Q76" s="120"/>
      <c r="R76" s="120"/>
      <c r="S76" s="120"/>
      <c r="T76" s="120"/>
      <c r="U76" s="166"/>
      <c r="V76" s="167"/>
      <c r="W76" s="167"/>
      <c r="X76" s="160"/>
      <c r="Y76" s="117"/>
      <c r="Z76" s="104"/>
      <c r="AA76" s="105"/>
      <c r="AB76" s="105"/>
      <c r="AC76" s="105"/>
      <c r="AD76" s="105"/>
      <c r="AE76" s="104"/>
      <c r="AF76" s="104"/>
      <c r="AG76" s="104"/>
      <c r="AH76" s="104"/>
      <c r="AI76" s="104"/>
      <c r="AJ76" s="104"/>
      <c r="AK76" s="104"/>
      <c r="AL76" s="104"/>
      <c r="AM76" s="104"/>
      <c r="AN76" s="104"/>
      <c r="AO76" s="104"/>
      <c r="AP76" s="104"/>
      <c r="AQ76" s="104"/>
    </row>
    <row r="77" spans="1:43" ht="18" x14ac:dyDescent="0.25">
      <c r="A77" s="104" t="s">
        <v>551</v>
      </c>
      <c r="B77" s="112">
        <v>2021</v>
      </c>
      <c r="C77" s="112"/>
      <c r="D77" s="252" t="s">
        <v>544</v>
      </c>
      <c r="E77" s="477"/>
      <c r="F77" s="241">
        <v>0</v>
      </c>
      <c r="G77" s="241">
        <v>144</v>
      </c>
      <c r="H77" s="282" t="s">
        <v>35</v>
      </c>
      <c r="I77" s="282" t="s">
        <v>35</v>
      </c>
      <c r="J77" s="282" t="s">
        <v>35</v>
      </c>
      <c r="K77" s="282" t="s">
        <v>35</v>
      </c>
      <c r="L77" s="283"/>
      <c r="M77" s="283"/>
      <c r="N77" s="283">
        <v>57</v>
      </c>
      <c r="O77" s="283">
        <v>23</v>
      </c>
      <c r="P77" s="283">
        <v>19</v>
      </c>
      <c r="Q77" s="283">
        <v>17</v>
      </c>
      <c r="R77" s="283">
        <v>8</v>
      </c>
      <c r="S77" s="283">
        <v>5</v>
      </c>
      <c r="T77" s="256">
        <f t="shared" ref="T77:T79" si="40">SUM(H77:S77)</f>
        <v>129</v>
      </c>
      <c r="U77" s="512">
        <f t="shared" ref="U77:U79" si="41">IFERROR((AVERAGE(H77:S77)),0)</f>
        <v>21.5</v>
      </c>
      <c r="V77" s="513">
        <f>IFERROR((X77/U77),0)</f>
        <v>0.69767441860465118</v>
      </c>
      <c r="W77" s="527"/>
      <c r="X77" s="461">
        <f t="shared" ref="X77:X79" si="42">F77+G77-T77</f>
        <v>15</v>
      </c>
      <c r="Y77" s="104"/>
      <c r="Z77" s="104"/>
      <c r="AA77" s="105"/>
      <c r="AB77" s="105"/>
      <c r="AC77" s="105"/>
      <c r="AD77" s="199"/>
      <c r="AE77" s="199"/>
      <c r="AF77" s="199"/>
      <c r="AG77" s="199"/>
      <c r="AH77" s="199"/>
      <c r="AI77" s="104"/>
      <c r="AJ77" s="104"/>
      <c r="AK77" s="104"/>
      <c r="AL77" s="104"/>
      <c r="AM77" s="104"/>
      <c r="AN77" s="104"/>
      <c r="AO77" s="104"/>
      <c r="AP77" s="104"/>
      <c r="AQ77" s="104"/>
    </row>
    <row r="78" spans="1:43" x14ac:dyDescent="0.2">
      <c r="A78" s="104" t="s">
        <v>551</v>
      </c>
      <c r="B78" s="112">
        <v>2021</v>
      </c>
      <c r="C78" s="112"/>
      <c r="D78" s="252" t="s">
        <v>545</v>
      </c>
      <c r="E78" s="477"/>
      <c r="F78" s="241"/>
      <c r="G78" s="241">
        <v>159</v>
      </c>
      <c r="H78" s="282" t="s">
        <v>35</v>
      </c>
      <c r="I78" s="282" t="s">
        <v>35</v>
      </c>
      <c r="J78" s="282" t="s">
        <v>35</v>
      </c>
      <c r="K78" s="282" t="s">
        <v>35</v>
      </c>
      <c r="L78" s="283"/>
      <c r="M78" s="283"/>
      <c r="N78" s="283">
        <v>59</v>
      </c>
      <c r="O78" s="283">
        <v>30</v>
      </c>
      <c r="P78" s="283">
        <v>19</v>
      </c>
      <c r="Q78" s="283">
        <v>17</v>
      </c>
      <c r="R78" s="283">
        <v>12</v>
      </c>
      <c r="S78" s="283">
        <v>6</v>
      </c>
      <c r="T78" s="256">
        <f t="shared" si="40"/>
        <v>143</v>
      </c>
      <c r="U78" s="512">
        <f t="shared" si="41"/>
        <v>23.833333333333332</v>
      </c>
      <c r="V78" s="513">
        <f>IFERROR((X78/U78),0)</f>
        <v>0.67132867132867136</v>
      </c>
      <c r="W78" s="527"/>
      <c r="X78" s="461">
        <f t="shared" si="42"/>
        <v>16</v>
      </c>
      <c r="Y78" s="123" t="s">
        <v>35</v>
      </c>
      <c r="Z78" s="104"/>
      <c r="AA78" s="105"/>
      <c r="AB78" s="105"/>
      <c r="AC78" s="105"/>
      <c r="AD78" s="105"/>
      <c r="AE78" s="104"/>
      <c r="AF78" s="104"/>
      <c r="AG78" s="104"/>
      <c r="AH78" s="104"/>
      <c r="AI78" s="104"/>
      <c r="AJ78" s="104"/>
      <c r="AK78" s="104"/>
      <c r="AL78" s="104"/>
      <c r="AM78" s="104"/>
      <c r="AN78" s="104"/>
      <c r="AO78" s="104"/>
      <c r="AP78" s="104"/>
      <c r="AQ78" s="104"/>
    </row>
    <row r="79" spans="1:43" x14ac:dyDescent="0.2">
      <c r="A79" s="104" t="s">
        <v>551</v>
      </c>
      <c r="B79" s="112">
        <v>2021</v>
      </c>
      <c r="C79" s="112"/>
      <c r="D79" s="252" t="s">
        <v>546</v>
      </c>
      <c r="E79" s="477"/>
      <c r="F79" s="241">
        <v>0</v>
      </c>
      <c r="G79" s="241">
        <v>187</v>
      </c>
      <c r="H79" s="282" t="s">
        <v>35</v>
      </c>
      <c r="I79" s="282" t="s">
        <v>35</v>
      </c>
      <c r="J79" s="282" t="s">
        <v>35</v>
      </c>
      <c r="K79" s="282" t="s">
        <v>35</v>
      </c>
      <c r="L79" s="283"/>
      <c r="M79" s="283"/>
      <c r="N79" s="283">
        <v>62</v>
      </c>
      <c r="O79" s="283">
        <v>31</v>
      </c>
      <c r="P79" s="283">
        <v>22</v>
      </c>
      <c r="Q79" s="283">
        <v>26</v>
      </c>
      <c r="R79" s="283">
        <v>8</v>
      </c>
      <c r="S79" s="283">
        <v>3</v>
      </c>
      <c r="T79" s="256">
        <f t="shared" si="40"/>
        <v>152</v>
      </c>
      <c r="U79" s="512">
        <f t="shared" si="41"/>
        <v>25.333333333333332</v>
      </c>
      <c r="V79" s="513">
        <f>IFERROR((X79/U79),0)</f>
        <v>1.381578947368421</v>
      </c>
      <c r="W79" s="527"/>
      <c r="X79" s="461">
        <f t="shared" si="42"/>
        <v>35</v>
      </c>
      <c r="Y79" s="104"/>
      <c r="Z79" s="104"/>
      <c r="AA79" s="105"/>
      <c r="AB79" s="105"/>
      <c r="AC79" s="105"/>
      <c r="AD79" s="105"/>
      <c r="AE79" s="104"/>
      <c r="AF79" s="104"/>
      <c r="AG79" s="104"/>
      <c r="AH79" s="104"/>
      <c r="AI79" s="104"/>
      <c r="AJ79" s="104"/>
      <c r="AK79" s="104"/>
      <c r="AL79" s="104"/>
      <c r="AM79" s="104"/>
      <c r="AN79" s="104"/>
      <c r="AO79" s="104"/>
      <c r="AP79" s="104"/>
      <c r="AQ79" s="104"/>
    </row>
    <row r="80" spans="1:43" x14ac:dyDescent="0.2">
      <c r="A80" s="104"/>
      <c r="B80" s="104"/>
      <c r="C80" s="104"/>
      <c r="D80" s="104"/>
      <c r="E80" s="105"/>
      <c r="F80" s="105"/>
      <c r="G80" s="105"/>
      <c r="H80" s="105"/>
      <c r="I80" s="105"/>
      <c r="J80" s="105"/>
      <c r="K80" s="105"/>
      <c r="L80" s="105"/>
      <c r="M80" s="105"/>
      <c r="N80" s="105"/>
      <c r="O80" s="105"/>
      <c r="P80" s="105"/>
      <c r="Q80" s="105"/>
      <c r="R80" s="105"/>
      <c r="S80" s="105"/>
      <c r="T80" s="105"/>
      <c r="U80" s="105"/>
      <c r="V80" s="105"/>
      <c r="W80" s="105"/>
      <c r="X80" s="104"/>
      <c r="Y80" s="104"/>
      <c r="Z80" s="104"/>
      <c r="AA80" s="105"/>
      <c r="AB80" s="105"/>
      <c r="AC80" s="105"/>
      <c r="AD80" s="105"/>
      <c r="AE80" s="104"/>
      <c r="AF80" s="104"/>
      <c r="AG80" s="104"/>
      <c r="AH80" s="104"/>
      <c r="AI80" s="104"/>
      <c r="AJ80" s="104"/>
      <c r="AK80" s="104"/>
      <c r="AL80" s="104"/>
      <c r="AM80" s="104"/>
      <c r="AN80" s="104"/>
      <c r="AO80" s="104"/>
      <c r="AP80" s="104"/>
      <c r="AQ80" s="104"/>
    </row>
    <row r="81" spans="1:42" ht="15.75" x14ac:dyDescent="0.25">
      <c r="A81" s="104"/>
      <c r="B81" s="104">
        <v>2022</v>
      </c>
      <c r="C81" s="104"/>
      <c r="D81" s="104" t="s">
        <v>552</v>
      </c>
      <c r="E81" s="105"/>
      <c r="F81" s="105" t="s">
        <v>104</v>
      </c>
      <c r="G81" s="105"/>
      <c r="H81" s="105"/>
      <c r="I81" s="105"/>
      <c r="J81" s="105"/>
      <c r="K81" s="105"/>
      <c r="L81" s="105"/>
      <c r="M81" s="105"/>
      <c r="N81" s="105"/>
      <c r="O81" s="105"/>
      <c r="P81" s="105"/>
      <c r="Q81" s="105"/>
      <c r="R81" s="105"/>
      <c r="S81" s="105"/>
      <c r="T81" s="105"/>
      <c r="U81" s="105"/>
      <c r="V81" s="105"/>
      <c r="W81" s="105"/>
      <c r="X81" s="218">
        <v>58</v>
      </c>
      <c r="Y81" s="218" t="s">
        <v>553</v>
      </c>
      <c r="Z81" s="218" t="s">
        <v>554</v>
      </c>
      <c r="AA81" s="105"/>
      <c r="AB81" s="105"/>
      <c r="AC81" s="105"/>
      <c r="AD81" s="105"/>
      <c r="AE81" s="104"/>
      <c r="AF81" s="104"/>
      <c r="AG81" s="104"/>
      <c r="AH81" s="104"/>
      <c r="AI81" s="104"/>
      <c r="AJ81" s="104"/>
      <c r="AK81" s="104"/>
      <c r="AL81" s="104"/>
      <c r="AM81" s="104"/>
      <c r="AN81" s="104"/>
      <c r="AO81" s="104"/>
      <c r="AP81" s="104"/>
    </row>
    <row r="82" spans="1:42" ht="18" x14ac:dyDescent="0.25">
      <c r="A82" s="104"/>
      <c r="B82" s="104"/>
      <c r="C82" s="104"/>
      <c r="D82" s="209" t="s">
        <v>555</v>
      </c>
      <c r="E82"/>
      <c r="F82">
        <v>4085</v>
      </c>
      <c r="G82"/>
      <c r="H82"/>
      <c r="I82"/>
      <c r="J82"/>
      <c r="K82" s="105"/>
      <c r="L82" s="105"/>
      <c r="M82" s="105"/>
      <c r="N82" s="105"/>
      <c r="O82" s="105"/>
      <c r="P82" s="105"/>
      <c r="Q82" s="105"/>
      <c r="R82" s="105"/>
      <c r="S82" s="105"/>
      <c r="T82" s="105"/>
      <c r="U82" s="105"/>
      <c r="V82" s="105"/>
      <c r="W82" s="105"/>
      <c r="X82" s="218">
        <v>100</v>
      </c>
      <c r="Y82" s="218" t="s">
        <v>553</v>
      </c>
      <c r="Z82" s="218" t="s">
        <v>556</v>
      </c>
      <c r="AA82" s="105"/>
      <c r="AB82" s="105"/>
      <c r="AC82" s="105"/>
      <c r="AD82" s="200"/>
      <c r="AE82" s="199"/>
      <c r="AF82" s="199"/>
      <c r="AG82" s="199"/>
      <c r="AH82" s="199"/>
      <c r="AI82" s="104"/>
      <c r="AJ82" s="104"/>
      <c r="AK82" s="104"/>
      <c r="AL82" s="104"/>
      <c r="AM82" s="104"/>
      <c r="AN82" s="104"/>
      <c r="AO82" s="104"/>
      <c r="AP82" s="104"/>
    </row>
    <row r="83" spans="1:42" s="199" customFormat="1" ht="18.75" thickBot="1" x14ac:dyDescent="0.3">
      <c r="A83" s="104"/>
      <c r="B83" s="104"/>
      <c r="C83" s="104"/>
      <c r="D83" s="209" t="s">
        <v>29</v>
      </c>
      <c r="E83"/>
      <c r="F83">
        <v>420</v>
      </c>
      <c r="G83"/>
      <c r="H83"/>
      <c r="I83"/>
      <c r="J83"/>
      <c r="K83" s="105"/>
      <c r="L83" s="105"/>
      <c r="M83" s="105"/>
      <c r="N83" s="105"/>
      <c r="O83" s="105"/>
      <c r="P83" s="105"/>
      <c r="Q83" s="105"/>
      <c r="R83" s="105"/>
      <c r="S83" s="105"/>
      <c r="T83" s="105"/>
      <c r="U83" s="105"/>
      <c r="V83" s="105"/>
      <c r="W83" s="105"/>
      <c r="X83" s="218"/>
      <c r="Y83" s="218"/>
      <c r="Z83" s="218"/>
      <c r="AA83" s="200"/>
      <c r="AB83" s="200"/>
      <c r="AC83" s="200"/>
      <c r="AD83" s="105"/>
      <c r="AE83" s="104"/>
      <c r="AF83" s="104"/>
      <c r="AG83" s="104"/>
      <c r="AH83" s="104"/>
    </row>
    <row r="84" spans="1:42" ht="16.5" thickBot="1" x14ac:dyDescent="0.3">
      <c r="A84" s="104"/>
      <c r="B84" s="104"/>
      <c r="C84" s="104"/>
      <c r="D84" s="209" t="s">
        <v>26</v>
      </c>
      <c r="E84"/>
      <c r="F84">
        <v>3120</v>
      </c>
      <c r="G84"/>
      <c r="H84"/>
      <c r="I84"/>
      <c r="J84"/>
      <c r="K84" s="105"/>
      <c r="L84" s="105"/>
      <c r="M84" s="105"/>
      <c r="N84" s="105"/>
      <c r="O84" s="105"/>
      <c r="P84" s="105"/>
      <c r="Q84" s="105"/>
      <c r="R84" s="105"/>
      <c r="S84" s="105"/>
      <c r="T84" s="105"/>
      <c r="U84" s="105"/>
      <c r="V84" s="105"/>
      <c r="W84" s="105"/>
      <c r="X84" s="219">
        <v>10334</v>
      </c>
      <c r="Y84" s="218" t="s">
        <v>557</v>
      </c>
      <c r="Z84" s="218" t="s">
        <v>558</v>
      </c>
      <c r="AA84" s="105"/>
      <c r="AB84" s="105"/>
      <c r="AC84" s="105"/>
      <c r="AD84" s="105"/>
      <c r="AE84" s="104"/>
      <c r="AF84" s="104"/>
      <c r="AG84" s="104"/>
      <c r="AH84" s="104"/>
      <c r="AI84" s="104"/>
      <c r="AJ84" s="104"/>
      <c r="AK84" s="104"/>
      <c r="AL84" s="104"/>
      <c r="AM84" s="104"/>
      <c r="AN84" s="104"/>
      <c r="AO84" s="104"/>
      <c r="AP84" s="104"/>
    </row>
    <row r="85" spans="1:42" x14ac:dyDescent="0.2">
      <c r="A85" s="104"/>
      <c r="B85" s="104"/>
      <c r="C85" s="104"/>
      <c r="D85" s="209" t="s">
        <v>70</v>
      </c>
      <c r="E85"/>
      <c r="F85">
        <v>1810</v>
      </c>
      <c r="G85"/>
      <c r="H85"/>
      <c r="I85"/>
      <c r="J85"/>
      <c r="K85" s="105"/>
      <c r="L85" s="105"/>
      <c r="M85" s="105"/>
      <c r="N85" s="105"/>
      <c r="O85" s="105"/>
      <c r="P85" s="105"/>
      <c r="Q85" s="105"/>
      <c r="R85" s="105"/>
      <c r="S85" s="105"/>
      <c r="T85" s="105"/>
      <c r="U85" s="105"/>
      <c r="V85" s="105"/>
      <c r="W85" s="105"/>
      <c r="X85" s="104"/>
      <c r="Y85" s="104"/>
      <c r="Z85" s="104"/>
      <c r="AA85" s="105"/>
      <c r="AB85" s="105"/>
      <c r="AC85" s="105"/>
      <c r="AD85" s="105"/>
      <c r="AE85" s="104"/>
      <c r="AF85" s="104"/>
      <c r="AG85" s="104"/>
      <c r="AH85" s="104"/>
      <c r="AI85" s="104"/>
      <c r="AJ85" s="104"/>
      <c r="AK85" s="104"/>
      <c r="AL85" s="104"/>
      <c r="AM85" s="104"/>
      <c r="AN85" s="104"/>
      <c r="AO85" s="104"/>
      <c r="AP85" s="104"/>
    </row>
    <row r="86" spans="1:42" x14ac:dyDescent="0.2">
      <c r="A86" s="104"/>
      <c r="B86" s="104"/>
      <c r="C86" s="104"/>
      <c r="D86" s="209" t="s">
        <v>559</v>
      </c>
      <c r="E86"/>
      <c r="F86">
        <v>275</v>
      </c>
      <c r="G86"/>
      <c r="H86"/>
      <c r="I86"/>
      <c r="J86"/>
      <c r="K86" s="105"/>
      <c r="L86" s="105"/>
      <c r="M86" s="105"/>
      <c r="N86" s="105"/>
      <c r="O86" s="105"/>
      <c r="P86" s="105"/>
      <c r="Q86" s="105"/>
      <c r="R86" s="105"/>
      <c r="S86" s="105"/>
      <c r="T86" s="105"/>
      <c r="U86" s="105"/>
      <c r="V86" s="105"/>
      <c r="W86" s="105"/>
      <c r="X86" s="104">
        <v>116.84</v>
      </c>
      <c r="Y86" s="104"/>
      <c r="Z86" s="104"/>
      <c r="AA86" s="105"/>
      <c r="AB86" s="105"/>
      <c r="AC86" s="105"/>
      <c r="AD86" s="105"/>
      <c r="AE86" s="104"/>
      <c r="AF86" s="104"/>
      <c r="AG86" s="104"/>
      <c r="AH86" s="104"/>
      <c r="AI86" s="104"/>
      <c r="AJ86" s="104"/>
      <c r="AK86" s="104"/>
      <c r="AL86" s="104"/>
      <c r="AM86" s="104"/>
      <c r="AN86" s="104"/>
      <c r="AO86" s="104"/>
      <c r="AP86" s="104"/>
    </row>
    <row r="87" spans="1:42" x14ac:dyDescent="0.2">
      <c r="A87" s="104"/>
      <c r="B87" s="104"/>
      <c r="C87" s="104"/>
      <c r="D87" s="209" t="s">
        <v>473</v>
      </c>
      <c r="E87"/>
      <c r="F87">
        <v>1540</v>
      </c>
      <c r="G87"/>
      <c r="H87"/>
      <c r="I87"/>
      <c r="J87"/>
      <c r="K87" s="105"/>
      <c r="L87" s="105"/>
      <c r="M87" s="105"/>
      <c r="N87" s="105"/>
      <c r="O87" s="105"/>
      <c r="P87" s="105"/>
      <c r="Q87" s="105"/>
      <c r="R87" s="105"/>
      <c r="S87" s="105"/>
      <c r="T87" s="105"/>
      <c r="U87" s="105"/>
      <c r="V87" s="105"/>
      <c r="W87" s="105"/>
      <c r="X87" s="224">
        <f>X86/12</f>
        <v>9.7366666666666664</v>
      </c>
      <c r="Y87" s="104"/>
      <c r="Z87" s="104"/>
      <c r="AA87" s="105"/>
      <c r="AB87" s="105"/>
      <c r="AC87" s="105"/>
      <c r="AD87" s="105"/>
      <c r="AE87" s="104"/>
      <c r="AF87" s="104"/>
      <c r="AG87" s="104"/>
      <c r="AH87" s="104"/>
      <c r="AI87" s="104"/>
      <c r="AJ87" s="104"/>
      <c r="AK87" s="104"/>
      <c r="AL87" s="104"/>
      <c r="AM87" s="104"/>
      <c r="AN87" s="104"/>
      <c r="AO87" s="104"/>
      <c r="AP87" s="104"/>
    </row>
    <row r="88" spans="1:42" x14ac:dyDescent="0.2">
      <c r="A88" s="104"/>
      <c r="B88" s="104"/>
      <c r="C88" s="104"/>
      <c r="D88" s="209" t="s">
        <v>560</v>
      </c>
      <c r="E88"/>
      <c r="F88">
        <v>490</v>
      </c>
      <c r="G88"/>
      <c r="H88"/>
      <c r="I88"/>
      <c r="J88"/>
      <c r="K88" s="105"/>
      <c r="L88" s="105"/>
      <c r="M88" s="105"/>
      <c r="N88" s="105"/>
      <c r="O88" s="105"/>
      <c r="P88" s="105"/>
      <c r="Q88" s="105"/>
      <c r="R88" s="105"/>
      <c r="S88" s="105"/>
      <c r="T88" s="105"/>
      <c r="U88" s="105"/>
      <c r="V88" s="105"/>
      <c r="W88" s="105"/>
      <c r="X88" s="104"/>
      <c r="Y88" s="104"/>
      <c r="Z88" s="104"/>
      <c r="AA88" s="105"/>
      <c r="AB88" s="105"/>
      <c r="AC88" s="105"/>
      <c r="AD88" s="105"/>
      <c r="AE88" s="104"/>
      <c r="AF88" s="104"/>
      <c r="AG88" s="104"/>
      <c r="AH88" s="104"/>
      <c r="AI88" s="104"/>
      <c r="AJ88" s="104"/>
      <c r="AK88" s="104"/>
      <c r="AL88" s="104"/>
      <c r="AM88" s="104"/>
      <c r="AN88" s="104"/>
      <c r="AO88" s="104"/>
      <c r="AP88" s="104"/>
    </row>
    <row r="89" spans="1:42" x14ac:dyDescent="0.2">
      <c r="A89" s="104"/>
      <c r="B89" s="104"/>
      <c r="C89" s="104"/>
      <c r="D89" s="209" t="s">
        <v>561</v>
      </c>
      <c r="E89"/>
      <c r="F89">
        <v>280</v>
      </c>
      <c r="G89"/>
      <c r="H89"/>
      <c r="I89"/>
      <c r="J89"/>
      <c r="K89" s="105"/>
      <c r="L89" s="105"/>
      <c r="M89" s="105"/>
      <c r="N89" s="105"/>
      <c r="O89" s="105"/>
      <c r="P89" s="105"/>
      <c r="Q89" s="105"/>
      <c r="R89" s="105"/>
      <c r="S89" s="105"/>
      <c r="T89" s="105"/>
      <c r="U89" s="105"/>
      <c r="V89" s="105"/>
      <c r="W89" s="105"/>
      <c r="X89" s="104"/>
      <c r="Y89" s="104"/>
      <c r="Z89" s="104"/>
      <c r="AA89" s="105"/>
      <c r="AB89" s="105"/>
      <c r="AC89" s="105"/>
      <c r="AD89" s="105"/>
      <c r="AE89" s="104"/>
      <c r="AF89" s="104"/>
      <c r="AG89" s="104"/>
      <c r="AH89" s="104"/>
      <c r="AI89" s="104"/>
      <c r="AJ89" s="104"/>
      <c r="AK89" s="104"/>
      <c r="AL89" s="104"/>
      <c r="AM89" s="104"/>
      <c r="AN89" s="104"/>
      <c r="AO89" s="104"/>
      <c r="AP89" s="104"/>
    </row>
    <row r="90" spans="1:42" x14ac:dyDescent="0.2">
      <c r="A90" s="104"/>
      <c r="B90" s="104"/>
      <c r="C90" s="104"/>
      <c r="D90" s="209" t="s">
        <v>562</v>
      </c>
      <c r="E90"/>
      <c r="F90">
        <v>70</v>
      </c>
      <c r="G90"/>
      <c r="H90"/>
      <c r="I90"/>
      <c r="J90"/>
      <c r="K90" s="105"/>
      <c r="L90" s="105"/>
      <c r="M90" s="105"/>
      <c r="N90" s="105"/>
      <c r="O90" s="105"/>
      <c r="P90" s="105"/>
      <c r="Q90" s="105"/>
      <c r="R90" s="105"/>
      <c r="S90" s="105"/>
      <c r="T90" s="105"/>
      <c r="U90" s="105"/>
      <c r="V90" s="105"/>
      <c r="W90" s="105"/>
      <c r="X90" s="104"/>
      <c r="Y90" s="104"/>
      <c r="Z90" s="104"/>
      <c r="AA90" s="105"/>
      <c r="AB90" s="105"/>
      <c r="AC90" s="105"/>
      <c r="AD90" s="105"/>
      <c r="AE90" s="104"/>
      <c r="AF90" s="104"/>
      <c r="AG90" s="104"/>
      <c r="AH90" s="104"/>
      <c r="AI90" s="104"/>
      <c r="AJ90" s="104"/>
      <c r="AK90" s="104"/>
      <c r="AL90" s="104"/>
      <c r="AM90" s="104"/>
      <c r="AN90" s="104"/>
      <c r="AO90" s="104"/>
      <c r="AP90" s="104"/>
    </row>
    <row r="91" spans="1:42" x14ac:dyDescent="0.2">
      <c r="A91" s="104"/>
      <c r="B91" s="104"/>
      <c r="C91" s="104"/>
      <c r="D91" s="209" t="s">
        <v>25</v>
      </c>
      <c r="E91"/>
      <c r="F91">
        <v>3165</v>
      </c>
      <c r="G91"/>
      <c r="H91"/>
      <c r="I91"/>
      <c r="J91"/>
      <c r="K91" s="105"/>
      <c r="L91" s="105"/>
      <c r="M91" s="105"/>
      <c r="N91" s="105"/>
      <c r="O91" s="105"/>
      <c r="P91" s="105"/>
      <c r="Q91" s="105"/>
      <c r="R91" s="105"/>
      <c r="S91" s="105"/>
      <c r="T91" s="105"/>
      <c r="U91" s="105"/>
      <c r="V91" s="105"/>
      <c r="W91" s="105"/>
      <c r="X91" s="104"/>
      <c r="Y91" s="104"/>
      <c r="Z91" s="104"/>
      <c r="AA91" s="105"/>
      <c r="AB91" s="105"/>
      <c r="AC91" s="105"/>
      <c r="AD91" s="105"/>
      <c r="AE91" s="104"/>
      <c r="AF91" s="104"/>
      <c r="AG91" s="104"/>
      <c r="AH91" s="104"/>
      <c r="AI91" s="104"/>
      <c r="AJ91" s="104"/>
      <c r="AK91" s="104"/>
      <c r="AL91" s="104"/>
      <c r="AM91" s="104"/>
      <c r="AN91" s="104"/>
      <c r="AO91" s="104"/>
      <c r="AP91" s="104"/>
    </row>
    <row r="92" spans="1:42" x14ac:dyDescent="0.2">
      <c r="A92" s="104"/>
      <c r="B92" s="104"/>
      <c r="C92" s="104"/>
      <c r="D92" s="209" t="s">
        <v>31</v>
      </c>
      <c r="E92"/>
      <c r="F92">
        <v>1555</v>
      </c>
      <c r="G92"/>
      <c r="H92"/>
      <c r="I92"/>
      <c r="J92"/>
      <c r="K92" s="105"/>
      <c r="L92" s="105"/>
      <c r="M92" s="105"/>
      <c r="N92" s="105"/>
      <c r="O92" s="105"/>
      <c r="P92" s="105"/>
      <c r="Q92" s="105"/>
      <c r="R92" s="105"/>
      <c r="S92" s="105"/>
      <c r="T92" s="105"/>
      <c r="U92" s="105"/>
      <c r="V92" s="105"/>
      <c r="W92" s="105"/>
      <c r="X92" s="104"/>
      <c r="Y92" s="104"/>
      <c r="Z92" s="104"/>
      <c r="AA92" s="105"/>
      <c r="AB92" s="105"/>
      <c r="AC92" s="105"/>
      <c r="AD92" s="105"/>
      <c r="AE92" s="104"/>
      <c r="AF92" s="104"/>
      <c r="AG92" s="104"/>
      <c r="AH92" s="104"/>
      <c r="AI92" s="104"/>
      <c r="AJ92" s="104"/>
      <c r="AK92" s="104"/>
      <c r="AL92" s="104"/>
      <c r="AM92" s="104"/>
      <c r="AN92" s="104"/>
      <c r="AO92" s="104"/>
      <c r="AP92" s="104"/>
    </row>
    <row r="93" spans="1:42" x14ac:dyDescent="0.2">
      <c r="A93" s="104"/>
      <c r="B93" s="104"/>
      <c r="C93" s="104"/>
      <c r="D93" s="209" t="s">
        <v>563</v>
      </c>
      <c r="E93"/>
      <c r="F93">
        <v>895</v>
      </c>
      <c r="G93"/>
      <c r="H93"/>
      <c r="I93"/>
      <c r="J93"/>
      <c r="K93" s="105"/>
      <c r="L93" s="105"/>
      <c r="M93" s="105"/>
      <c r="N93" s="105"/>
      <c r="O93" s="105"/>
      <c r="P93" s="105"/>
      <c r="Q93" s="105"/>
      <c r="R93" s="105"/>
      <c r="S93" s="105"/>
      <c r="T93" s="105"/>
      <c r="U93" s="105"/>
      <c r="V93" s="105"/>
      <c r="W93" s="105"/>
      <c r="X93" s="104"/>
      <c r="Y93" s="104"/>
      <c r="Z93" s="104"/>
      <c r="AA93" s="105"/>
      <c r="AB93" s="105"/>
      <c r="AC93" s="105"/>
      <c r="AD93" s="105"/>
      <c r="AE93" s="104"/>
      <c r="AF93" s="104"/>
      <c r="AG93" s="104"/>
      <c r="AH93" s="104"/>
      <c r="AI93" s="104"/>
      <c r="AJ93" s="104"/>
      <c r="AK93" s="104"/>
      <c r="AL93" s="104"/>
      <c r="AM93" s="104"/>
      <c r="AN93" s="104"/>
      <c r="AO93" s="104"/>
      <c r="AP93" s="104"/>
    </row>
    <row r="94" spans="1:42" x14ac:dyDescent="0.2">
      <c r="A94" s="104"/>
      <c r="B94" s="104"/>
      <c r="C94" s="104"/>
      <c r="D94" s="209" t="s">
        <v>110</v>
      </c>
      <c r="E94"/>
      <c r="F94">
        <v>2200</v>
      </c>
      <c r="G94"/>
      <c r="H94"/>
      <c r="I94"/>
      <c r="J94"/>
      <c r="K94" s="105"/>
      <c r="L94" s="105"/>
      <c r="M94" s="105"/>
      <c r="N94" s="105"/>
      <c r="O94" s="105"/>
      <c r="P94" s="105"/>
      <c r="Q94" s="105"/>
      <c r="R94" s="105"/>
      <c r="S94" s="105"/>
      <c r="T94" s="105"/>
      <c r="U94" s="105"/>
      <c r="V94" s="105"/>
      <c r="W94" s="105"/>
      <c r="X94" s="104"/>
      <c r="Y94" s="104"/>
      <c r="Z94" s="104"/>
      <c r="AA94" s="105"/>
      <c r="AB94" s="105"/>
      <c r="AC94" s="105"/>
      <c r="AD94" s="105"/>
      <c r="AE94" s="104"/>
      <c r="AF94" s="104"/>
      <c r="AG94" s="104"/>
      <c r="AH94" s="104"/>
      <c r="AI94" s="104"/>
      <c r="AJ94" s="104"/>
      <c r="AK94" s="104"/>
      <c r="AL94" s="104"/>
      <c r="AM94" s="104"/>
      <c r="AN94" s="104"/>
      <c r="AO94" s="104"/>
      <c r="AP94" s="104"/>
    </row>
    <row r="95" spans="1:42" x14ac:dyDescent="0.2">
      <c r="A95" s="104"/>
      <c r="B95" s="104"/>
      <c r="C95" s="104"/>
      <c r="D95" s="209" t="s">
        <v>46</v>
      </c>
      <c r="E95"/>
      <c r="F95">
        <v>2285</v>
      </c>
      <c r="G95"/>
      <c r="H95"/>
      <c r="I95"/>
      <c r="J95"/>
      <c r="K95" s="105"/>
      <c r="L95" s="105"/>
      <c r="M95" s="105"/>
      <c r="N95" s="105"/>
      <c r="O95" s="105"/>
      <c r="P95" s="105"/>
      <c r="Q95" s="105"/>
      <c r="R95" s="105"/>
      <c r="S95" s="105"/>
      <c r="T95" s="105"/>
      <c r="U95" s="105"/>
      <c r="V95" s="105"/>
      <c r="W95" s="105"/>
      <c r="X95" s="104"/>
      <c r="Y95" s="104"/>
      <c r="Z95" s="104"/>
      <c r="AA95" s="105"/>
      <c r="AB95" s="105"/>
      <c r="AC95" s="105"/>
      <c r="AD95" s="105"/>
      <c r="AE95" s="104"/>
      <c r="AF95" s="104"/>
      <c r="AG95" s="104"/>
      <c r="AH95" s="104"/>
      <c r="AI95" s="104"/>
      <c r="AJ95" s="104"/>
      <c r="AK95" s="104"/>
      <c r="AL95" s="104"/>
      <c r="AM95" s="104"/>
      <c r="AN95" s="104"/>
      <c r="AO95" s="104"/>
      <c r="AP95" s="104"/>
    </row>
    <row r="96" spans="1:42" x14ac:dyDescent="0.2">
      <c r="A96" s="104"/>
      <c r="B96" s="104"/>
      <c r="C96" s="104"/>
      <c r="D96" s="209" t="s">
        <v>205</v>
      </c>
      <c r="E96"/>
      <c r="F96">
        <v>855</v>
      </c>
      <c r="G96"/>
      <c r="H96"/>
      <c r="I96"/>
      <c r="J96"/>
      <c r="K96" s="105"/>
      <c r="L96" s="105"/>
      <c r="M96" s="105"/>
      <c r="N96" s="105"/>
      <c r="O96" s="105"/>
      <c r="P96" s="105"/>
      <c r="Q96" s="105"/>
      <c r="R96" s="105"/>
      <c r="S96" s="105"/>
      <c r="T96" s="105"/>
      <c r="U96" s="105"/>
      <c r="V96" s="105"/>
      <c r="W96" s="105"/>
      <c r="X96" s="104"/>
      <c r="Y96" s="104"/>
      <c r="Z96" s="104"/>
      <c r="AA96" s="105"/>
      <c r="AB96" s="105"/>
      <c r="AC96" s="105"/>
      <c r="AD96" s="105"/>
      <c r="AE96" s="104"/>
      <c r="AF96" s="104"/>
      <c r="AG96" s="104"/>
      <c r="AH96" s="104"/>
      <c r="AI96" s="104"/>
      <c r="AJ96" s="104"/>
      <c r="AK96" s="104"/>
      <c r="AL96" s="104"/>
      <c r="AM96" s="104"/>
      <c r="AN96" s="104"/>
      <c r="AO96" s="104"/>
      <c r="AP96" s="104"/>
    </row>
    <row r="97" spans="4:6" x14ac:dyDescent="0.2">
      <c r="D97" s="209" t="s">
        <v>107</v>
      </c>
      <c r="E97"/>
      <c r="F97">
        <v>525</v>
      </c>
    </row>
    <row r="98" spans="4:6" x14ac:dyDescent="0.2">
      <c r="D98" s="209" t="s">
        <v>564</v>
      </c>
      <c r="E98"/>
      <c r="F98">
        <v>550</v>
      </c>
    </row>
    <row r="99" spans="4:6" x14ac:dyDescent="0.2">
      <c r="D99" s="104"/>
      <c r="E99" s="105" t="s">
        <v>460</v>
      </c>
      <c r="F99" s="105">
        <f>SUM(F82:F98)</f>
        <v>24120</v>
      </c>
    </row>
  </sheetData>
  <mergeCells count="3">
    <mergeCell ref="AD3:AH3"/>
    <mergeCell ref="AD26:AH26"/>
    <mergeCell ref="AD42:AH42"/>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22DE6-B66E-40F3-851D-51D8261B54BE}">
  <dimension ref="A1:CH150"/>
  <sheetViews>
    <sheetView zoomScale="65" zoomScaleNormal="70" workbookViewId="0">
      <selection activeCell="C1" sqref="C1:C1048576"/>
    </sheetView>
  </sheetViews>
  <sheetFormatPr defaultColWidth="9.42578125" defaultRowHeight="15" x14ac:dyDescent="0.2"/>
  <cols>
    <col min="1" max="1" width="11.42578125" style="140" customWidth="1"/>
    <col min="2" max="2" width="26.5703125" style="141" customWidth="1"/>
    <col min="3" max="3" width="29" style="140" customWidth="1"/>
    <col min="4" max="4" width="10.42578125" style="141" customWidth="1"/>
    <col min="5" max="5" width="12" style="141" customWidth="1"/>
    <col min="6" max="6" width="10.42578125" style="141" customWidth="1"/>
    <col min="7" max="7" width="7.42578125" style="141" customWidth="1"/>
    <col min="8" max="8" width="8.42578125" style="141" customWidth="1"/>
    <col min="9" max="10" width="7.42578125" style="141" customWidth="1"/>
    <col min="11" max="11" width="8.42578125" style="141" customWidth="1"/>
    <col min="12" max="12" width="6.5703125" style="141" customWidth="1"/>
    <col min="13" max="13" width="8.42578125" style="141" customWidth="1"/>
    <col min="14" max="18" width="8.5703125" style="141" customWidth="1"/>
    <col min="19" max="19" width="10.42578125" style="141" customWidth="1"/>
    <col min="20" max="20" width="13" style="141" customWidth="1"/>
    <col min="21" max="21" width="12.42578125" style="141" customWidth="1"/>
    <col min="22" max="22" width="15" style="141" customWidth="1"/>
    <col min="23" max="23" width="14.28515625" style="140" customWidth="1"/>
    <col min="24" max="24" width="22.85546875" style="212" customWidth="1"/>
    <col min="25" max="25" width="19.140625" style="141" customWidth="1"/>
    <col min="26" max="27" width="10.42578125" style="141" customWidth="1"/>
    <col min="28" max="28" width="14.28515625" style="141" bestFit="1" customWidth="1"/>
    <col min="29" max="29" width="12.28515625" style="140" bestFit="1" customWidth="1"/>
    <col min="30" max="30" width="51.85546875" style="140" customWidth="1"/>
    <col min="31" max="31" width="47" style="140" customWidth="1"/>
    <col min="32" max="34" width="24.42578125" style="140" customWidth="1"/>
    <col min="35" max="16384" width="9.42578125" style="140"/>
  </cols>
  <sheetData>
    <row r="1" spans="1:32" x14ac:dyDescent="0.2">
      <c r="A1" s="104"/>
      <c r="B1" s="105"/>
      <c r="C1" s="104"/>
      <c r="D1" s="105"/>
      <c r="E1" s="105"/>
      <c r="F1" s="105"/>
      <c r="G1" s="155"/>
      <c r="H1" s="105"/>
      <c r="I1" s="105"/>
      <c r="J1" s="105"/>
      <c r="K1" s="105"/>
      <c r="L1" s="105"/>
      <c r="M1" s="105"/>
      <c r="N1" s="105"/>
      <c r="O1" s="105"/>
      <c r="P1" s="105"/>
      <c r="Q1" s="105"/>
      <c r="R1" s="105"/>
      <c r="S1" s="105"/>
      <c r="T1" s="105"/>
      <c r="U1" s="105"/>
      <c r="V1" s="105"/>
      <c r="W1" s="105"/>
      <c r="X1" s="213"/>
      <c r="Y1" s="104"/>
      <c r="Z1" s="105"/>
      <c r="AA1" s="105"/>
      <c r="AB1" s="105"/>
      <c r="AC1" s="104"/>
      <c r="AD1" s="104"/>
      <c r="AE1" s="104"/>
      <c r="AF1" s="104"/>
    </row>
    <row r="2" spans="1:32" x14ac:dyDescent="0.2">
      <c r="A2" s="104"/>
      <c r="B2" s="105"/>
      <c r="C2" s="155" t="s">
        <v>35</v>
      </c>
      <c r="D2" s="105"/>
      <c r="E2" s="105"/>
      <c r="F2" s="105"/>
      <c r="G2" s="105"/>
      <c r="H2" s="105"/>
      <c r="I2" s="105"/>
      <c r="J2" s="105"/>
      <c r="K2" s="105"/>
      <c r="L2" s="105"/>
      <c r="M2" s="105"/>
      <c r="N2" s="105"/>
      <c r="O2" s="105"/>
      <c r="P2" s="105"/>
      <c r="Q2" s="105"/>
      <c r="R2" s="105"/>
      <c r="S2" s="105"/>
      <c r="T2" s="105"/>
      <c r="U2" s="105"/>
      <c r="V2" s="105"/>
      <c r="W2" s="105"/>
      <c r="X2" s="213"/>
      <c r="Y2" s="104"/>
      <c r="Z2" s="105"/>
      <c r="AA2" s="105"/>
      <c r="AB2" s="104"/>
      <c r="AC2" s="104"/>
      <c r="AD2" s="104"/>
      <c r="AE2" s="104"/>
      <c r="AF2" s="104"/>
    </row>
    <row r="3" spans="1:32" x14ac:dyDescent="0.2">
      <c r="A3" s="104"/>
      <c r="B3" s="105"/>
      <c r="C3" s="105"/>
      <c r="D3" s="105"/>
      <c r="E3" s="105"/>
      <c r="F3" s="105"/>
      <c r="G3" s="105"/>
      <c r="H3" s="105"/>
      <c r="I3" s="105"/>
      <c r="J3" s="105"/>
      <c r="K3" s="105"/>
      <c r="L3" s="105"/>
      <c r="M3" s="105"/>
      <c r="N3" s="105"/>
      <c r="O3" s="105"/>
      <c r="P3" s="105"/>
      <c r="Q3" s="105"/>
      <c r="R3" s="105"/>
      <c r="S3" s="105"/>
      <c r="T3" s="105"/>
      <c r="U3" s="105"/>
      <c r="V3" s="105"/>
      <c r="W3" s="105"/>
      <c r="X3" s="213"/>
      <c r="Y3" s="104"/>
      <c r="Z3" s="105"/>
      <c r="AA3" s="105"/>
      <c r="AB3" s="104"/>
      <c r="AC3" s="104"/>
      <c r="AD3" s="104"/>
      <c r="AE3" s="104"/>
      <c r="AF3" s="104"/>
    </row>
    <row r="4" spans="1:32" x14ac:dyDescent="0.2">
      <c r="A4" s="104"/>
      <c r="B4" s="105"/>
      <c r="C4" s="104"/>
      <c r="D4" s="105"/>
      <c r="E4" s="105"/>
      <c r="F4" s="105"/>
      <c r="G4" s="105"/>
      <c r="H4" s="105"/>
      <c r="I4" s="105"/>
      <c r="J4" s="105"/>
      <c r="K4" s="105"/>
      <c r="L4" s="105"/>
      <c r="M4" s="105"/>
      <c r="N4" s="105"/>
      <c r="O4" s="105"/>
      <c r="P4" s="105"/>
      <c r="Q4" s="105"/>
      <c r="R4" s="105"/>
      <c r="S4" s="105"/>
      <c r="T4" s="105"/>
      <c r="U4" s="105"/>
      <c r="V4" s="105"/>
      <c r="W4" s="105"/>
      <c r="X4" s="213"/>
      <c r="Y4" s="104"/>
      <c r="Z4" s="105"/>
      <c r="AA4" s="105"/>
      <c r="AB4" s="104"/>
      <c r="AC4" s="104"/>
      <c r="AD4" s="104"/>
      <c r="AE4" s="104"/>
      <c r="AF4" s="104"/>
    </row>
    <row r="5" spans="1:32" ht="15.75" thickBot="1" x14ac:dyDescent="0.25">
      <c r="A5" s="104"/>
      <c r="B5" s="105"/>
      <c r="C5" s="104"/>
      <c r="D5" s="105"/>
      <c r="E5" s="105"/>
      <c r="F5" s="105"/>
      <c r="G5" s="105"/>
      <c r="H5" s="105"/>
      <c r="I5" s="105"/>
      <c r="J5" s="105"/>
      <c r="K5" s="105"/>
      <c r="L5" s="105"/>
      <c r="M5" s="105"/>
      <c r="N5" s="105"/>
      <c r="O5" s="105"/>
      <c r="P5" s="105"/>
      <c r="Q5" s="105"/>
      <c r="R5" s="105"/>
      <c r="S5" s="105"/>
      <c r="T5" s="105"/>
      <c r="U5" s="105"/>
      <c r="V5" s="105"/>
      <c r="W5" s="105"/>
      <c r="X5" s="213"/>
      <c r="Y5" s="104"/>
      <c r="Z5" s="105"/>
      <c r="AA5" s="105"/>
      <c r="AB5" s="104"/>
      <c r="AC5" s="104"/>
      <c r="AD5" s="104"/>
      <c r="AE5" s="104"/>
      <c r="AF5" s="104"/>
    </row>
    <row r="6" spans="1:32" ht="16.5" thickBot="1" x14ac:dyDescent="0.3">
      <c r="A6" s="106"/>
      <c r="B6" s="217" t="s">
        <v>0</v>
      </c>
      <c r="C6" s="108"/>
      <c r="D6" s="108"/>
      <c r="E6" s="170"/>
      <c r="F6" s="170"/>
      <c r="G6" s="170"/>
      <c r="H6" s="170"/>
      <c r="I6" s="170"/>
      <c r="J6" s="170"/>
      <c r="K6" s="170"/>
      <c r="L6" s="170"/>
      <c r="M6" s="170"/>
      <c r="N6" s="170"/>
      <c r="O6" s="170"/>
      <c r="P6" s="170"/>
      <c r="Q6" s="170"/>
      <c r="R6" s="170"/>
      <c r="S6" s="170"/>
      <c r="T6" s="170"/>
      <c r="U6" s="170"/>
      <c r="V6" s="170"/>
      <c r="W6" s="151"/>
      <c r="X6" s="214" t="s">
        <v>0</v>
      </c>
      <c r="Y6" s="108"/>
      <c r="Z6" s="105"/>
      <c r="AA6" s="105"/>
      <c r="AB6" s="104"/>
      <c r="AC6" s="104"/>
      <c r="AD6" s="104"/>
      <c r="AE6" s="104"/>
      <c r="AF6" s="104"/>
    </row>
    <row r="7" spans="1:32" ht="48" thickBot="1" x14ac:dyDescent="0.3">
      <c r="A7" s="248" t="s">
        <v>60</v>
      </c>
      <c r="B7" s="83" t="s">
        <v>3</v>
      </c>
      <c r="C7" s="55" t="s">
        <v>2</v>
      </c>
      <c r="D7" s="56" t="s">
        <v>565</v>
      </c>
      <c r="E7" s="57" t="s">
        <v>566</v>
      </c>
      <c r="F7" s="57" t="s">
        <v>567</v>
      </c>
      <c r="G7" s="103" t="s">
        <v>4</v>
      </c>
      <c r="H7" s="58" t="s">
        <v>5</v>
      </c>
      <c r="I7" s="58" t="s">
        <v>6</v>
      </c>
      <c r="J7" s="58" t="s">
        <v>7</v>
      </c>
      <c r="K7" s="58" t="s">
        <v>8</v>
      </c>
      <c r="L7" s="58" t="s">
        <v>9</v>
      </c>
      <c r="M7" s="58" t="s">
        <v>10</v>
      </c>
      <c r="N7" s="58" t="s">
        <v>11</v>
      </c>
      <c r="O7" s="58" t="s">
        <v>12</v>
      </c>
      <c r="P7" s="58" t="s">
        <v>13</v>
      </c>
      <c r="Q7" s="58" t="s">
        <v>14</v>
      </c>
      <c r="R7" s="58" t="s">
        <v>15</v>
      </c>
      <c r="S7" s="59" t="s">
        <v>16</v>
      </c>
      <c r="T7" s="60" t="s">
        <v>568</v>
      </c>
      <c r="U7" s="57" t="s">
        <v>19</v>
      </c>
      <c r="V7" s="61" t="s">
        <v>41</v>
      </c>
      <c r="W7" s="211" t="s">
        <v>3</v>
      </c>
      <c r="X7" s="55" t="s">
        <v>2</v>
      </c>
      <c r="Y7" s="105"/>
      <c r="Z7" s="105"/>
      <c r="AA7" s="104"/>
      <c r="AB7" s="579" t="s">
        <v>569</v>
      </c>
      <c r="AC7" s="579"/>
      <c r="AD7" s="579"/>
      <c r="AE7" s="579"/>
      <c r="AF7" s="579"/>
    </row>
    <row r="8" spans="1:32" x14ac:dyDescent="0.2">
      <c r="A8" s="249"/>
      <c r="B8" s="251"/>
      <c r="C8" s="249"/>
      <c r="D8" s="250"/>
      <c r="E8" s="251"/>
      <c r="F8" s="251"/>
      <c r="G8" s="251"/>
      <c r="H8" s="251"/>
      <c r="I8" s="251"/>
      <c r="J8" s="251"/>
      <c r="K8" s="251"/>
      <c r="L8" s="251"/>
      <c r="M8" s="251"/>
      <c r="N8" s="251"/>
      <c r="O8" s="251"/>
      <c r="P8" s="251"/>
      <c r="Q8" s="251"/>
      <c r="R8" s="251"/>
      <c r="S8" s="509"/>
      <c r="T8" s="510"/>
      <c r="U8" s="511"/>
      <c r="V8" s="462"/>
      <c r="W8" s="264"/>
      <c r="X8" s="249"/>
      <c r="Y8" s="105"/>
      <c r="Z8" s="105"/>
      <c r="AA8" s="104"/>
      <c r="AB8" s="244" t="s">
        <v>144</v>
      </c>
      <c r="AC8" s="245" t="s">
        <v>147</v>
      </c>
      <c r="AD8" s="246" t="s">
        <v>2</v>
      </c>
      <c r="AE8" s="247" t="s">
        <v>570</v>
      </c>
      <c r="AF8" s="246" t="s">
        <v>571</v>
      </c>
    </row>
    <row r="9" spans="1:32" x14ac:dyDescent="0.2">
      <c r="A9" s="252">
        <v>30306</v>
      </c>
      <c r="B9" s="287">
        <v>2015</v>
      </c>
      <c r="C9" s="252" t="s">
        <v>244</v>
      </c>
      <c r="D9" s="512">
        <v>6</v>
      </c>
      <c r="E9" s="241">
        <v>91</v>
      </c>
      <c r="F9" s="241">
        <v>0</v>
      </c>
      <c r="G9" s="241">
        <v>25</v>
      </c>
      <c r="H9" s="241">
        <v>6</v>
      </c>
      <c r="I9" s="241">
        <v>0</v>
      </c>
      <c r="J9" s="241">
        <v>0</v>
      </c>
      <c r="K9" s="241">
        <v>0</v>
      </c>
      <c r="L9" s="241">
        <v>0</v>
      </c>
      <c r="M9" s="241">
        <v>0</v>
      </c>
      <c r="N9" s="241">
        <v>0</v>
      </c>
      <c r="O9" s="241">
        <v>0</v>
      </c>
      <c r="P9" s="241">
        <v>0</v>
      </c>
      <c r="Q9" s="241">
        <v>0</v>
      </c>
      <c r="R9" s="241">
        <v>-1</v>
      </c>
      <c r="S9" s="256">
        <f>SUM(G9:R9)</f>
        <v>30</v>
      </c>
      <c r="T9" s="512">
        <f>IFERROR((AVERAGE(G9:R9)),0)</f>
        <v>2.5</v>
      </c>
      <c r="U9" s="513">
        <f>IFERROR((V9/T9),0)</f>
        <v>24.4</v>
      </c>
      <c r="V9" s="461">
        <f>E9+F9-S9</f>
        <v>61</v>
      </c>
      <c r="W9" s="288">
        <v>2015</v>
      </c>
      <c r="X9" s="252" t="s">
        <v>73</v>
      </c>
      <c r="Y9" s="105"/>
      <c r="Z9" s="105"/>
      <c r="AA9" s="104"/>
      <c r="AB9" s="244"/>
      <c r="AC9" s="245"/>
      <c r="AD9" s="246"/>
      <c r="AE9" s="247"/>
      <c r="AF9" s="246"/>
    </row>
    <row r="10" spans="1:32" x14ac:dyDescent="0.2">
      <c r="A10" s="249"/>
      <c r="B10" s="251"/>
      <c r="C10" s="249"/>
      <c r="D10" s="476"/>
      <c r="E10" s="251">
        <v>0</v>
      </c>
      <c r="F10" s="251"/>
      <c r="G10" s="251"/>
      <c r="H10" s="251"/>
      <c r="I10" s="251"/>
      <c r="J10" s="251"/>
      <c r="K10" s="251"/>
      <c r="L10" s="251"/>
      <c r="M10" s="251"/>
      <c r="N10" s="251"/>
      <c r="O10" s="251"/>
      <c r="P10" s="251"/>
      <c r="Q10" s="251"/>
      <c r="R10" s="251"/>
      <c r="S10" s="251"/>
      <c r="T10" s="251"/>
      <c r="U10" s="251"/>
      <c r="V10" s="462"/>
      <c r="W10" s="264"/>
      <c r="X10" s="249"/>
      <c r="Y10" s="105"/>
      <c r="Z10" s="105"/>
      <c r="AA10" s="104"/>
      <c r="AB10" s="244">
        <v>44986</v>
      </c>
      <c r="AC10" s="245">
        <v>2022</v>
      </c>
      <c r="AD10" s="246" t="s">
        <v>572</v>
      </c>
      <c r="AE10" s="247">
        <v>111</v>
      </c>
      <c r="AF10" s="246" t="s">
        <v>102</v>
      </c>
    </row>
    <row r="11" spans="1:32" ht="15" customHeight="1" x14ac:dyDescent="0.2">
      <c r="A11" s="252">
        <v>137517</v>
      </c>
      <c r="B11" s="116">
        <v>2017</v>
      </c>
      <c r="C11" s="252" t="s">
        <v>311</v>
      </c>
      <c r="D11" s="478"/>
      <c r="E11" s="241">
        <v>7</v>
      </c>
      <c r="F11" s="241">
        <v>0</v>
      </c>
      <c r="G11" s="241">
        <v>3</v>
      </c>
      <c r="H11" s="241">
        <v>4</v>
      </c>
      <c r="I11" s="281"/>
      <c r="J11" s="281"/>
      <c r="K11" s="281"/>
      <c r="L11" s="281"/>
      <c r="M11" s="281"/>
      <c r="N11" s="281"/>
      <c r="O11" s="281"/>
      <c r="P11" s="281"/>
      <c r="Q11" s="281"/>
      <c r="R11" s="281"/>
      <c r="S11" s="256">
        <f t="shared" ref="S11:S15" si="0">SUM(G11:R11)</f>
        <v>7</v>
      </c>
      <c r="T11" s="512">
        <f t="shared" ref="T11:T15" si="1">IFERROR((AVERAGE(G11:R11)),0)</f>
        <v>3.5</v>
      </c>
      <c r="U11" s="513">
        <f>IFERROR((V11/T11),0)</f>
        <v>0</v>
      </c>
      <c r="V11" s="461">
        <f>E11+F11-S11</f>
        <v>0</v>
      </c>
      <c r="W11" s="314">
        <v>2017</v>
      </c>
      <c r="X11" s="252" t="s">
        <v>311</v>
      </c>
      <c r="Y11" s="105"/>
      <c r="Z11" s="105"/>
      <c r="AA11" s="104"/>
      <c r="AB11" s="244">
        <v>44986</v>
      </c>
      <c r="AC11" s="245">
        <v>2022</v>
      </c>
      <c r="AD11" s="246" t="s">
        <v>573</v>
      </c>
      <c r="AE11" s="247">
        <v>300</v>
      </c>
      <c r="AF11" s="246" t="s">
        <v>102</v>
      </c>
    </row>
    <row r="12" spans="1:32" ht="15" customHeight="1" x14ac:dyDescent="0.2">
      <c r="A12" s="249"/>
      <c r="B12" s="315"/>
      <c r="C12" s="249"/>
      <c r="D12" s="479"/>
      <c r="E12" s="251" t="e">
        <v>#VALUE!</v>
      </c>
      <c r="F12" s="251"/>
      <c r="G12" s="251"/>
      <c r="H12" s="251"/>
      <c r="I12" s="251"/>
      <c r="J12" s="251"/>
      <c r="K12" s="251"/>
      <c r="L12" s="251"/>
      <c r="M12" s="251"/>
      <c r="N12" s="251"/>
      <c r="O12" s="251"/>
      <c r="P12" s="251"/>
      <c r="Q12" s="251"/>
      <c r="R12" s="251"/>
      <c r="S12" s="251" t="s">
        <v>35</v>
      </c>
      <c r="T12" s="510">
        <f t="shared" si="1"/>
        <v>0</v>
      </c>
      <c r="U12" s="511">
        <f>IFERROR((V12/T12),0)</f>
        <v>0</v>
      </c>
      <c r="V12" s="462"/>
      <c r="W12" s="316"/>
      <c r="X12" s="249"/>
      <c r="Y12" s="105"/>
      <c r="Z12" s="105"/>
      <c r="AA12" s="104"/>
      <c r="AB12" s="244">
        <v>44986</v>
      </c>
      <c r="AC12" s="245">
        <v>2022</v>
      </c>
      <c r="AD12" s="246" t="s">
        <v>574</v>
      </c>
      <c r="AE12" s="247">
        <v>82</v>
      </c>
      <c r="AF12" s="246" t="s">
        <v>102</v>
      </c>
    </row>
    <row r="13" spans="1:32" x14ac:dyDescent="0.2">
      <c r="A13" s="252">
        <v>57630</v>
      </c>
      <c r="B13" s="116">
        <v>2018</v>
      </c>
      <c r="C13" s="252" t="s">
        <v>25</v>
      </c>
      <c r="D13" s="478">
        <v>34</v>
      </c>
      <c r="E13" s="241">
        <v>64</v>
      </c>
      <c r="F13" s="241">
        <v>0</v>
      </c>
      <c r="G13" s="283">
        <v>20</v>
      </c>
      <c r="H13" s="283">
        <v>26</v>
      </c>
      <c r="I13" s="283">
        <v>18</v>
      </c>
      <c r="J13" s="281"/>
      <c r="K13" s="281"/>
      <c r="L13" s="281"/>
      <c r="M13" s="281"/>
      <c r="N13" s="281"/>
      <c r="O13" s="281"/>
      <c r="P13" s="281"/>
      <c r="Q13" s="281"/>
      <c r="R13" s="281"/>
      <c r="S13" s="256">
        <f t="shared" si="0"/>
        <v>64</v>
      </c>
      <c r="T13" s="512">
        <f t="shared" si="1"/>
        <v>21.333333333333332</v>
      </c>
      <c r="U13" s="513">
        <f>IFERROR((V13/T13),0)</f>
        <v>0</v>
      </c>
      <c r="V13" s="461">
        <f>E13+F13-S13</f>
        <v>0</v>
      </c>
      <c r="W13" s="314">
        <v>2018</v>
      </c>
      <c r="X13" s="252" t="s">
        <v>25</v>
      </c>
      <c r="Y13" s="105"/>
      <c r="Z13" s="105"/>
      <c r="AA13" s="104"/>
      <c r="AB13" s="244">
        <v>44986</v>
      </c>
      <c r="AC13" s="245">
        <v>2022</v>
      </c>
      <c r="AD13" s="246" t="s">
        <v>170</v>
      </c>
      <c r="AE13" s="247">
        <v>449</v>
      </c>
      <c r="AF13" s="246" t="s">
        <v>102</v>
      </c>
    </row>
    <row r="14" spans="1:32" ht="15" customHeight="1" x14ac:dyDescent="0.2">
      <c r="A14" s="252">
        <v>135371</v>
      </c>
      <c r="B14" s="116">
        <v>2018</v>
      </c>
      <c r="C14" s="252" t="s">
        <v>307</v>
      </c>
      <c r="D14" s="478">
        <v>15</v>
      </c>
      <c r="E14" s="241">
        <v>49</v>
      </c>
      <c r="F14" s="241">
        <v>0</v>
      </c>
      <c r="G14" s="283">
        <v>13</v>
      </c>
      <c r="H14" s="283">
        <v>9</v>
      </c>
      <c r="I14" s="283">
        <v>10</v>
      </c>
      <c r="J14" s="283">
        <v>9</v>
      </c>
      <c r="K14" s="139">
        <v>8</v>
      </c>
      <c r="L14" s="281"/>
      <c r="M14" s="281"/>
      <c r="N14" s="281"/>
      <c r="O14" s="281"/>
      <c r="P14" s="281"/>
      <c r="Q14" s="281"/>
      <c r="R14" s="281"/>
      <c r="S14" s="256">
        <f>SUM(G14:R14)</f>
        <v>49</v>
      </c>
      <c r="T14" s="512">
        <f>IFERROR((AVERAGE(G14:R14)),0)</f>
        <v>9.8000000000000007</v>
      </c>
      <c r="U14" s="513">
        <f>IFERROR((V14/T14),0)</f>
        <v>0</v>
      </c>
      <c r="V14" s="461">
        <f>E14+F14-S14</f>
        <v>0</v>
      </c>
      <c r="W14" s="314">
        <v>2018</v>
      </c>
      <c r="X14" s="252" t="s">
        <v>307</v>
      </c>
      <c r="Y14" s="105"/>
      <c r="Z14" s="105"/>
      <c r="AA14" s="104"/>
      <c r="AB14" s="244">
        <v>44986</v>
      </c>
      <c r="AC14" s="245">
        <v>2022</v>
      </c>
      <c r="AD14" s="246" t="s">
        <v>575</v>
      </c>
      <c r="AE14" s="247">
        <v>106</v>
      </c>
      <c r="AF14" s="246" t="s">
        <v>102</v>
      </c>
    </row>
    <row r="15" spans="1:32" ht="15" customHeight="1" x14ac:dyDescent="0.2">
      <c r="A15" s="252">
        <v>22921</v>
      </c>
      <c r="B15" s="116">
        <v>2018</v>
      </c>
      <c r="C15" s="252" t="s">
        <v>278</v>
      </c>
      <c r="D15" s="478">
        <v>41</v>
      </c>
      <c r="E15" s="241">
        <v>92</v>
      </c>
      <c r="F15" s="241">
        <v>0</v>
      </c>
      <c r="G15" s="241">
        <v>32</v>
      </c>
      <c r="H15" s="241">
        <v>60</v>
      </c>
      <c r="I15" s="281"/>
      <c r="J15" s="281"/>
      <c r="K15" s="281"/>
      <c r="L15" s="281"/>
      <c r="M15" s="281"/>
      <c r="N15" s="281"/>
      <c r="O15" s="281"/>
      <c r="P15" s="281"/>
      <c r="Q15" s="281"/>
      <c r="R15" s="281"/>
      <c r="S15" s="256">
        <f t="shared" si="0"/>
        <v>92</v>
      </c>
      <c r="T15" s="512">
        <f t="shared" si="1"/>
        <v>46</v>
      </c>
      <c r="U15" s="513">
        <f>IFERROR((V15/T15),0)</f>
        <v>0</v>
      </c>
      <c r="V15" s="461">
        <f>E15+F15-S15</f>
        <v>0</v>
      </c>
      <c r="W15" s="314">
        <v>2018</v>
      </c>
      <c r="X15" s="252" t="s">
        <v>278</v>
      </c>
      <c r="Y15" s="105"/>
      <c r="Z15" s="105"/>
      <c r="AA15" s="104"/>
      <c r="AB15" s="244">
        <v>44986</v>
      </c>
      <c r="AC15" s="245">
        <v>2022</v>
      </c>
      <c r="AD15" s="246" t="s">
        <v>576</v>
      </c>
      <c r="AE15" s="247">
        <v>107</v>
      </c>
      <c r="AF15" s="246" t="s">
        <v>102</v>
      </c>
    </row>
    <row r="16" spans="1:32" ht="15" customHeight="1" x14ac:dyDescent="0.2">
      <c r="A16" s="249"/>
      <c r="B16" s="315"/>
      <c r="C16" s="249"/>
      <c r="D16" s="476"/>
      <c r="E16" s="251">
        <v>0</v>
      </c>
      <c r="F16" s="251">
        <v>0</v>
      </c>
      <c r="G16" s="251"/>
      <c r="H16" s="251"/>
      <c r="I16" s="251"/>
      <c r="J16" s="251"/>
      <c r="K16" s="251"/>
      <c r="L16" s="251"/>
      <c r="M16" s="251"/>
      <c r="N16" s="251"/>
      <c r="O16" s="251"/>
      <c r="P16" s="251"/>
      <c r="Q16" s="251"/>
      <c r="R16" s="251"/>
      <c r="S16" s="251"/>
      <c r="T16" s="510"/>
      <c r="U16" s="511"/>
      <c r="V16" s="462"/>
      <c r="W16" s="316"/>
      <c r="X16" s="249"/>
      <c r="Y16" s="105"/>
      <c r="Z16" s="105"/>
      <c r="AA16" s="104"/>
      <c r="AB16" s="244">
        <v>45021</v>
      </c>
      <c r="AC16" s="245">
        <v>2022</v>
      </c>
      <c r="AD16" s="246" t="s">
        <v>577</v>
      </c>
      <c r="AE16" s="247">
        <v>350</v>
      </c>
      <c r="AF16" s="246" t="s">
        <v>102</v>
      </c>
    </row>
    <row r="17" spans="1:32" ht="15" customHeight="1" x14ac:dyDescent="0.2">
      <c r="A17" s="249"/>
      <c r="B17" s="315"/>
      <c r="C17" s="249"/>
      <c r="D17" s="192"/>
      <c r="E17" s="251"/>
      <c r="F17" s="251"/>
      <c r="G17" s="251"/>
      <c r="H17" s="251"/>
      <c r="I17" s="251"/>
      <c r="J17" s="251"/>
      <c r="K17" s="251"/>
      <c r="L17" s="251"/>
      <c r="M17" s="251"/>
      <c r="N17" s="251"/>
      <c r="O17" s="251"/>
      <c r="P17" s="251"/>
      <c r="Q17" s="251"/>
      <c r="R17" s="251"/>
      <c r="S17" s="251"/>
      <c r="T17" s="510"/>
      <c r="U17" s="511"/>
      <c r="V17" s="462"/>
      <c r="W17" s="316"/>
      <c r="X17" s="249"/>
      <c r="Y17" s="105"/>
      <c r="Z17" s="105"/>
      <c r="AA17" s="104"/>
      <c r="AB17" s="244">
        <v>45021</v>
      </c>
      <c r="AC17" s="245">
        <v>2022</v>
      </c>
      <c r="AD17" s="246" t="s">
        <v>528</v>
      </c>
      <c r="AE17" s="247">
        <v>343</v>
      </c>
      <c r="AF17" s="246" t="s">
        <v>102</v>
      </c>
    </row>
    <row r="18" spans="1:32" ht="15" customHeight="1" x14ac:dyDescent="0.2">
      <c r="A18" s="249"/>
      <c r="B18" s="315"/>
      <c r="C18" s="249"/>
      <c r="D18" s="192"/>
      <c r="E18" s="251"/>
      <c r="F18" s="251"/>
      <c r="G18" s="251"/>
      <c r="H18" s="251"/>
      <c r="I18" s="251"/>
      <c r="J18" s="251"/>
      <c r="K18" s="251"/>
      <c r="L18" s="251"/>
      <c r="M18" s="251"/>
      <c r="N18" s="251"/>
      <c r="O18" s="251"/>
      <c r="P18" s="251"/>
      <c r="Q18" s="251"/>
      <c r="R18" s="251"/>
      <c r="S18" s="251"/>
      <c r="T18" s="510"/>
      <c r="U18" s="511"/>
      <c r="V18" s="462"/>
      <c r="W18" s="316"/>
      <c r="X18" s="249"/>
      <c r="Y18" s="105"/>
      <c r="Z18" s="105"/>
      <c r="AA18" s="104"/>
      <c r="AB18" s="244">
        <v>45021</v>
      </c>
      <c r="AC18" s="245">
        <v>2022</v>
      </c>
      <c r="AD18" s="246" t="s">
        <v>379</v>
      </c>
      <c r="AE18" s="247">
        <v>137</v>
      </c>
      <c r="AF18" s="246" t="s">
        <v>102</v>
      </c>
    </row>
    <row r="19" spans="1:32" x14ac:dyDescent="0.2">
      <c r="A19" s="252">
        <v>57632</v>
      </c>
      <c r="B19" s="116">
        <v>2019</v>
      </c>
      <c r="C19" s="252" t="s">
        <v>31</v>
      </c>
      <c r="D19" s="191">
        <v>27</v>
      </c>
      <c r="E19" s="241">
        <v>99</v>
      </c>
      <c r="F19" s="241">
        <v>0</v>
      </c>
      <c r="G19" s="241">
        <v>9</v>
      </c>
      <c r="H19" s="241">
        <v>32</v>
      </c>
      <c r="I19" s="241">
        <v>19</v>
      </c>
      <c r="J19" s="241">
        <v>24</v>
      </c>
      <c r="K19" s="283">
        <v>15</v>
      </c>
      <c r="L19" s="281"/>
      <c r="M19" s="281"/>
      <c r="N19" s="281"/>
      <c r="O19" s="281"/>
      <c r="P19" s="281"/>
      <c r="Q19" s="281"/>
      <c r="R19" s="281"/>
      <c r="S19" s="256">
        <f t="shared" ref="S19:S27" si="2">SUM(G19:R19)</f>
        <v>99</v>
      </c>
      <c r="T19" s="512">
        <f t="shared" ref="T19:T27" si="3">IFERROR((AVERAGE(G19:R19)),0)</f>
        <v>19.8</v>
      </c>
      <c r="U19" s="513">
        <f t="shared" ref="U19:U30" si="4">IFERROR((V19/T19),0)</f>
        <v>0</v>
      </c>
      <c r="V19" s="461">
        <f t="shared" ref="V19:V30" si="5">E19+F19-S19</f>
        <v>0</v>
      </c>
      <c r="W19" s="314">
        <v>2019</v>
      </c>
      <c r="X19" s="252" t="s">
        <v>31</v>
      </c>
      <c r="Y19" s="105"/>
      <c r="Z19" s="105"/>
      <c r="AA19" s="104"/>
      <c r="AB19" s="244">
        <v>45021</v>
      </c>
      <c r="AC19" s="245">
        <v>2022</v>
      </c>
      <c r="AD19" s="246" t="s">
        <v>578</v>
      </c>
      <c r="AE19" s="247">
        <v>336</v>
      </c>
      <c r="AF19" s="246" t="s">
        <v>102</v>
      </c>
    </row>
    <row r="20" spans="1:32" ht="15.75" customHeight="1" x14ac:dyDescent="0.2">
      <c r="A20" s="252">
        <v>57630</v>
      </c>
      <c r="B20" s="116">
        <v>2019</v>
      </c>
      <c r="C20" s="252" t="s">
        <v>25</v>
      </c>
      <c r="D20" s="477">
        <v>34</v>
      </c>
      <c r="E20" s="241">
        <v>361</v>
      </c>
      <c r="F20" s="241">
        <v>0</v>
      </c>
      <c r="G20" s="282"/>
      <c r="H20" s="283"/>
      <c r="I20" s="241">
        <v>0</v>
      </c>
      <c r="J20" s="283">
        <v>24</v>
      </c>
      <c r="K20" s="283">
        <v>26</v>
      </c>
      <c r="L20" s="283">
        <v>14</v>
      </c>
      <c r="M20" s="283">
        <v>22</v>
      </c>
      <c r="N20" s="283">
        <v>25</v>
      </c>
      <c r="O20" s="283">
        <v>26</v>
      </c>
      <c r="P20" s="283">
        <v>28</v>
      </c>
      <c r="Q20" s="283">
        <v>73</v>
      </c>
      <c r="R20" s="283">
        <v>23</v>
      </c>
      <c r="S20" s="256">
        <f t="shared" si="2"/>
        <v>261</v>
      </c>
      <c r="T20" s="512">
        <f t="shared" si="3"/>
        <v>26.1</v>
      </c>
      <c r="U20" s="513">
        <f t="shared" si="4"/>
        <v>3.8314176245210727</v>
      </c>
      <c r="V20" s="461">
        <f t="shared" si="5"/>
        <v>100</v>
      </c>
      <c r="W20" s="314">
        <v>2019</v>
      </c>
      <c r="X20" s="252" t="s">
        <v>25</v>
      </c>
      <c r="Y20" s="105"/>
      <c r="Z20" s="105"/>
      <c r="AA20" s="104"/>
      <c r="AB20" s="244">
        <v>45021</v>
      </c>
      <c r="AC20" s="245">
        <v>2022</v>
      </c>
      <c r="AD20" s="246" t="s">
        <v>579</v>
      </c>
      <c r="AE20" s="247">
        <v>93</v>
      </c>
      <c r="AF20" s="246" t="s">
        <v>102</v>
      </c>
    </row>
    <row r="21" spans="1:32" ht="15.75" customHeight="1" x14ac:dyDescent="0.2">
      <c r="A21" s="252">
        <v>22384</v>
      </c>
      <c r="B21" s="116">
        <v>2019</v>
      </c>
      <c r="C21" s="252" t="s">
        <v>26</v>
      </c>
      <c r="D21" s="191"/>
      <c r="E21" s="241">
        <v>7</v>
      </c>
      <c r="F21" s="241">
        <v>0</v>
      </c>
      <c r="G21" s="241">
        <v>7</v>
      </c>
      <c r="H21" s="281"/>
      <c r="I21" s="281"/>
      <c r="J21" s="281"/>
      <c r="K21" s="281"/>
      <c r="L21" s="281"/>
      <c r="M21" s="281"/>
      <c r="N21" s="281"/>
      <c r="O21" s="281"/>
      <c r="P21" s="281"/>
      <c r="Q21" s="281"/>
      <c r="R21" s="281"/>
      <c r="S21" s="256">
        <f t="shared" si="2"/>
        <v>7</v>
      </c>
      <c r="T21" s="512">
        <f t="shared" si="3"/>
        <v>7</v>
      </c>
      <c r="U21" s="513">
        <f t="shared" si="4"/>
        <v>0</v>
      </c>
      <c r="V21" s="461">
        <f t="shared" si="5"/>
        <v>0</v>
      </c>
      <c r="W21" s="314">
        <v>2019</v>
      </c>
      <c r="X21" s="252" t="s">
        <v>26</v>
      </c>
      <c r="Y21" s="105"/>
      <c r="Z21" s="105"/>
      <c r="AA21" s="104"/>
      <c r="AB21" s="244">
        <v>45021</v>
      </c>
      <c r="AC21" s="245">
        <v>2022</v>
      </c>
      <c r="AD21" s="246" t="s">
        <v>530</v>
      </c>
      <c r="AE21" s="247">
        <v>404</v>
      </c>
      <c r="AF21" s="246" t="s">
        <v>102</v>
      </c>
    </row>
    <row r="22" spans="1:32" ht="15.75" customHeight="1" x14ac:dyDescent="0.2">
      <c r="A22" s="252">
        <v>133688</v>
      </c>
      <c r="B22" s="116">
        <v>2019</v>
      </c>
      <c r="C22" s="252" t="s">
        <v>23</v>
      </c>
      <c r="D22" s="477">
        <v>30</v>
      </c>
      <c r="E22" s="241">
        <v>490</v>
      </c>
      <c r="F22" s="241">
        <v>0</v>
      </c>
      <c r="G22" s="283">
        <v>33</v>
      </c>
      <c r="H22" s="283">
        <v>26</v>
      </c>
      <c r="I22" s="283">
        <v>22</v>
      </c>
      <c r="J22" s="283">
        <v>22</v>
      </c>
      <c r="K22" s="283">
        <v>29</v>
      </c>
      <c r="L22" s="283">
        <v>30</v>
      </c>
      <c r="M22" s="283">
        <v>19</v>
      </c>
      <c r="N22" s="283">
        <v>24</v>
      </c>
      <c r="O22" s="283">
        <v>14</v>
      </c>
      <c r="P22" s="283">
        <v>33</v>
      </c>
      <c r="Q22" s="283">
        <v>39</v>
      </c>
      <c r="R22" s="283">
        <v>37</v>
      </c>
      <c r="S22" s="256">
        <f t="shared" si="2"/>
        <v>328</v>
      </c>
      <c r="T22" s="512">
        <f t="shared" si="3"/>
        <v>27.333333333333332</v>
      </c>
      <c r="U22" s="513">
        <f t="shared" si="4"/>
        <v>5.9268292682926829</v>
      </c>
      <c r="V22" s="461">
        <f t="shared" si="5"/>
        <v>162</v>
      </c>
      <c r="W22" s="314">
        <v>2019</v>
      </c>
      <c r="X22" s="252" t="s">
        <v>23</v>
      </c>
      <c r="Y22" s="105"/>
      <c r="Z22" s="105"/>
      <c r="AA22" s="104"/>
      <c r="AB22" s="244">
        <v>45124</v>
      </c>
      <c r="AC22" s="245">
        <v>2022</v>
      </c>
      <c r="AD22" s="246" t="s">
        <v>194</v>
      </c>
      <c r="AE22" s="247">
        <v>220</v>
      </c>
      <c r="AF22" s="246" t="s">
        <v>102</v>
      </c>
    </row>
    <row r="23" spans="1:32" ht="15.75" customHeight="1" x14ac:dyDescent="0.2">
      <c r="A23" s="252">
        <v>133687</v>
      </c>
      <c r="B23" s="116">
        <v>2019</v>
      </c>
      <c r="C23" s="252" t="s">
        <v>93</v>
      </c>
      <c r="D23" s="477">
        <v>12</v>
      </c>
      <c r="E23" s="241">
        <v>126</v>
      </c>
      <c r="F23" s="241">
        <v>0</v>
      </c>
      <c r="G23" s="241">
        <v>11</v>
      </c>
      <c r="H23" s="241">
        <v>16</v>
      </c>
      <c r="I23" s="241">
        <v>7</v>
      </c>
      <c r="J23" s="241">
        <v>9</v>
      </c>
      <c r="K23" s="241">
        <v>9</v>
      </c>
      <c r="L23" s="241">
        <v>7</v>
      </c>
      <c r="M23" s="241">
        <v>9</v>
      </c>
      <c r="N23" s="241">
        <v>16</v>
      </c>
      <c r="O23" s="241">
        <v>10</v>
      </c>
      <c r="P23" s="241">
        <v>10</v>
      </c>
      <c r="Q23" s="241">
        <v>22</v>
      </c>
      <c r="R23" s="281"/>
      <c r="S23" s="256">
        <f t="shared" si="2"/>
        <v>126</v>
      </c>
      <c r="T23" s="512">
        <f t="shared" si="3"/>
        <v>11.454545454545455</v>
      </c>
      <c r="U23" s="513">
        <f t="shared" si="4"/>
        <v>0</v>
      </c>
      <c r="V23" s="461">
        <f t="shared" si="5"/>
        <v>0</v>
      </c>
      <c r="W23" s="314">
        <v>2019</v>
      </c>
      <c r="X23" s="252" t="s">
        <v>393</v>
      </c>
      <c r="Y23" s="105"/>
      <c r="Z23" s="105"/>
      <c r="AA23" s="104"/>
      <c r="AB23" s="244">
        <v>45124</v>
      </c>
      <c r="AC23" s="245">
        <v>2022</v>
      </c>
      <c r="AD23" s="246" t="s">
        <v>580</v>
      </c>
      <c r="AE23" s="247">
        <v>112</v>
      </c>
      <c r="AF23" s="246" t="s">
        <v>102</v>
      </c>
    </row>
    <row r="24" spans="1:32" ht="15.75" customHeight="1" x14ac:dyDescent="0.2">
      <c r="A24" s="252">
        <v>27736</v>
      </c>
      <c r="B24" s="116">
        <v>2019</v>
      </c>
      <c r="C24" s="252" t="s">
        <v>70</v>
      </c>
      <c r="D24" s="477">
        <v>52</v>
      </c>
      <c r="E24" s="241">
        <v>17</v>
      </c>
      <c r="F24" s="241">
        <v>0</v>
      </c>
      <c r="G24" s="241">
        <v>15</v>
      </c>
      <c r="H24" s="241">
        <v>2</v>
      </c>
      <c r="I24" s="289"/>
      <c r="J24" s="289"/>
      <c r="K24" s="289"/>
      <c r="L24" s="289"/>
      <c r="M24" s="289"/>
      <c r="N24" s="289"/>
      <c r="O24" s="289"/>
      <c r="P24" s="289"/>
      <c r="Q24" s="289"/>
      <c r="R24" s="289"/>
      <c r="S24" s="256">
        <f t="shared" si="2"/>
        <v>17</v>
      </c>
      <c r="T24" s="512">
        <f t="shared" si="3"/>
        <v>8.5</v>
      </c>
      <c r="U24" s="513">
        <f t="shared" si="4"/>
        <v>0</v>
      </c>
      <c r="V24" s="461">
        <f t="shared" si="5"/>
        <v>0</v>
      </c>
      <c r="W24" s="314">
        <v>2019</v>
      </c>
      <c r="X24" s="252" t="s">
        <v>70</v>
      </c>
      <c r="Y24" s="105"/>
      <c r="Z24" s="105"/>
      <c r="AA24" s="104"/>
      <c r="AB24" s="244">
        <v>45124</v>
      </c>
      <c r="AC24" s="245">
        <v>2022</v>
      </c>
      <c r="AD24" s="246" t="s">
        <v>302</v>
      </c>
      <c r="AE24" s="247">
        <v>63</v>
      </c>
      <c r="AF24" s="246" t="s">
        <v>102</v>
      </c>
    </row>
    <row r="25" spans="1:32" ht="15.75" customHeight="1" x14ac:dyDescent="0.2">
      <c r="A25" s="252">
        <v>135371</v>
      </c>
      <c r="B25" s="116">
        <v>2019</v>
      </c>
      <c r="C25" s="252" t="s">
        <v>307</v>
      </c>
      <c r="D25" s="480">
        <v>15</v>
      </c>
      <c r="E25" s="241">
        <v>73</v>
      </c>
      <c r="F25" s="241">
        <v>0</v>
      </c>
      <c r="G25" s="282"/>
      <c r="H25" s="282"/>
      <c r="I25" s="282"/>
      <c r="J25" s="282"/>
      <c r="K25" s="241">
        <v>5</v>
      </c>
      <c r="L25" s="241">
        <v>4</v>
      </c>
      <c r="M25" s="241">
        <v>10</v>
      </c>
      <c r="N25" s="241">
        <v>19</v>
      </c>
      <c r="O25" s="241">
        <v>8</v>
      </c>
      <c r="P25" s="241">
        <v>21</v>
      </c>
      <c r="Q25" s="241">
        <v>6</v>
      </c>
      <c r="R25" s="281"/>
      <c r="S25" s="256">
        <f t="shared" si="2"/>
        <v>73</v>
      </c>
      <c r="T25" s="512">
        <f t="shared" si="3"/>
        <v>10.428571428571429</v>
      </c>
      <c r="U25" s="513">
        <f t="shared" si="4"/>
        <v>0</v>
      </c>
      <c r="V25" s="461">
        <f t="shared" si="5"/>
        <v>0</v>
      </c>
      <c r="W25" s="314">
        <v>2019</v>
      </c>
      <c r="X25" s="252" t="s">
        <v>307</v>
      </c>
      <c r="Y25" s="105"/>
      <c r="Z25" s="105"/>
      <c r="AA25" s="104"/>
      <c r="AB25" s="244">
        <v>45124</v>
      </c>
      <c r="AC25" s="245">
        <v>2022</v>
      </c>
      <c r="AD25" s="246" t="s">
        <v>303</v>
      </c>
      <c r="AE25" s="247">
        <v>249</v>
      </c>
      <c r="AF25" s="246" t="s">
        <v>102</v>
      </c>
    </row>
    <row r="26" spans="1:32" ht="15.75" customHeight="1" x14ac:dyDescent="0.2">
      <c r="A26" s="252">
        <v>22921</v>
      </c>
      <c r="B26" s="116">
        <v>2019</v>
      </c>
      <c r="C26" s="252" t="s">
        <v>278</v>
      </c>
      <c r="D26" s="477">
        <v>41</v>
      </c>
      <c r="E26" s="241">
        <v>546</v>
      </c>
      <c r="F26" s="241">
        <v>0</v>
      </c>
      <c r="G26" s="282"/>
      <c r="H26" s="283">
        <v>16</v>
      </c>
      <c r="I26" s="283">
        <v>31</v>
      </c>
      <c r="J26" s="283">
        <v>28</v>
      </c>
      <c r="K26" s="283">
        <v>22</v>
      </c>
      <c r="L26" s="283">
        <v>28</v>
      </c>
      <c r="M26" s="283">
        <v>21</v>
      </c>
      <c r="N26" s="283">
        <v>24</v>
      </c>
      <c r="O26" s="283">
        <v>18</v>
      </c>
      <c r="P26" s="283">
        <v>40</v>
      </c>
      <c r="Q26" s="283">
        <v>91</v>
      </c>
      <c r="R26" s="283">
        <v>35</v>
      </c>
      <c r="S26" s="256">
        <f t="shared" si="2"/>
        <v>354</v>
      </c>
      <c r="T26" s="512">
        <f t="shared" si="3"/>
        <v>32.18181818181818</v>
      </c>
      <c r="U26" s="513">
        <f t="shared" si="4"/>
        <v>5.9661016949152543</v>
      </c>
      <c r="V26" s="461">
        <f t="shared" si="5"/>
        <v>192</v>
      </c>
      <c r="W26" s="314">
        <v>2019</v>
      </c>
      <c r="X26" s="252" t="s">
        <v>278</v>
      </c>
      <c r="Y26" s="105"/>
      <c r="Z26" s="105"/>
      <c r="AA26" s="104"/>
      <c r="AB26" s="244">
        <v>45124</v>
      </c>
      <c r="AC26" s="245">
        <v>2022</v>
      </c>
      <c r="AD26" s="246" t="s">
        <v>581</v>
      </c>
      <c r="AE26" s="247">
        <v>376</v>
      </c>
      <c r="AF26" s="246" t="s">
        <v>102</v>
      </c>
    </row>
    <row r="27" spans="1:32" ht="15.75" customHeight="1" x14ac:dyDescent="0.2">
      <c r="A27" s="252">
        <v>168932</v>
      </c>
      <c r="B27" s="116" t="s">
        <v>338</v>
      </c>
      <c r="C27" s="252" t="s">
        <v>94</v>
      </c>
      <c r="D27" s="477">
        <v>50</v>
      </c>
      <c r="E27" s="241">
        <v>524</v>
      </c>
      <c r="F27" s="241">
        <v>0</v>
      </c>
      <c r="G27" s="283">
        <v>22</v>
      </c>
      <c r="H27" s="283">
        <v>52</v>
      </c>
      <c r="I27" s="283">
        <v>57</v>
      </c>
      <c r="J27" s="283">
        <v>33</v>
      </c>
      <c r="K27" s="283">
        <v>67</v>
      </c>
      <c r="L27" s="283">
        <v>28</v>
      </c>
      <c r="M27" s="283">
        <v>27</v>
      </c>
      <c r="N27" s="283">
        <v>38</v>
      </c>
      <c r="O27" s="283">
        <v>35</v>
      </c>
      <c r="P27" s="283">
        <v>48</v>
      </c>
      <c r="Q27" s="283">
        <v>117</v>
      </c>
      <c r="R27" s="281"/>
      <c r="S27" s="256">
        <f t="shared" si="2"/>
        <v>524</v>
      </c>
      <c r="T27" s="512">
        <f t="shared" si="3"/>
        <v>47.636363636363633</v>
      </c>
      <c r="U27" s="513">
        <f t="shared" si="4"/>
        <v>0</v>
      </c>
      <c r="V27" s="461">
        <f t="shared" si="5"/>
        <v>0</v>
      </c>
      <c r="W27" s="314" t="s">
        <v>338</v>
      </c>
      <c r="X27" s="252" t="s">
        <v>94</v>
      </c>
      <c r="Y27" s="105"/>
      <c r="Z27" s="105"/>
      <c r="AA27" s="104"/>
      <c r="AB27" s="244">
        <v>45124</v>
      </c>
      <c r="AC27" s="245">
        <v>2022</v>
      </c>
      <c r="AD27" s="246" t="s">
        <v>392</v>
      </c>
      <c r="AE27" s="247">
        <v>112</v>
      </c>
      <c r="AF27" s="246" t="s">
        <v>102</v>
      </c>
    </row>
    <row r="28" spans="1:32" ht="15.75" customHeight="1" x14ac:dyDescent="0.2">
      <c r="A28" s="252"/>
      <c r="B28" s="116">
        <v>2019</v>
      </c>
      <c r="C28" s="252" t="s">
        <v>33</v>
      </c>
      <c r="D28" s="477"/>
      <c r="E28" s="241">
        <v>59</v>
      </c>
      <c r="F28" s="241">
        <v>0</v>
      </c>
      <c r="G28" s="283">
        <v>4</v>
      </c>
      <c r="H28" s="283">
        <v>6</v>
      </c>
      <c r="I28" s="283">
        <v>7</v>
      </c>
      <c r="J28" s="283">
        <v>5</v>
      </c>
      <c r="K28" s="283">
        <v>7</v>
      </c>
      <c r="L28" s="283">
        <v>6</v>
      </c>
      <c r="M28" s="283">
        <v>8</v>
      </c>
      <c r="N28" s="283">
        <v>7</v>
      </c>
      <c r="O28" s="283">
        <v>5</v>
      </c>
      <c r="P28" s="283">
        <v>4</v>
      </c>
      <c r="Q28" s="281"/>
      <c r="R28" s="281"/>
      <c r="S28" s="256">
        <f t="shared" ref="S28:S29" si="6">SUM(G28:R28)</f>
        <v>59</v>
      </c>
      <c r="T28" s="512">
        <f t="shared" ref="T28:T29" si="7">IFERROR((AVERAGE(G28:R28)),0)</f>
        <v>5.9</v>
      </c>
      <c r="U28" s="513">
        <f t="shared" si="4"/>
        <v>0</v>
      </c>
      <c r="V28" s="461">
        <f t="shared" si="5"/>
        <v>0</v>
      </c>
      <c r="W28" s="116">
        <v>2019</v>
      </c>
      <c r="X28" s="252" t="s">
        <v>33</v>
      </c>
      <c r="Y28" s="105"/>
      <c r="Z28" s="105"/>
      <c r="AA28" s="104"/>
      <c r="AB28" s="244">
        <v>45124</v>
      </c>
      <c r="AC28" s="245">
        <v>2022</v>
      </c>
      <c r="AD28" s="246" t="s">
        <v>582</v>
      </c>
      <c r="AE28" s="247">
        <v>56</v>
      </c>
      <c r="AF28" s="246" t="s">
        <v>102</v>
      </c>
    </row>
    <row r="29" spans="1:32" ht="15.75" customHeight="1" x14ac:dyDescent="0.2">
      <c r="A29" s="252"/>
      <c r="B29" s="116">
        <v>2019</v>
      </c>
      <c r="C29" s="252" t="s">
        <v>556</v>
      </c>
      <c r="D29" s="477"/>
      <c r="E29" s="241">
        <v>120</v>
      </c>
      <c r="F29" s="241">
        <v>0</v>
      </c>
      <c r="G29" s="283">
        <v>34</v>
      </c>
      <c r="H29" s="283">
        <v>61</v>
      </c>
      <c r="I29" s="283">
        <v>17</v>
      </c>
      <c r="J29" s="283">
        <v>7</v>
      </c>
      <c r="K29" s="283">
        <v>1</v>
      </c>
      <c r="L29" s="281"/>
      <c r="M29" s="281"/>
      <c r="N29" s="281"/>
      <c r="O29" s="281"/>
      <c r="P29" s="281"/>
      <c r="Q29" s="281"/>
      <c r="R29" s="281">
        <v>-1</v>
      </c>
      <c r="S29" s="256">
        <f t="shared" si="6"/>
        <v>119</v>
      </c>
      <c r="T29" s="512">
        <f t="shared" si="7"/>
        <v>19.833333333333332</v>
      </c>
      <c r="U29" s="513">
        <f t="shared" si="4"/>
        <v>5.0420168067226892E-2</v>
      </c>
      <c r="V29" s="461">
        <f t="shared" si="5"/>
        <v>1</v>
      </c>
      <c r="W29" s="116">
        <v>2019</v>
      </c>
      <c r="X29" s="252" t="s">
        <v>556</v>
      </c>
      <c r="Y29" s="105"/>
      <c r="Z29" s="105"/>
      <c r="AA29" s="104"/>
      <c r="AB29" s="244">
        <v>45124</v>
      </c>
      <c r="AC29" s="245">
        <v>2022</v>
      </c>
      <c r="AD29" s="246" t="s">
        <v>195</v>
      </c>
      <c r="AE29" s="247">
        <v>342</v>
      </c>
      <c r="AF29" s="246" t="s">
        <v>102</v>
      </c>
    </row>
    <row r="30" spans="1:32" ht="15.75" customHeight="1" x14ac:dyDescent="0.2">
      <c r="A30" s="252">
        <v>203803</v>
      </c>
      <c r="B30" s="116">
        <v>2019</v>
      </c>
      <c r="C30" s="252" t="s">
        <v>583</v>
      </c>
      <c r="D30" s="477"/>
      <c r="E30" s="241">
        <v>96</v>
      </c>
      <c r="F30" s="241">
        <v>0</v>
      </c>
      <c r="G30" s="283"/>
      <c r="H30" s="283"/>
      <c r="I30" s="283"/>
      <c r="J30" s="283"/>
      <c r="K30" s="283"/>
      <c r="L30" s="241"/>
      <c r="M30" s="241">
        <v>4</v>
      </c>
      <c r="N30" s="241">
        <v>27</v>
      </c>
      <c r="O30" s="241">
        <v>33</v>
      </c>
      <c r="P30" s="241">
        <v>28</v>
      </c>
      <c r="Q30" s="241">
        <v>4</v>
      </c>
      <c r="R30" s="281"/>
      <c r="S30" s="256">
        <f t="shared" ref="S30" si="8">SUM(G30:R30)</f>
        <v>96</v>
      </c>
      <c r="T30" s="512">
        <f t="shared" ref="T30" si="9">IFERROR((AVERAGE(G30:R30)),0)</f>
        <v>19.2</v>
      </c>
      <c r="U30" s="513">
        <f t="shared" si="4"/>
        <v>0</v>
      </c>
      <c r="V30" s="461">
        <f t="shared" si="5"/>
        <v>0</v>
      </c>
      <c r="W30" s="116">
        <v>2019</v>
      </c>
      <c r="X30" s="252" t="s">
        <v>583</v>
      </c>
      <c r="Y30" s="105"/>
      <c r="Z30" s="105"/>
      <c r="AA30" s="104"/>
      <c r="AB30" s="244">
        <v>45258</v>
      </c>
      <c r="AC30" s="245">
        <v>2022</v>
      </c>
      <c r="AD30" s="246" t="s">
        <v>584</v>
      </c>
      <c r="AE30" s="247">
        <v>220</v>
      </c>
      <c r="AF30" s="246" t="s">
        <v>102</v>
      </c>
    </row>
    <row r="31" spans="1:32" ht="15.75" customHeight="1" x14ac:dyDescent="0.2">
      <c r="A31" s="249"/>
      <c r="B31" s="315"/>
      <c r="C31" s="249"/>
      <c r="D31" s="476"/>
      <c r="E31" s="251">
        <v>0</v>
      </c>
      <c r="F31" s="251"/>
      <c r="G31" s="251"/>
      <c r="H31" s="251"/>
      <c r="I31" s="251"/>
      <c r="J31" s="251"/>
      <c r="K31" s="251"/>
      <c r="L31" s="251"/>
      <c r="M31" s="251"/>
      <c r="N31" s="251"/>
      <c r="O31" s="251"/>
      <c r="P31" s="251"/>
      <c r="Q31" s="251"/>
      <c r="R31" s="251"/>
      <c r="S31" s="251"/>
      <c r="T31" s="510"/>
      <c r="U31" s="511"/>
      <c r="V31" s="462"/>
      <c r="W31" s="316"/>
      <c r="X31" s="249"/>
      <c r="Y31" s="105"/>
      <c r="Z31" s="105"/>
      <c r="AA31" s="104"/>
      <c r="AB31" s="244">
        <v>45258</v>
      </c>
      <c r="AC31" s="245">
        <v>2022</v>
      </c>
      <c r="AD31" s="246" t="s">
        <v>585</v>
      </c>
      <c r="AE31" s="247">
        <v>115</v>
      </c>
      <c r="AF31" s="246" t="s">
        <v>102</v>
      </c>
    </row>
    <row r="32" spans="1:32" ht="15.75" customHeight="1" x14ac:dyDescent="0.2">
      <c r="A32" s="252">
        <v>57632</v>
      </c>
      <c r="B32" s="116">
        <v>2020</v>
      </c>
      <c r="C32" s="252" t="s">
        <v>31</v>
      </c>
      <c r="D32" s="191">
        <v>27</v>
      </c>
      <c r="E32" s="241">
        <v>417</v>
      </c>
      <c r="F32" s="241">
        <v>0</v>
      </c>
      <c r="G32" s="282"/>
      <c r="H32" s="282"/>
      <c r="I32" s="282"/>
      <c r="J32" s="282"/>
      <c r="K32" s="283">
        <v>4</v>
      </c>
      <c r="L32" s="283">
        <v>15</v>
      </c>
      <c r="M32" s="283">
        <v>25</v>
      </c>
      <c r="N32" s="283">
        <v>51</v>
      </c>
      <c r="O32" s="283">
        <v>29</v>
      </c>
      <c r="P32" s="283">
        <v>30</v>
      </c>
      <c r="Q32" s="283">
        <v>21</v>
      </c>
      <c r="R32" s="283">
        <v>16</v>
      </c>
      <c r="S32" s="256">
        <f t="shared" ref="S32:S35" si="10">SUM(G32:R32)</f>
        <v>191</v>
      </c>
      <c r="T32" s="512">
        <f t="shared" ref="T32:T41" si="11">IFERROR((AVERAGE(G32:R32)),0)</f>
        <v>23.875</v>
      </c>
      <c r="U32" s="513">
        <f t="shared" ref="U32:U41" si="12">IFERROR((V32/T32),0)</f>
        <v>9.4659685863874348</v>
      </c>
      <c r="V32" s="461">
        <f t="shared" ref="V32:V41" si="13">E32+F32-S32</f>
        <v>226</v>
      </c>
      <c r="W32" s="314">
        <v>2020</v>
      </c>
      <c r="X32" s="252" t="s">
        <v>31</v>
      </c>
      <c r="Y32" s="105"/>
      <c r="Z32" s="105"/>
      <c r="AA32" s="104"/>
      <c r="AB32" s="244">
        <v>45258</v>
      </c>
      <c r="AC32" s="245">
        <v>2022</v>
      </c>
      <c r="AD32" s="246" t="s">
        <v>586</v>
      </c>
      <c r="AE32" s="247">
        <v>253</v>
      </c>
      <c r="AF32" s="246" t="s">
        <v>102</v>
      </c>
    </row>
    <row r="33" spans="1:32" ht="15.75" customHeight="1" x14ac:dyDescent="0.2">
      <c r="A33" s="522">
        <v>34641</v>
      </c>
      <c r="B33" s="116">
        <v>2020</v>
      </c>
      <c r="C33" s="252" t="s">
        <v>118</v>
      </c>
      <c r="D33" s="270" t="s">
        <v>587</v>
      </c>
      <c r="E33" s="241">
        <v>315</v>
      </c>
      <c r="F33" s="241">
        <v>0</v>
      </c>
      <c r="G33" s="283">
        <v>0</v>
      </c>
      <c r="H33" s="283">
        <v>25</v>
      </c>
      <c r="I33" s="283">
        <v>12</v>
      </c>
      <c r="J33" s="283">
        <v>7</v>
      </c>
      <c r="K33" s="283">
        <v>10</v>
      </c>
      <c r="L33" s="283">
        <v>7</v>
      </c>
      <c r="M33" s="283">
        <v>16</v>
      </c>
      <c r="N33" s="283">
        <v>48</v>
      </c>
      <c r="O33" s="283">
        <v>21</v>
      </c>
      <c r="P33" s="283">
        <v>17</v>
      </c>
      <c r="Q33" s="283">
        <v>26</v>
      </c>
      <c r="R33" s="283">
        <v>23</v>
      </c>
      <c r="S33" s="256">
        <f t="shared" si="10"/>
        <v>212</v>
      </c>
      <c r="T33" s="512">
        <f t="shared" si="11"/>
        <v>17.666666666666668</v>
      </c>
      <c r="U33" s="513">
        <f t="shared" si="12"/>
        <v>5.8301886792452828</v>
      </c>
      <c r="V33" s="461">
        <f t="shared" si="13"/>
        <v>103</v>
      </c>
      <c r="W33" s="314">
        <v>2020</v>
      </c>
      <c r="X33" s="252" t="s">
        <v>118</v>
      </c>
      <c r="Y33"/>
      <c r="Z33"/>
      <c r="AA33" s="104"/>
      <c r="AB33" s="244">
        <v>45259</v>
      </c>
      <c r="AC33" s="245">
        <v>2022</v>
      </c>
      <c r="AD33" s="246" t="s">
        <v>220</v>
      </c>
      <c r="AE33" s="247">
        <v>395</v>
      </c>
      <c r="AF33" s="246" t="s">
        <v>102</v>
      </c>
    </row>
    <row r="34" spans="1:32" ht="15.75" customHeight="1" x14ac:dyDescent="0.2">
      <c r="A34" s="252">
        <v>133688</v>
      </c>
      <c r="B34" s="116">
        <v>2020</v>
      </c>
      <c r="C34" s="252" t="s">
        <v>23</v>
      </c>
      <c r="D34" s="481">
        <v>30</v>
      </c>
      <c r="E34" s="241">
        <v>384</v>
      </c>
      <c r="F34" s="241">
        <v>0</v>
      </c>
      <c r="G34" s="282"/>
      <c r="H34" s="282"/>
      <c r="I34" s="282"/>
      <c r="J34" s="282"/>
      <c r="K34" s="282"/>
      <c r="L34" s="282"/>
      <c r="M34" s="282"/>
      <c r="N34" s="282"/>
      <c r="O34" s="282"/>
      <c r="P34" s="282"/>
      <c r="Q34" s="282"/>
      <c r="R34" s="282"/>
      <c r="S34" s="256">
        <f t="shared" si="10"/>
        <v>0</v>
      </c>
      <c r="T34" s="512">
        <f t="shared" si="11"/>
        <v>0</v>
      </c>
      <c r="U34" s="513">
        <f t="shared" si="12"/>
        <v>0</v>
      </c>
      <c r="V34" s="461">
        <f t="shared" si="13"/>
        <v>384</v>
      </c>
      <c r="W34" s="314">
        <v>2020</v>
      </c>
      <c r="X34" s="252" t="s">
        <v>23</v>
      </c>
      <c r="Y34"/>
      <c r="Z34"/>
      <c r="AA34" s="104"/>
      <c r="AB34" s="244">
        <v>45259</v>
      </c>
      <c r="AC34" s="245">
        <v>2022</v>
      </c>
      <c r="AD34" s="246" t="s">
        <v>214</v>
      </c>
      <c r="AE34" s="247">
        <v>317</v>
      </c>
      <c r="AF34" s="246" t="s">
        <v>102</v>
      </c>
    </row>
    <row r="35" spans="1:32" ht="15.75" customHeight="1" x14ac:dyDescent="0.2">
      <c r="A35" s="252">
        <v>133687</v>
      </c>
      <c r="B35" s="116">
        <v>2020</v>
      </c>
      <c r="C35" s="252" t="s">
        <v>93</v>
      </c>
      <c r="D35" s="481">
        <v>12</v>
      </c>
      <c r="E35" s="241">
        <v>234</v>
      </c>
      <c r="F35" s="241">
        <v>0</v>
      </c>
      <c r="G35" s="282"/>
      <c r="H35" s="282"/>
      <c r="I35" s="282"/>
      <c r="J35" s="282"/>
      <c r="K35" s="282"/>
      <c r="L35" s="282"/>
      <c r="M35" s="282"/>
      <c r="N35" s="282"/>
      <c r="O35" s="282"/>
      <c r="P35" s="282"/>
      <c r="Q35" s="241">
        <v>4</v>
      </c>
      <c r="R35" s="241">
        <v>22</v>
      </c>
      <c r="S35" s="256">
        <f t="shared" si="10"/>
        <v>26</v>
      </c>
      <c r="T35" s="512">
        <f t="shared" si="11"/>
        <v>13</v>
      </c>
      <c r="U35" s="513">
        <f t="shared" si="12"/>
        <v>16</v>
      </c>
      <c r="V35" s="461">
        <f t="shared" si="13"/>
        <v>208</v>
      </c>
      <c r="W35" s="314">
        <v>2020</v>
      </c>
      <c r="X35" s="252" t="s">
        <v>393</v>
      </c>
      <c r="Y35"/>
      <c r="Z35"/>
      <c r="AA35" s="104"/>
      <c r="AB35" s="244">
        <v>45259</v>
      </c>
      <c r="AC35" s="245">
        <v>2022</v>
      </c>
      <c r="AD35" s="246" t="s">
        <v>588</v>
      </c>
      <c r="AE35" s="247">
        <v>256</v>
      </c>
      <c r="AF35" s="246" t="s">
        <v>102</v>
      </c>
    </row>
    <row r="36" spans="1:32" ht="15.75" customHeight="1" x14ac:dyDescent="0.2">
      <c r="A36" s="252">
        <v>27736</v>
      </c>
      <c r="B36" s="116">
        <v>2020</v>
      </c>
      <c r="C36" s="252" t="s">
        <v>70</v>
      </c>
      <c r="D36" s="481">
        <v>52</v>
      </c>
      <c r="E36" s="241">
        <v>300</v>
      </c>
      <c r="F36" s="241">
        <v>0</v>
      </c>
      <c r="G36" s="282"/>
      <c r="H36" s="283">
        <v>31</v>
      </c>
      <c r="I36" s="283">
        <v>14</v>
      </c>
      <c r="J36" s="283">
        <v>19</v>
      </c>
      <c r="K36" s="283">
        <v>57</v>
      </c>
      <c r="L36" s="283">
        <v>15</v>
      </c>
      <c r="M36" s="283">
        <v>11</v>
      </c>
      <c r="N36" s="283">
        <v>14</v>
      </c>
      <c r="O36" s="283">
        <v>8</v>
      </c>
      <c r="P36" s="283">
        <v>17</v>
      </c>
      <c r="Q36" s="283">
        <v>23</v>
      </c>
      <c r="R36" s="283">
        <v>14</v>
      </c>
      <c r="S36" s="256">
        <f t="shared" ref="S36:S40" si="14">SUM(G36:R36)</f>
        <v>223</v>
      </c>
      <c r="T36" s="512">
        <f t="shared" si="11"/>
        <v>20.272727272727273</v>
      </c>
      <c r="U36" s="513">
        <f t="shared" si="12"/>
        <v>3.7982062780269059</v>
      </c>
      <c r="V36" s="461">
        <f t="shared" si="13"/>
        <v>77</v>
      </c>
      <c r="W36" s="314">
        <v>2020</v>
      </c>
      <c r="X36" s="252" t="s">
        <v>70</v>
      </c>
      <c r="Y36"/>
      <c r="Z36"/>
      <c r="AA36" s="104"/>
      <c r="AB36" s="150"/>
      <c r="AC36" s="104"/>
      <c r="AD36" s="104"/>
      <c r="AE36" s="104"/>
      <c r="AF36" s="104"/>
    </row>
    <row r="37" spans="1:32" x14ac:dyDescent="0.2">
      <c r="A37" s="252">
        <v>135370</v>
      </c>
      <c r="B37" s="116">
        <v>2020</v>
      </c>
      <c r="C37" s="252" t="s">
        <v>217</v>
      </c>
      <c r="D37" s="481" t="s">
        <v>587</v>
      </c>
      <c r="E37" s="241">
        <v>266</v>
      </c>
      <c r="F37" s="241">
        <v>0</v>
      </c>
      <c r="G37" s="241">
        <v>8</v>
      </c>
      <c r="H37" s="282">
        <v>2</v>
      </c>
      <c r="I37" s="282"/>
      <c r="J37" s="282"/>
      <c r="K37" s="282"/>
      <c r="L37" s="241">
        <v>15</v>
      </c>
      <c r="M37" s="241">
        <v>5</v>
      </c>
      <c r="N37" s="241">
        <v>8</v>
      </c>
      <c r="O37" s="241">
        <v>4</v>
      </c>
      <c r="P37" s="241">
        <v>8</v>
      </c>
      <c r="Q37" s="241">
        <v>27</v>
      </c>
      <c r="R37" s="241">
        <v>16</v>
      </c>
      <c r="S37" s="256">
        <f t="shared" ref="S37" si="15">SUM(G37:R37)</f>
        <v>93</v>
      </c>
      <c r="T37" s="512">
        <f t="shared" si="11"/>
        <v>10.333333333333334</v>
      </c>
      <c r="U37" s="513">
        <f t="shared" si="12"/>
        <v>16.741935483870968</v>
      </c>
      <c r="V37" s="461">
        <f t="shared" si="13"/>
        <v>173</v>
      </c>
      <c r="W37" s="314">
        <v>2020</v>
      </c>
      <c r="X37" s="252" t="s">
        <v>505</v>
      </c>
      <c r="Y37"/>
      <c r="Z37"/>
      <c r="AA37" s="104"/>
      <c r="AB37" s="150"/>
      <c r="AC37" s="104"/>
      <c r="AD37" s="104"/>
      <c r="AE37" s="104" t="s">
        <v>35</v>
      </c>
      <c r="AF37" s="104"/>
    </row>
    <row r="38" spans="1:32" ht="15.75" customHeight="1" x14ac:dyDescent="0.2">
      <c r="A38" s="252">
        <v>135371</v>
      </c>
      <c r="B38" s="116">
        <v>2020</v>
      </c>
      <c r="C38" s="252" t="s">
        <v>307</v>
      </c>
      <c r="D38" s="482">
        <v>15</v>
      </c>
      <c r="E38" s="241">
        <v>139</v>
      </c>
      <c r="F38" s="241">
        <v>0</v>
      </c>
      <c r="G38" s="282"/>
      <c r="H38" s="282"/>
      <c r="I38" s="282"/>
      <c r="J38" s="282"/>
      <c r="K38" s="282"/>
      <c r="L38" s="282"/>
      <c r="M38" s="282"/>
      <c r="N38" s="282"/>
      <c r="O38" s="282"/>
      <c r="P38" s="282"/>
      <c r="Q38" s="241">
        <v>24</v>
      </c>
      <c r="R38" s="241">
        <v>28</v>
      </c>
      <c r="S38" s="256">
        <f t="shared" si="14"/>
        <v>52</v>
      </c>
      <c r="T38" s="512">
        <f t="shared" si="11"/>
        <v>26</v>
      </c>
      <c r="U38" s="513">
        <f t="shared" si="12"/>
        <v>3.3461538461538463</v>
      </c>
      <c r="V38" s="461">
        <f t="shared" si="13"/>
        <v>87</v>
      </c>
      <c r="W38" s="314">
        <v>2020</v>
      </c>
      <c r="X38" s="252" t="s">
        <v>307</v>
      </c>
      <c r="Y38"/>
      <c r="Z38" s="124"/>
      <c r="AA38" s="104"/>
      <c r="AB38"/>
      <c r="AC38"/>
      <c r="AD38"/>
      <c r="AE38" s="71" t="s">
        <v>35</v>
      </c>
      <c r="AF38"/>
    </row>
    <row r="39" spans="1:32" ht="15.75" customHeight="1" x14ac:dyDescent="0.2">
      <c r="A39" s="252">
        <v>133687</v>
      </c>
      <c r="B39" s="116">
        <v>2020</v>
      </c>
      <c r="C39" s="252" t="s">
        <v>278</v>
      </c>
      <c r="D39" s="481">
        <v>41</v>
      </c>
      <c r="E39" s="241">
        <v>662</v>
      </c>
      <c r="F39" s="241">
        <v>0</v>
      </c>
      <c r="G39" s="282"/>
      <c r="H39" s="282"/>
      <c r="I39" s="282"/>
      <c r="J39" s="282"/>
      <c r="K39" s="282"/>
      <c r="L39" s="282"/>
      <c r="M39" s="282"/>
      <c r="N39" s="282"/>
      <c r="O39" s="282"/>
      <c r="P39" s="282"/>
      <c r="Q39" s="282"/>
      <c r="R39" s="282"/>
      <c r="S39" s="256">
        <f t="shared" si="14"/>
        <v>0</v>
      </c>
      <c r="T39" s="512">
        <f t="shared" si="11"/>
        <v>0</v>
      </c>
      <c r="U39" s="513">
        <f t="shared" si="12"/>
        <v>0</v>
      </c>
      <c r="V39" s="461">
        <f t="shared" si="13"/>
        <v>662</v>
      </c>
      <c r="W39" s="314">
        <v>2020</v>
      </c>
      <c r="X39" s="252" t="s">
        <v>278</v>
      </c>
      <c r="Y39"/>
      <c r="Z39" s="124"/>
      <c r="AA39" s="104"/>
      <c r="AB39" s="105"/>
      <c r="AC39" s="104"/>
      <c r="AD39" s="104"/>
      <c r="AE39" s="104"/>
      <c r="AF39" s="104"/>
    </row>
    <row r="40" spans="1:32" ht="15.75" customHeight="1" x14ac:dyDescent="0.2">
      <c r="A40" s="252">
        <v>168932</v>
      </c>
      <c r="B40" s="116" t="s">
        <v>508</v>
      </c>
      <c r="C40" s="252" t="s">
        <v>94</v>
      </c>
      <c r="D40" s="481">
        <v>50</v>
      </c>
      <c r="E40" s="241">
        <v>594</v>
      </c>
      <c r="F40" s="241">
        <v>0</v>
      </c>
      <c r="G40" s="282"/>
      <c r="H40" s="282">
        <v>5</v>
      </c>
      <c r="I40" s="282"/>
      <c r="J40" s="282">
        <v>5</v>
      </c>
      <c r="K40" s="282"/>
      <c r="L40" s="282"/>
      <c r="M40" s="282"/>
      <c r="N40" s="282"/>
      <c r="O40" s="282"/>
      <c r="P40" s="282"/>
      <c r="Q40" s="241">
        <v>18</v>
      </c>
      <c r="R40" s="241">
        <v>55</v>
      </c>
      <c r="S40" s="256">
        <f t="shared" si="14"/>
        <v>83</v>
      </c>
      <c r="T40" s="512">
        <f t="shared" si="11"/>
        <v>20.75</v>
      </c>
      <c r="U40" s="513">
        <f t="shared" si="12"/>
        <v>24.626506024096386</v>
      </c>
      <c r="V40" s="461">
        <f t="shared" si="13"/>
        <v>511</v>
      </c>
      <c r="W40" s="314" t="s">
        <v>508</v>
      </c>
      <c r="X40" s="252" t="s">
        <v>94</v>
      </c>
      <c r="Y40"/>
      <c r="Z40" s="124"/>
      <c r="AA40" s="104"/>
      <c r="AB40" s="105"/>
      <c r="AC40" s="104"/>
      <c r="AD40" s="104"/>
      <c r="AE40" s="104"/>
      <c r="AF40" s="104"/>
    </row>
    <row r="41" spans="1:32" ht="15.75" customHeight="1" x14ac:dyDescent="0.25">
      <c r="A41" s="252">
        <v>115264</v>
      </c>
      <c r="B41" s="116">
        <v>2020</v>
      </c>
      <c r="C41" s="252" t="s">
        <v>589</v>
      </c>
      <c r="D41" s="481" t="s">
        <v>587</v>
      </c>
      <c r="E41" s="241">
        <v>76</v>
      </c>
      <c r="F41" s="241">
        <v>0</v>
      </c>
      <c r="G41" s="283">
        <v>0</v>
      </c>
      <c r="H41" s="283">
        <v>9</v>
      </c>
      <c r="I41" s="283">
        <v>2</v>
      </c>
      <c r="J41" s="283">
        <v>1</v>
      </c>
      <c r="K41" s="283">
        <v>1</v>
      </c>
      <c r="L41" s="283">
        <v>1</v>
      </c>
      <c r="M41" s="283">
        <v>2</v>
      </c>
      <c r="N41" s="283">
        <v>0</v>
      </c>
      <c r="O41" s="283">
        <v>6</v>
      </c>
      <c r="P41" s="283">
        <v>1</v>
      </c>
      <c r="Q41" s="283">
        <v>11</v>
      </c>
      <c r="R41" s="283">
        <v>4</v>
      </c>
      <c r="S41" s="256">
        <f t="shared" ref="S41" si="16">SUM(G41:R41)</f>
        <v>38</v>
      </c>
      <c r="T41" s="512">
        <f t="shared" si="11"/>
        <v>3.1666666666666665</v>
      </c>
      <c r="U41" s="513">
        <f t="shared" si="12"/>
        <v>12</v>
      </c>
      <c r="V41" s="461">
        <f t="shared" si="13"/>
        <v>38</v>
      </c>
      <c r="W41" s="314">
        <v>2020</v>
      </c>
      <c r="X41" s="252" t="s">
        <v>590</v>
      </c>
      <c r="Y41"/>
      <c r="Z41" s="124"/>
      <c r="AA41" s="104"/>
      <c r="AB41" s="580" t="s">
        <v>591</v>
      </c>
      <c r="AC41" s="580"/>
      <c r="AD41" s="580"/>
      <c r="AE41" s="580"/>
      <c r="AF41" s="580"/>
    </row>
    <row r="42" spans="1:32" ht="15.75" customHeight="1" x14ac:dyDescent="0.2">
      <c r="A42" s="249"/>
      <c r="B42" s="315"/>
      <c r="C42" s="249"/>
      <c r="D42" s="249"/>
      <c r="E42" s="509">
        <v>0</v>
      </c>
      <c r="F42" s="509"/>
      <c r="G42" s="509"/>
      <c r="H42" s="509"/>
      <c r="I42" s="509"/>
      <c r="J42" s="509"/>
      <c r="K42" s="509"/>
      <c r="L42" s="509"/>
      <c r="M42" s="509"/>
      <c r="N42" s="509"/>
      <c r="O42" s="509"/>
      <c r="P42" s="509"/>
      <c r="Q42" s="509"/>
      <c r="R42" s="509"/>
      <c r="S42" s="251">
        <f t="shared" ref="S42:S94" si="17">SUM(G42:R42)</f>
        <v>0</v>
      </c>
      <c r="T42" s="510"/>
      <c r="U42" s="511"/>
      <c r="V42" s="462"/>
      <c r="W42" s="316"/>
      <c r="X42" s="249"/>
      <c r="Y42"/>
      <c r="Z42" s="124"/>
      <c r="AA42" s="104"/>
      <c r="AB42" s="265" t="s">
        <v>395</v>
      </c>
      <c r="AC42" s="266" t="s">
        <v>396</v>
      </c>
      <c r="AD42" s="267" t="s">
        <v>397</v>
      </c>
      <c r="AE42" s="267" t="s">
        <v>398</v>
      </c>
      <c r="AF42" s="267" t="s">
        <v>399</v>
      </c>
    </row>
    <row r="43" spans="1:32" ht="15.75" customHeight="1" x14ac:dyDescent="0.2">
      <c r="A43" s="252">
        <v>11198</v>
      </c>
      <c r="B43" s="116">
        <v>2021</v>
      </c>
      <c r="C43" s="252" t="s">
        <v>46</v>
      </c>
      <c r="D43" s="477">
        <v>27</v>
      </c>
      <c r="E43" s="241">
        <v>287</v>
      </c>
      <c r="F43" s="241">
        <v>0</v>
      </c>
      <c r="G43" s="283">
        <v>11</v>
      </c>
      <c r="H43" s="283">
        <v>30</v>
      </c>
      <c r="I43" s="283">
        <v>21</v>
      </c>
      <c r="J43" s="283">
        <v>19</v>
      </c>
      <c r="K43" s="283">
        <v>66</v>
      </c>
      <c r="L43" s="283">
        <v>28</v>
      </c>
      <c r="M43" s="283">
        <v>27</v>
      </c>
      <c r="N43" s="283">
        <v>25</v>
      </c>
      <c r="O43" s="283">
        <v>23</v>
      </c>
      <c r="P43" s="283">
        <v>27</v>
      </c>
      <c r="Q43" s="283">
        <v>10</v>
      </c>
      <c r="R43" s="281"/>
      <c r="S43" s="256">
        <f t="shared" si="17"/>
        <v>287</v>
      </c>
      <c r="T43" s="512">
        <f t="shared" ref="T43:T61" si="18">IFERROR((AVERAGE(G43:R43)),0)</f>
        <v>26.09090909090909</v>
      </c>
      <c r="U43" s="513">
        <f t="shared" ref="U43:U61" si="19">IFERROR((V43/T43),0)</f>
        <v>0</v>
      </c>
      <c r="V43" s="461">
        <f t="shared" ref="V43:V62" si="20">E43+F43-S43</f>
        <v>0</v>
      </c>
      <c r="W43" s="314">
        <v>2021</v>
      </c>
      <c r="X43" s="252" t="s">
        <v>46</v>
      </c>
      <c r="Y43"/>
      <c r="Z43" s="124"/>
      <c r="AA43" s="104"/>
      <c r="AB43" s="265">
        <v>44986</v>
      </c>
      <c r="AC43" s="266">
        <v>2022</v>
      </c>
      <c r="AD43" s="267" t="s">
        <v>592</v>
      </c>
      <c r="AE43" s="267">
        <v>111</v>
      </c>
      <c r="AF43" s="267" t="s">
        <v>102</v>
      </c>
    </row>
    <row r="44" spans="1:32" ht="15.75" customHeight="1" x14ac:dyDescent="0.2">
      <c r="A44" s="252">
        <v>168933</v>
      </c>
      <c r="B44" s="116">
        <v>2021</v>
      </c>
      <c r="C44" s="252" t="s">
        <v>468</v>
      </c>
      <c r="D44" s="190">
        <v>20</v>
      </c>
      <c r="E44" s="241">
        <v>73</v>
      </c>
      <c r="F44" s="241">
        <v>0</v>
      </c>
      <c r="G44" s="283">
        <v>7</v>
      </c>
      <c r="H44" s="283">
        <v>14</v>
      </c>
      <c r="I44" s="283">
        <v>13</v>
      </c>
      <c r="J44" s="283">
        <v>12</v>
      </c>
      <c r="K44" s="283">
        <v>27</v>
      </c>
      <c r="L44" s="281"/>
      <c r="M44" s="281"/>
      <c r="N44" s="281"/>
      <c r="O44" s="281"/>
      <c r="P44" s="281"/>
      <c r="Q44" s="281"/>
      <c r="R44" s="281"/>
      <c r="S44" s="256">
        <f t="shared" ref="S44" si="21">SUM(G44:R44)</f>
        <v>73</v>
      </c>
      <c r="T44" s="512">
        <f t="shared" si="18"/>
        <v>14.6</v>
      </c>
      <c r="U44" s="513">
        <f t="shared" si="19"/>
        <v>0</v>
      </c>
      <c r="V44" s="461">
        <f t="shared" si="20"/>
        <v>0</v>
      </c>
      <c r="W44" s="314">
        <v>2021</v>
      </c>
      <c r="X44" s="252" t="s">
        <v>468</v>
      </c>
      <c r="Y44"/>
      <c r="Z44" s="124"/>
      <c r="AA44" s="104"/>
      <c r="AB44" s="265">
        <v>44986</v>
      </c>
      <c r="AC44" s="266">
        <v>2022</v>
      </c>
      <c r="AD44" s="267" t="s">
        <v>593</v>
      </c>
      <c r="AE44" s="267">
        <v>82</v>
      </c>
      <c r="AF44" s="267" t="s">
        <v>102</v>
      </c>
    </row>
    <row r="45" spans="1:32" ht="15.75" customHeight="1" x14ac:dyDescent="0.2">
      <c r="A45" s="252">
        <v>57632</v>
      </c>
      <c r="B45" s="116">
        <v>2021</v>
      </c>
      <c r="C45" s="252" t="s">
        <v>31</v>
      </c>
      <c r="D45" s="191">
        <v>27</v>
      </c>
      <c r="E45" s="241">
        <v>240</v>
      </c>
      <c r="F45" s="241">
        <v>0</v>
      </c>
      <c r="G45" s="282"/>
      <c r="H45" s="282"/>
      <c r="I45" s="282"/>
      <c r="J45" s="282"/>
      <c r="K45" s="282"/>
      <c r="L45" s="282"/>
      <c r="M45" s="282"/>
      <c r="N45" s="282"/>
      <c r="O45" s="282"/>
      <c r="P45" s="282"/>
      <c r="Q45" s="282"/>
      <c r="R45" s="282"/>
      <c r="S45" s="256">
        <f t="shared" si="17"/>
        <v>0</v>
      </c>
      <c r="T45" s="512">
        <f t="shared" si="18"/>
        <v>0</v>
      </c>
      <c r="U45" s="513">
        <f t="shared" si="19"/>
        <v>0</v>
      </c>
      <c r="V45" s="461">
        <f t="shared" si="20"/>
        <v>240</v>
      </c>
      <c r="W45" s="314">
        <v>2021</v>
      </c>
      <c r="X45" s="252" t="s">
        <v>31</v>
      </c>
      <c r="Y45"/>
      <c r="Z45" s="124"/>
      <c r="AA45" s="104"/>
      <c r="AB45" s="265">
        <v>44986</v>
      </c>
      <c r="AC45" s="266">
        <v>2022</v>
      </c>
      <c r="AD45" s="267" t="s">
        <v>594</v>
      </c>
      <c r="AE45" s="267">
        <v>300</v>
      </c>
      <c r="AF45" s="267" t="s">
        <v>102</v>
      </c>
    </row>
    <row r="46" spans="1:32" ht="15.75" customHeight="1" x14ac:dyDescent="0.2">
      <c r="A46" s="252">
        <v>57630</v>
      </c>
      <c r="B46" s="116">
        <v>2021</v>
      </c>
      <c r="C46" s="252" t="s">
        <v>25</v>
      </c>
      <c r="D46" s="477">
        <v>34</v>
      </c>
      <c r="E46" s="241">
        <v>290</v>
      </c>
      <c r="F46" s="241">
        <v>0</v>
      </c>
      <c r="G46" s="282"/>
      <c r="H46" s="282"/>
      <c r="I46" s="282"/>
      <c r="J46" s="282"/>
      <c r="K46" s="282"/>
      <c r="L46" s="282"/>
      <c r="M46" s="282"/>
      <c r="N46" s="282"/>
      <c r="O46" s="282"/>
      <c r="P46" s="282"/>
      <c r="Q46" s="282"/>
      <c r="R46" s="282"/>
      <c r="S46" s="256">
        <f t="shared" si="17"/>
        <v>0</v>
      </c>
      <c r="T46" s="512">
        <f t="shared" si="18"/>
        <v>0</v>
      </c>
      <c r="U46" s="513">
        <f t="shared" si="19"/>
        <v>0</v>
      </c>
      <c r="V46" s="461">
        <f t="shared" si="20"/>
        <v>290</v>
      </c>
      <c r="W46" s="314">
        <v>2021</v>
      </c>
      <c r="X46" s="252" t="s">
        <v>25</v>
      </c>
      <c r="Y46"/>
      <c r="Z46" s="124"/>
      <c r="AA46" s="104"/>
      <c r="AB46" s="265">
        <v>45021</v>
      </c>
      <c r="AC46" s="266">
        <v>2022</v>
      </c>
      <c r="AD46" s="267" t="s">
        <v>536</v>
      </c>
      <c r="AE46" s="267">
        <v>404</v>
      </c>
      <c r="AF46" s="267" t="s">
        <v>102</v>
      </c>
    </row>
    <row r="47" spans="1:32" ht="15.75" customHeight="1" x14ac:dyDescent="0.2">
      <c r="A47" s="252">
        <v>111575</v>
      </c>
      <c r="B47" s="116">
        <v>2021</v>
      </c>
      <c r="C47" s="252" t="s">
        <v>110</v>
      </c>
      <c r="D47" s="477">
        <v>27</v>
      </c>
      <c r="E47" s="241">
        <v>349</v>
      </c>
      <c r="F47" s="241">
        <v>0</v>
      </c>
      <c r="G47" s="283">
        <v>13</v>
      </c>
      <c r="H47" s="283">
        <v>55</v>
      </c>
      <c r="I47" s="283">
        <v>22</v>
      </c>
      <c r="J47" s="283">
        <v>20</v>
      </c>
      <c r="K47" s="283">
        <v>26</v>
      </c>
      <c r="L47" s="283">
        <v>18</v>
      </c>
      <c r="M47" s="283">
        <v>32</v>
      </c>
      <c r="N47" s="283">
        <v>29</v>
      </c>
      <c r="O47" s="283">
        <v>19</v>
      </c>
      <c r="P47" s="283">
        <v>11</v>
      </c>
      <c r="Q47" s="283">
        <v>15</v>
      </c>
      <c r="R47" s="283">
        <v>11</v>
      </c>
      <c r="S47" s="256">
        <f t="shared" ref="S47:S50" si="22">SUM(G47:R47)</f>
        <v>271</v>
      </c>
      <c r="T47" s="512">
        <f t="shared" si="18"/>
        <v>22.583333333333332</v>
      </c>
      <c r="U47" s="513">
        <f t="shared" si="19"/>
        <v>3.4538745387453877</v>
      </c>
      <c r="V47" s="461">
        <f t="shared" si="20"/>
        <v>78</v>
      </c>
      <c r="W47" s="314">
        <v>2021</v>
      </c>
      <c r="X47" s="252" t="s">
        <v>110</v>
      </c>
      <c r="Y47"/>
      <c r="Z47" s="124"/>
      <c r="AA47" s="104"/>
      <c r="AB47" s="265">
        <v>45021</v>
      </c>
      <c r="AC47" s="266">
        <v>2022</v>
      </c>
      <c r="AD47" s="267" t="s">
        <v>595</v>
      </c>
      <c r="AE47" s="267">
        <v>454</v>
      </c>
      <c r="AF47" s="267" t="s">
        <v>102</v>
      </c>
    </row>
    <row r="48" spans="1:32" ht="15.75" customHeight="1" x14ac:dyDescent="0.2">
      <c r="A48" s="252">
        <v>178211</v>
      </c>
      <c r="B48" s="116">
        <v>2021</v>
      </c>
      <c r="C48" s="252" t="s">
        <v>544</v>
      </c>
      <c r="D48" s="477"/>
      <c r="E48" s="241">
        <v>12</v>
      </c>
      <c r="F48" s="241">
        <v>0</v>
      </c>
      <c r="G48" s="283">
        <v>0</v>
      </c>
      <c r="H48" s="283">
        <v>3</v>
      </c>
      <c r="I48" s="283">
        <v>4</v>
      </c>
      <c r="J48" s="283">
        <v>5</v>
      </c>
      <c r="K48" s="281"/>
      <c r="L48" s="281"/>
      <c r="M48" s="281"/>
      <c r="N48" s="281"/>
      <c r="O48" s="281"/>
      <c r="P48" s="281"/>
      <c r="Q48" s="281"/>
      <c r="R48" s="281"/>
      <c r="S48" s="256">
        <f t="shared" si="22"/>
        <v>12</v>
      </c>
      <c r="T48" s="512">
        <f t="shared" si="18"/>
        <v>3</v>
      </c>
      <c r="U48" s="513">
        <f t="shared" si="19"/>
        <v>0</v>
      </c>
      <c r="V48" s="461">
        <f t="shared" si="20"/>
        <v>0</v>
      </c>
      <c r="W48" s="252"/>
      <c r="X48" s="252" t="s">
        <v>544</v>
      </c>
      <c r="Y48"/>
      <c r="Z48"/>
      <c r="AA48" s="104"/>
      <c r="AB48" s="265">
        <v>45021</v>
      </c>
      <c r="AC48" s="266">
        <v>2022</v>
      </c>
      <c r="AD48" s="267" t="s">
        <v>596</v>
      </c>
      <c r="AE48" s="267">
        <v>137</v>
      </c>
      <c r="AF48" s="267" t="s">
        <v>102</v>
      </c>
    </row>
    <row r="49" spans="1:32" ht="15.75" customHeight="1" x14ac:dyDescent="0.2">
      <c r="A49" s="252">
        <v>179588</v>
      </c>
      <c r="B49" s="116">
        <v>2021</v>
      </c>
      <c r="C49" s="252" t="s">
        <v>545</v>
      </c>
      <c r="D49" s="477"/>
      <c r="E49" s="241">
        <v>13</v>
      </c>
      <c r="F49" s="241">
        <v>0</v>
      </c>
      <c r="G49" s="283">
        <v>0</v>
      </c>
      <c r="H49" s="283">
        <v>3</v>
      </c>
      <c r="I49" s="283">
        <v>4</v>
      </c>
      <c r="J49" s="283">
        <v>6</v>
      </c>
      <c r="K49" s="281"/>
      <c r="L49" s="281"/>
      <c r="M49" s="281"/>
      <c r="N49" s="281"/>
      <c r="O49" s="281"/>
      <c r="P49" s="281"/>
      <c r="Q49" s="281"/>
      <c r="R49" s="281"/>
      <c r="S49" s="256">
        <f t="shared" si="22"/>
        <v>13</v>
      </c>
      <c r="T49" s="512">
        <f t="shared" si="18"/>
        <v>3.25</v>
      </c>
      <c r="U49" s="513">
        <f t="shared" si="19"/>
        <v>0</v>
      </c>
      <c r="V49" s="461">
        <f t="shared" si="20"/>
        <v>0</v>
      </c>
      <c r="W49" s="252"/>
      <c r="X49" s="252" t="s">
        <v>545</v>
      </c>
      <c r="Y49"/>
      <c r="Z49"/>
      <c r="AA49" s="104"/>
      <c r="AB49" s="265">
        <v>45058</v>
      </c>
      <c r="AC49" s="266">
        <v>2022</v>
      </c>
      <c r="AD49" s="267" t="s">
        <v>597</v>
      </c>
      <c r="AE49" s="267">
        <v>2</v>
      </c>
      <c r="AF49" s="267" t="s">
        <v>102</v>
      </c>
    </row>
    <row r="50" spans="1:32" ht="15.75" customHeight="1" x14ac:dyDescent="0.2">
      <c r="A50" s="252"/>
      <c r="B50" s="116">
        <v>2021</v>
      </c>
      <c r="C50" s="252" t="s">
        <v>546</v>
      </c>
      <c r="D50" s="477"/>
      <c r="E50" s="241">
        <v>23</v>
      </c>
      <c r="F50" s="241">
        <v>0</v>
      </c>
      <c r="G50" s="283">
        <v>2</v>
      </c>
      <c r="H50" s="283">
        <v>4</v>
      </c>
      <c r="I50" s="283">
        <v>3</v>
      </c>
      <c r="J50" s="283">
        <v>14</v>
      </c>
      <c r="K50" s="281"/>
      <c r="L50" s="281"/>
      <c r="M50" s="281"/>
      <c r="N50" s="281"/>
      <c r="O50" s="281"/>
      <c r="P50" s="281"/>
      <c r="Q50" s="281"/>
      <c r="R50" s="281"/>
      <c r="S50" s="256">
        <f t="shared" si="22"/>
        <v>23</v>
      </c>
      <c r="T50" s="512">
        <f t="shared" si="18"/>
        <v>5.75</v>
      </c>
      <c r="U50" s="513">
        <f t="shared" si="19"/>
        <v>0</v>
      </c>
      <c r="V50" s="461">
        <f t="shared" si="20"/>
        <v>0</v>
      </c>
      <c r="W50" s="314"/>
      <c r="X50" s="252" t="s">
        <v>546</v>
      </c>
      <c r="Y50"/>
      <c r="Z50"/>
      <c r="AA50" s="104"/>
      <c r="AB50" s="265">
        <v>45058</v>
      </c>
      <c r="AC50" s="266">
        <v>2022</v>
      </c>
      <c r="AD50" s="267" t="s">
        <v>598</v>
      </c>
      <c r="AE50" s="267">
        <v>3</v>
      </c>
      <c r="AF50" s="267" t="s">
        <v>102</v>
      </c>
    </row>
    <row r="51" spans="1:32" ht="15.75" customHeight="1" x14ac:dyDescent="0.2">
      <c r="A51" s="252">
        <v>133688</v>
      </c>
      <c r="B51" s="116">
        <v>2021</v>
      </c>
      <c r="C51" s="252" t="s">
        <v>23</v>
      </c>
      <c r="D51" s="481">
        <v>30</v>
      </c>
      <c r="E51" s="241">
        <v>315</v>
      </c>
      <c r="F51" s="241">
        <v>0</v>
      </c>
      <c r="G51" s="282">
        <v>9</v>
      </c>
      <c r="H51" s="282">
        <v>5</v>
      </c>
      <c r="I51" s="282"/>
      <c r="J51" s="282"/>
      <c r="K51" s="282"/>
      <c r="L51" s="282"/>
      <c r="M51" s="282"/>
      <c r="N51" s="282"/>
      <c r="O51" s="282"/>
      <c r="P51" s="282"/>
      <c r="Q51" s="282"/>
      <c r="R51" s="282">
        <v>15</v>
      </c>
      <c r="S51" s="256">
        <f t="shared" si="17"/>
        <v>29</v>
      </c>
      <c r="T51" s="512">
        <f t="shared" si="18"/>
        <v>9.6666666666666661</v>
      </c>
      <c r="U51" s="513">
        <f t="shared" si="19"/>
        <v>29.586206896551726</v>
      </c>
      <c r="V51" s="461">
        <f t="shared" si="20"/>
        <v>286</v>
      </c>
      <c r="W51" s="314">
        <v>2021</v>
      </c>
      <c r="X51" s="252" t="s">
        <v>23</v>
      </c>
      <c r="Y51"/>
      <c r="Z51"/>
      <c r="AA51" s="104"/>
      <c r="AB51" s="265">
        <v>45058</v>
      </c>
      <c r="AC51" s="266">
        <v>2022</v>
      </c>
      <c r="AD51" s="267" t="s">
        <v>599</v>
      </c>
      <c r="AE51" s="267">
        <v>2</v>
      </c>
      <c r="AF51" s="267" t="s">
        <v>102</v>
      </c>
    </row>
    <row r="52" spans="1:32" ht="15.75" customHeight="1" x14ac:dyDescent="0.2">
      <c r="A52" s="252">
        <v>133687</v>
      </c>
      <c r="B52" s="116">
        <v>2021</v>
      </c>
      <c r="C52" s="252" t="s">
        <v>93</v>
      </c>
      <c r="D52" s="481">
        <v>12</v>
      </c>
      <c r="E52" s="241">
        <v>351</v>
      </c>
      <c r="F52" s="241">
        <v>0</v>
      </c>
      <c r="G52" s="282">
        <v>8</v>
      </c>
      <c r="H52" s="282">
        <v>4</v>
      </c>
      <c r="I52" s="282"/>
      <c r="J52" s="282"/>
      <c r="K52" s="282"/>
      <c r="L52" s="282"/>
      <c r="M52" s="282"/>
      <c r="N52" s="282"/>
      <c r="O52" s="282"/>
      <c r="P52" s="282"/>
      <c r="Q52" s="282"/>
      <c r="R52" s="282">
        <v>10</v>
      </c>
      <c r="S52" s="256">
        <f t="shared" si="17"/>
        <v>22</v>
      </c>
      <c r="T52" s="512">
        <f t="shared" si="18"/>
        <v>7.333333333333333</v>
      </c>
      <c r="U52" s="513">
        <f t="shared" si="19"/>
        <v>44.863636363636367</v>
      </c>
      <c r="V52" s="461">
        <f t="shared" si="20"/>
        <v>329</v>
      </c>
      <c r="W52" s="314">
        <v>2021</v>
      </c>
      <c r="X52" s="252" t="s">
        <v>93</v>
      </c>
      <c r="Y52"/>
      <c r="Z52"/>
      <c r="AA52" s="104"/>
      <c r="AB52" s="265">
        <v>45058</v>
      </c>
      <c r="AC52" s="266">
        <v>2022</v>
      </c>
      <c r="AD52" s="267" t="s">
        <v>600</v>
      </c>
      <c r="AE52" s="267">
        <v>3</v>
      </c>
      <c r="AF52" s="267" t="s">
        <v>102</v>
      </c>
    </row>
    <row r="53" spans="1:32" ht="15.75" customHeight="1" x14ac:dyDescent="0.2">
      <c r="A53" s="252">
        <v>135370</v>
      </c>
      <c r="B53" s="116">
        <v>2021</v>
      </c>
      <c r="C53" s="252" t="s">
        <v>217</v>
      </c>
      <c r="D53" s="481" t="s">
        <v>587</v>
      </c>
      <c r="E53" s="241">
        <v>136</v>
      </c>
      <c r="F53" s="241">
        <v>7</v>
      </c>
      <c r="G53" s="282"/>
      <c r="H53" s="282"/>
      <c r="I53" s="282"/>
      <c r="J53" s="282"/>
      <c r="K53" s="282"/>
      <c r="L53" s="282"/>
      <c r="M53" s="282"/>
      <c r="N53" s="282"/>
      <c r="O53" s="282"/>
      <c r="P53" s="282"/>
      <c r="Q53" s="282"/>
      <c r="R53" s="282">
        <v>11</v>
      </c>
      <c r="S53" s="256">
        <f t="shared" si="17"/>
        <v>11</v>
      </c>
      <c r="T53" s="512">
        <f t="shared" si="18"/>
        <v>11</v>
      </c>
      <c r="U53" s="513">
        <f t="shared" si="19"/>
        <v>12</v>
      </c>
      <c r="V53" s="461">
        <f t="shared" si="20"/>
        <v>132</v>
      </c>
      <c r="W53" s="314">
        <v>2021</v>
      </c>
      <c r="X53" s="252" t="s">
        <v>505</v>
      </c>
      <c r="Y53"/>
      <c r="Z53"/>
      <c r="AA53" s="104"/>
      <c r="AB53" s="265">
        <v>45124</v>
      </c>
      <c r="AC53" s="266">
        <v>2022</v>
      </c>
      <c r="AD53" s="267" t="s">
        <v>601</v>
      </c>
      <c r="AE53" s="267">
        <v>63</v>
      </c>
      <c r="AF53" s="267" t="s">
        <v>102</v>
      </c>
    </row>
    <row r="54" spans="1:32" ht="15.75" customHeight="1" x14ac:dyDescent="0.2">
      <c r="A54" s="104">
        <v>27736</v>
      </c>
      <c r="B54" s="116">
        <v>2021</v>
      </c>
      <c r="C54" s="252" t="s">
        <v>70</v>
      </c>
      <c r="D54" s="481">
        <v>52</v>
      </c>
      <c r="E54" s="241">
        <v>341</v>
      </c>
      <c r="F54" s="241">
        <v>0</v>
      </c>
      <c r="G54" s="282"/>
      <c r="H54" s="282"/>
      <c r="I54" s="282"/>
      <c r="J54" s="282"/>
      <c r="K54" s="282"/>
      <c r="L54" s="282"/>
      <c r="M54" s="282"/>
      <c r="N54" s="282"/>
      <c r="O54" s="282"/>
      <c r="P54" s="282"/>
      <c r="Q54" s="282"/>
      <c r="R54" s="282"/>
      <c r="S54" s="256">
        <f t="shared" ref="S54:S88" si="23">SUM(G54:R54)</f>
        <v>0</v>
      </c>
      <c r="T54" s="512">
        <f t="shared" si="18"/>
        <v>0</v>
      </c>
      <c r="U54" s="513">
        <f t="shared" si="19"/>
        <v>0</v>
      </c>
      <c r="V54" s="461">
        <f t="shared" si="20"/>
        <v>341</v>
      </c>
      <c r="W54" s="314">
        <v>2021</v>
      </c>
      <c r="X54" s="252" t="s">
        <v>70</v>
      </c>
      <c r="Y54"/>
      <c r="Z54"/>
      <c r="AA54" s="104"/>
      <c r="AB54" s="265">
        <v>45124</v>
      </c>
      <c r="AC54" s="266">
        <v>2022</v>
      </c>
      <c r="AD54" s="267" t="s">
        <v>602</v>
      </c>
      <c r="AE54" s="267">
        <v>249</v>
      </c>
      <c r="AF54" s="267" t="s">
        <v>102</v>
      </c>
    </row>
    <row r="55" spans="1:32" ht="15.75" customHeight="1" x14ac:dyDescent="0.2">
      <c r="A55" s="522">
        <v>34641</v>
      </c>
      <c r="B55" s="116">
        <v>2021</v>
      </c>
      <c r="C55" s="252" t="s">
        <v>118</v>
      </c>
      <c r="D55" s="191" t="s">
        <v>587</v>
      </c>
      <c r="E55" s="241">
        <v>564</v>
      </c>
      <c r="F55" s="241">
        <v>0</v>
      </c>
      <c r="G55" s="282"/>
      <c r="H55" s="282"/>
      <c r="I55" s="282"/>
      <c r="J55" s="282"/>
      <c r="K55" s="282"/>
      <c r="L55" s="282"/>
      <c r="M55" s="282"/>
      <c r="N55" s="282"/>
      <c r="O55" s="282"/>
      <c r="P55" s="282"/>
      <c r="Q55" s="282"/>
      <c r="R55" s="282"/>
      <c r="S55" s="256">
        <f t="shared" ref="S55:S56" si="24">SUM(G55:R55)</f>
        <v>0</v>
      </c>
      <c r="T55" s="512">
        <f t="shared" si="18"/>
        <v>0</v>
      </c>
      <c r="U55" s="513">
        <f t="shared" si="19"/>
        <v>0</v>
      </c>
      <c r="V55" s="461">
        <f t="shared" si="20"/>
        <v>564</v>
      </c>
      <c r="W55" s="314">
        <v>2021</v>
      </c>
      <c r="X55" s="252" t="s">
        <v>118</v>
      </c>
      <c r="Y55"/>
      <c r="Z55"/>
      <c r="AA55" s="104"/>
      <c r="AB55" s="244">
        <v>45124</v>
      </c>
      <c r="AC55" s="245">
        <v>2022</v>
      </c>
      <c r="AD55" s="246" t="s">
        <v>603</v>
      </c>
      <c r="AE55" s="247">
        <v>376</v>
      </c>
      <c r="AF55" s="246" t="s">
        <v>102</v>
      </c>
    </row>
    <row r="56" spans="1:32" ht="15.75" customHeight="1" x14ac:dyDescent="0.2">
      <c r="A56" s="104"/>
      <c r="B56" s="116">
        <v>2021</v>
      </c>
      <c r="C56" s="252" t="s">
        <v>547</v>
      </c>
      <c r="D56" s="270"/>
      <c r="E56" s="241">
        <v>86</v>
      </c>
      <c r="F56" s="241">
        <v>0</v>
      </c>
      <c r="G56" s="282"/>
      <c r="H56" s="282"/>
      <c r="I56" s="282">
        <v>21</v>
      </c>
      <c r="J56" s="282">
        <v>2</v>
      </c>
      <c r="K56" s="282">
        <v>4</v>
      </c>
      <c r="L56" s="282"/>
      <c r="M56" s="282"/>
      <c r="N56" s="282"/>
      <c r="O56" s="282"/>
      <c r="P56" s="282">
        <v>39</v>
      </c>
      <c r="Q56" s="282">
        <v>4</v>
      </c>
      <c r="R56" s="282"/>
      <c r="S56" s="256">
        <f t="shared" si="24"/>
        <v>70</v>
      </c>
      <c r="T56" s="512">
        <f t="shared" si="18"/>
        <v>14</v>
      </c>
      <c r="U56" s="513">
        <f t="shared" si="19"/>
        <v>1.1428571428571428</v>
      </c>
      <c r="V56" s="461">
        <f t="shared" si="20"/>
        <v>16</v>
      </c>
      <c r="W56" s="314">
        <v>2021</v>
      </c>
      <c r="X56" s="252" t="s">
        <v>548</v>
      </c>
      <c r="Y56"/>
      <c r="Z56"/>
      <c r="AA56" s="104"/>
      <c r="AB56" s="244">
        <v>45124</v>
      </c>
      <c r="AC56" s="245">
        <v>2022</v>
      </c>
      <c r="AD56" s="246" t="s">
        <v>392</v>
      </c>
      <c r="AE56" s="247">
        <v>112</v>
      </c>
      <c r="AF56" s="246" t="s">
        <v>102</v>
      </c>
    </row>
    <row r="57" spans="1:32" ht="15.75" customHeight="1" x14ac:dyDescent="0.2">
      <c r="A57" s="252">
        <v>135371</v>
      </c>
      <c r="B57" s="116">
        <v>2021</v>
      </c>
      <c r="C57" s="252" t="s">
        <v>307</v>
      </c>
      <c r="D57" s="482">
        <v>15</v>
      </c>
      <c r="E57" s="241">
        <v>142</v>
      </c>
      <c r="F57" s="241">
        <v>0</v>
      </c>
      <c r="G57" s="282"/>
      <c r="H57" s="282"/>
      <c r="I57" s="282"/>
      <c r="J57" s="282"/>
      <c r="K57" s="282"/>
      <c r="L57" s="282"/>
      <c r="M57" s="282"/>
      <c r="N57" s="282"/>
      <c r="O57" s="282"/>
      <c r="P57" s="282"/>
      <c r="Q57" s="284"/>
      <c r="R57" s="282">
        <v>10</v>
      </c>
      <c r="S57" s="256">
        <f t="shared" si="23"/>
        <v>10</v>
      </c>
      <c r="T57" s="512">
        <f t="shared" si="18"/>
        <v>10</v>
      </c>
      <c r="U57" s="513">
        <f t="shared" si="19"/>
        <v>13.2</v>
      </c>
      <c r="V57" s="461">
        <f t="shared" si="20"/>
        <v>132</v>
      </c>
      <c r="W57" s="314">
        <v>2021</v>
      </c>
      <c r="X57" s="252" t="s">
        <v>307</v>
      </c>
      <c r="Y57"/>
      <c r="Z57"/>
      <c r="AA57" s="104"/>
      <c r="AB57" s="150">
        <v>45132</v>
      </c>
      <c r="AC57" s="105">
        <v>2019</v>
      </c>
      <c r="AD57" s="104" t="s">
        <v>604</v>
      </c>
      <c r="AE57" s="104">
        <v>96</v>
      </c>
      <c r="AF57" s="104" t="s">
        <v>102</v>
      </c>
    </row>
    <row r="58" spans="1:32" ht="15.75" customHeight="1" x14ac:dyDescent="0.2">
      <c r="A58" s="252">
        <v>133687</v>
      </c>
      <c r="B58" s="116">
        <v>2021</v>
      </c>
      <c r="C58" s="252" t="s">
        <v>278</v>
      </c>
      <c r="D58" s="481">
        <v>41</v>
      </c>
      <c r="E58" s="241">
        <v>556</v>
      </c>
      <c r="F58" s="241">
        <v>0</v>
      </c>
      <c r="G58" s="282"/>
      <c r="H58" s="282"/>
      <c r="I58" s="282"/>
      <c r="J58" s="282"/>
      <c r="K58" s="282"/>
      <c r="L58" s="282"/>
      <c r="M58" s="282"/>
      <c r="N58" s="282"/>
      <c r="O58" s="282"/>
      <c r="P58" s="282"/>
      <c r="Q58" s="282"/>
      <c r="R58" s="282"/>
      <c r="S58" s="256">
        <f t="shared" si="23"/>
        <v>0</v>
      </c>
      <c r="T58" s="512">
        <f t="shared" si="18"/>
        <v>0</v>
      </c>
      <c r="U58" s="513">
        <f t="shared" si="19"/>
        <v>0</v>
      </c>
      <c r="V58" s="461">
        <f t="shared" si="20"/>
        <v>556</v>
      </c>
      <c r="W58" s="314">
        <v>2021</v>
      </c>
      <c r="X58" s="252" t="s">
        <v>278</v>
      </c>
      <c r="Y58"/>
      <c r="Z58"/>
      <c r="AA58" s="104"/>
      <c r="AB58" s="150">
        <v>45167</v>
      </c>
      <c r="AC58" s="105">
        <v>2020</v>
      </c>
      <c r="AD58" s="104" t="s">
        <v>605</v>
      </c>
      <c r="AE58" s="104">
        <v>6</v>
      </c>
      <c r="AF58" s="104" t="s">
        <v>102</v>
      </c>
    </row>
    <row r="59" spans="1:32" ht="15.75" customHeight="1" x14ac:dyDescent="0.2">
      <c r="A59" s="252">
        <v>168932</v>
      </c>
      <c r="B59" s="116" t="s">
        <v>35</v>
      </c>
      <c r="C59" s="252" t="s">
        <v>549</v>
      </c>
      <c r="D59" s="481">
        <v>50</v>
      </c>
      <c r="E59" s="241">
        <v>444</v>
      </c>
      <c r="F59" s="241">
        <v>0</v>
      </c>
      <c r="G59" s="282"/>
      <c r="H59" s="282"/>
      <c r="I59" s="282"/>
      <c r="J59" s="282"/>
      <c r="K59" s="282"/>
      <c r="L59" s="282"/>
      <c r="M59" s="282"/>
      <c r="N59" s="282"/>
      <c r="O59" s="282"/>
      <c r="P59" s="282"/>
      <c r="Q59" s="282"/>
      <c r="R59" s="282">
        <v>4</v>
      </c>
      <c r="S59" s="256">
        <f t="shared" si="23"/>
        <v>4</v>
      </c>
      <c r="T59" s="512">
        <f t="shared" si="18"/>
        <v>4</v>
      </c>
      <c r="U59" s="513">
        <f t="shared" si="19"/>
        <v>110</v>
      </c>
      <c r="V59" s="461">
        <f t="shared" si="20"/>
        <v>440</v>
      </c>
      <c r="W59" s="314" t="s">
        <v>550</v>
      </c>
      <c r="X59" s="252"/>
      <c r="Y59"/>
      <c r="Z59"/>
      <c r="AA59" s="104"/>
      <c r="AB59" s="150">
        <v>45167</v>
      </c>
      <c r="AC59" s="105">
        <v>2021</v>
      </c>
      <c r="AD59" s="104" t="s">
        <v>606</v>
      </c>
      <c r="AE59" s="104">
        <v>6</v>
      </c>
      <c r="AF59" s="104" t="s">
        <v>102</v>
      </c>
    </row>
    <row r="60" spans="1:32" ht="15.75" customHeight="1" x14ac:dyDescent="0.2">
      <c r="A60" s="252">
        <v>115264</v>
      </c>
      <c r="B60" s="116">
        <v>2021</v>
      </c>
      <c r="C60" s="252" t="s">
        <v>607</v>
      </c>
      <c r="D60" s="481"/>
      <c r="E60" s="241"/>
      <c r="F60" s="241">
        <v>137</v>
      </c>
      <c r="G60" s="282"/>
      <c r="H60" s="282"/>
      <c r="I60" s="282"/>
      <c r="J60" s="282"/>
      <c r="K60" s="282"/>
      <c r="L60" s="282"/>
      <c r="M60" s="282"/>
      <c r="N60" s="282"/>
      <c r="O60" s="282"/>
      <c r="P60" s="282"/>
      <c r="Q60" s="282"/>
      <c r="R60" s="282"/>
      <c r="S60" s="256">
        <f t="shared" ref="S60" si="25">SUM(G60:R60)</f>
        <v>0</v>
      </c>
      <c r="T60" s="512">
        <f t="shared" ref="T60" si="26">IFERROR((AVERAGE(G60:R60)),0)</f>
        <v>0</v>
      </c>
      <c r="U60" s="513">
        <f t="shared" si="19"/>
        <v>0</v>
      </c>
      <c r="V60" s="461">
        <f t="shared" si="20"/>
        <v>137</v>
      </c>
      <c r="W60" s="314">
        <v>2021</v>
      </c>
      <c r="X60" s="252" t="s">
        <v>607</v>
      </c>
      <c r="Y60"/>
      <c r="Z60"/>
      <c r="AA60" s="104"/>
      <c r="AB60" s="150">
        <v>45197</v>
      </c>
      <c r="AC60" s="105">
        <v>2020</v>
      </c>
      <c r="AD60" s="104" t="s">
        <v>605</v>
      </c>
      <c r="AE60" s="104">
        <v>5</v>
      </c>
      <c r="AF60" s="104" t="s">
        <v>102</v>
      </c>
    </row>
    <row r="61" spans="1:32" ht="15.75" customHeight="1" x14ac:dyDescent="0.2">
      <c r="A61" s="252"/>
      <c r="B61" s="116"/>
      <c r="C61" s="252" t="s">
        <v>134</v>
      </c>
      <c r="D61" s="481"/>
      <c r="E61" s="241">
        <v>100</v>
      </c>
      <c r="F61" s="241">
        <v>0</v>
      </c>
      <c r="G61" s="283">
        <v>8</v>
      </c>
      <c r="H61" s="283">
        <v>6</v>
      </c>
      <c r="I61" s="283">
        <v>8</v>
      </c>
      <c r="J61" s="283">
        <v>7</v>
      </c>
      <c r="K61" s="283">
        <v>15</v>
      </c>
      <c r="L61" s="283">
        <v>9</v>
      </c>
      <c r="M61" s="283">
        <v>8</v>
      </c>
      <c r="N61" s="283">
        <v>14</v>
      </c>
      <c r="O61" s="283">
        <v>15</v>
      </c>
      <c r="P61" s="283">
        <v>6</v>
      </c>
      <c r="Q61" s="283">
        <v>4</v>
      </c>
      <c r="R61" s="281"/>
      <c r="S61" s="256">
        <f t="shared" si="23"/>
        <v>100</v>
      </c>
      <c r="T61" s="512">
        <f t="shared" si="18"/>
        <v>9.0909090909090917</v>
      </c>
      <c r="U61" s="513">
        <f t="shared" si="19"/>
        <v>0</v>
      </c>
      <c r="V61" s="461">
        <f t="shared" si="20"/>
        <v>0</v>
      </c>
      <c r="W61" s="314"/>
      <c r="X61" s="252" t="s">
        <v>134</v>
      </c>
      <c r="Y61"/>
      <c r="Z61"/>
      <c r="AA61" s="104"/>
      <c r="AB61" s="150">
        <v>45197</v>
      </c>
      <c r="AC61" s="105">
        <v>2021</v>
      </c>
      <c r="AD61" s="104" t="s">
        <v>606</v>
      </c>
      <c r="AE61" s="104">
        <v>5</v>
      </c>
      <c r="AF61" s="104" t="s">
        <v>102</v>
      </c>
    </row>
    <row r="62" spans="1:32" ht="15.75" customHeight="1" x14ac:dyDescent="0.2">
      <c r="A62" s="252"/>
      <c r="B62" s="116"/>
      <c r="C62" s="252"/>
      <c r="D62" s="481"/>
      <c r="E62" s="528">
        <v>0</v>
      </c>
      <c r="F62" s="528"/>
      <c r="G62" s="529"/>
      <c r="H62" s="529"/>
      <c r="I62" s="529"/>
      <c r="J62" s="529"/>
      <c r="K62" s="529"/>
      <c r="L62" s="529"/>
      <c r="M62" s="529"/>
      <c r="N62" s="529"/>
      <c r="O62" s="529"/>
      <c r="P62" s="529"/>
      <c r="Q62" s="529"/>
      <c r="R62" s="529"/>
      <c r="S62" s="256"/>
      <c r="T62" s="512"/>
      <c r="U62" s="513"/>
      <c r="V62" s="461">
        <f t="shared" si="20"/>
        <v>0</v>
      </c>
      <c r="W62" s="314"/>
      <c r="X62" s="252"/>
      <c r="Y62" s="105"/>
      <c r="Z62" s="105"/>
      <c r="AA62" s="104"/>
      <c r="AB62" s="150">
        <v>45202</v>
      </c>
      <c r="AC62" s="105">
        <v>2023</v>
      </c>
      <c r="AD62" s="104" t="s">
        <v>608</v>
      </c>
      <c r="AE62" s="104">
        <v>120</v>
      </c>
      <c r="AF62" s="104" t="s">
        <v>609</v>
      </c>
    </row>
    <row r="63" spans="1:32" x14ac:dyDescent="0.2">
      <c r="A63" s="249"/>
      <c r="B63" s="315"/>
      <c r="C63" s="249"/>
      <c r="D63" s="484"/>
      <c r="E63" s="530">
        <v>0</v>
      </c>
      <c r="F63" s="530"/>
      <c r="G63" s="530"/>
      <c r="H63" s="530"/>
      <c r="I63" s="530"/>
      <c r="J63" s="530"/>
      <c r="K63" s="530"/>
      <c r="L63" s="530"/>
      <c r="M63" s="530"/>
      <c r="N63" s="530"/>
      <c r="O63" s="530"/>
      <c r="P63" s="530"/>
      <c r="Q63" s="530"/>
      <c r="R63" s="530"/>
      <c r="S63" s="251"/>
      <c r="T63" s="510"/>
      <c r="U63" s="511"/>
      <c r="V63" s="462"/>
      <c r="W63" s="316"/>
      <c r="X63" s="249"/>
      <c r="Y63" s="105"/>
      <c r="Z63" s="105"/>
      <c r="AA63" s="104"/>
      <c r="AB63" s="150">
        <v>45202</v>
      </c>
      <c r="AC63" s="105">
        <v>2023</v>
      </c>
      <c r="AD63" s="104" t="s">
        <v>610</v>
      </c>
      <c r="AE63" s="104">
        <v>150</v>
      </c>
      <c r="AF63" s="104" t="s">
        <v>609</v>
      </c>
    </row>
    <row r="64" spans="1:32" x14ac:dyDescent="0.2">
      <c r="A64" s="252">
        <v>11198</v>
      </c>
      <c r="B64" s="105">
        <v>2022</v>
      </c>
      <c r="C64" s="252" t="s">
        <v>46</v>
      </c>
      <c r="D64" s="477">
        <v>27</v>
      </c>
      <c r="E64" s="241">
        <v>0</v>
      </c>
      <c r="F64" s="241">
        <v>449</v>
      </c>
      <c r="G64" s="290"/>
      <c r="H64" s="290"/>
      <c r="I64" s="290"/>
      <c r="J64" s="290"/>
      <c r="K64" s="290"/>
      <c r="L64" s="290"/>
      <c r="M64" s="290"/>
      <c r="N64" s="290"/>
      <c r="O64" s="290"/>
      <c r="P64" s="290"/>
      <c r="Q64" s="241">
        <v>42</v>
      </c>
      <c r="R64" s="241">
        <v>21</v>
      </c>
      <c r="S64" s="256">
        <f t="shared" ref="S64" si="27">SUM(G64:R64)</f>
        <v>63</v>
      </c>
      <c r="T64" s="512">
        <f t="shared" ref="T64:T65" si="28">IFERROR((AVERAGE(G64:R64)),0)</f>
        <v>31.5</v>
      </c>
      <c r="U64" s="513">
        <f t="shared" ref="U64:U97" si="29">IFERROR((V64/T64),0)</f>
        <v>12.253968253968255</v>
      </c>
      <c r="V64" s="461">
        <f t="shared" ref="V64:V82" si="30">E64+F64-S64</f>
        <v>386</v>
      </c>
      <c r="W64" s="314">
        <v>2022</v>
      </c>
      <c r="X64" s="252" t="s">
        <v>46</v>
      </c>
      <c r="Y64" s="105"/>
      <c r="Z64" s="105"/>
      <c r="AA64" s="104"/>
      <c r="AB64" s="150">
        <v>45202</v>
      </c>
      <c r="AC64" s="105">
        <v>2023</v>
      </c>
      <c r="AD64" s="104" t="s">
        <v>611</v>
      </c>
      <c r="AE64" s="104">
        <v>150</v>
      </c>
      <c r="AF64" s="104" t="s">
        <v>609</v>
      </c>
    </row>
    <row r="65" spans="1:86" x14ac:dyDescent="0.2">
      <c r="A65" s="252">
        <v>168933</v>
      </c>
      <c r="B65" s="105">
        <v>2022</v>
      </c>
      <c r="C65" s="252" t="s">
        <v>468</v>
      </c>
      <c r="D65" s="190">
        <v>20</v>
      </c>
      <c r="E65" s="241">
        <v>0</v>
      </c>
      <c r="F65" s="241">
        <v>350</v>
      </c>
      <c r="G65" s="283"/>
      <c r="H65" s="283"/>
      <c r="I65" s="283"/>
      <c r="J65" s="283">
        <v>4</v>
      </c>
      <c r="K65" s="283">
        <v>0</v>
      </c>
      <c r="L65" s="283">
        <v>14</v>
      </c>
      <c r="M65" s="283">
        <v>28</v>
      </c>
      <c r="N65" s="283">
        <v>50</v>
      </c>
      <c r="O65" s="283">
        <v>22</v>
      </c>
      <c r="P65" s="283">
        <v>17</v>
      </c>
      <c r="Q65" s="283">
        <v>14</v>
      </c>
      <c r="R65" s="283">
        <v>15</v>
      </c>
      <c r="S65" s="256">
        <f t="shared" ref="S65" si="31">SUM(G65:R65)</f>
        <v>164</v>
      </c>
      <c r="T65" s="512">
        <f t="shared" si="28"/>
        <v>18.222222222222221</v>
      </c>
      <c r="U65" s="513">
        <f t="shared" si="29"/>
        <v>10.207317073170731</v>
      </c>
      <c r="V65" s="461">
        <f t="shared" si="30"/>
        <v>186</v>
      </c>
      <c r="W65" s="314">
        <v>2022</v>
      </c>
      <c r="X65" s="252" t="s">
        <v>468</v>
      </c>
      <c r="Y65" s="105"/>
      <c r="Z65" s="105"/>
      <c r="AA65" s="104"/>
      <c r="AB65" s="150">
        <v>45209</v>
      </c>
      <c r="AC65" s="105">
        <v>2023</v>
      </c>
      <c r="AD65" s="104" t="s">
        <v>612</v>
      </c>
      <c r="AE65" s="104">
        <v>360</v>
      </c>
      <c r="AF65" s="104" t="s">
        <v>609</v>
      </c>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row>
    <row r="66" spans="1:86" x14ac:dyDescent="0.2">
      <c r="A66" s="252">
        <v>57632</v>
      </c>
      <c r="B66" s="105">
        <v>2022</v>
      </c>
      <c r="C66" s="252" t="s">
        <v>31</v>
      </c>
      <c r="D66" s="191">
        <v>27</v>
      </c>
      <c r="E66" s="241">
        <v>0</v>
      </c>
      <c r="F66" s="241">
        <v>220</v>
      </c>
      <c r="G66" s="282"/>
      <c r="H66" s="282"/>
      <c r="I66" s="282"/>
      <c r="J66" s="282"/>
      <c r="K66" s="282"/>
      <c r="L66" s="282"/>
      <c r="M66" s="282"/>
      <c r="N66" s="282"/>
      <c r="O66" s="282"/>
      <c r="P66" s="282"/>
      <c r="Q66" s="282"/>
      <c r="R66" s="282">
        <v>5</v>
      </c>
      <c r="S66" s="256">
        <f t="shared" ref="S66:S69" si="32">SUM(G66:R66)</f>
        <v>5</v>
      </c>
      <c r="T66" s="512">
        <f t="shared" ref="T66:T97" si="33">IFERROR((AVERAGE(G66:R66)),0)</f>
        <v>5</v>
      </c>
      <c r="U66" s="513">
        <f t="shared" si="29"/>
        <v>43</v>
      </c>
      <c r="V66" s="461">
        <f t="shared" si="30"/>
        <v>215</v>
      </c>
      <c r="W66" s="314">
        <v>2022</v>
      </c>
      <c r="X66" s="252" t="s">
        <v>31</v>
      </c>
      <c r="Y66" s="105"/>
      <c r="Z66" s="105"/>
      <c r="AA66" s="104"/>
      <c r="AB66" s="150">
        <v>45209</v>
      </c>
      <c r="AC66" s="105">
        <v>2023</v>
      </c>
      <c r="AD66" s="104" t="s">
        <v>613</v>
      </c>
      <c r="AE66" s="104">
        <v>120</v>
      </c>
      <c r="AF66" s="104" t="s">
        <v>609</v>
      </c>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row>
    <row r="67" spans="1:86" x14ac:dyDescent="0.2">
      <c r="A67" s="252">
        <v>203804</v>
      </c>
      <c r="B67" s="105">
        <v>2022</v>
      </c>
      <c r="C67" s="252" t="s">
        <v>614</v>
      </c>
      <c r="D67" s="191">
        <v>27</v>
      </c>
      <c r="E67" s="241">
        <v>0</v>
      </c>
      <c r="F67" s="241">
        <v>112</v>
      </c>
      <c r="G67" s="282"/>
      <c r="H67" s="282"/>
      <c r="I67" s="282"/>
      <c r="J67" s="282"/>
      <c r="K67" s="282"/>
      <c r="L67" s="282"/>
      <c r="M67" s="282"/>
      <c r="N67" s="282"/>
      <c r="O67" s="282"/>
      <c r="P67" s="282"/>
      <c r="Q67" s="282"/>
      <c r="R67" s="282"/>
      <c r="S67" s="256">
        <f t="shared" ref="S67:S68" si="34">SUM(G67:R67)</f>
        <v>0</v>
      </c>
      <c r="T67" s="512">
        <f t="shared" ref="T67:T68" si="35">IFERROR((AVERAGE(G67:R67)),0)</f>
        <v>0</v>
      </c>
      <c r="U67" s="513">
        <f t="shared" si="29"/>
        <v>0</v>
      </c>
      <c r="V67" s="461">
        <f t="shared" si="30"/>
        <v>112</v>
      </c>
      <c r="W67" s="314">
        <v>2022</v>
      </c>
      <c r="X67" s="252" t="s">
        <v>31</v>
      </c>
      <c r="Y67" s="105"/>
      <c r="Z67" s="105"/>
      <c r="AA67" s="104"/>
      <c r="AB67" s="150">
        <v>45217</v>
      </c>
      <c r="AC67" s="105">
        <v>2023</v>
      </c>
      <c r="AD67" s="104" t="s">
        <v>608</v>
      </c>
      <c r="AE67" s="104">
        <v>360</v>
      </c>
      <c r="AF67" s="104" t="s">
        <v>609</v>
      </c>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row>
    <row r="68" spans="1:86" s="146" customFormat="1" x14ac:dyDescent="0.2">
      <c r="A68" s="252"/>
      <c r="B68" s="105">
        <v>2022</v>
      </c>
      <c r="C68" s="252" t="s">
        <v>615</v>
      </c>
      <c r="D68" s="191">
        <v>27</v>
      </c>
      <c r="E68" s="241">
        <v>0</v>
      </c>
      <c r="F68" s="241">
        <v>42</v>
      </c>
      <c r="G68" s="282"/>
      <c r="H68" s="282"/>
      <c r="I68" s="282"/>
      <c r="J68" s="282"/>
      <c r="K68" s="282"/>
      <c r="L68" s="282"/>
      <c r="M68" s="282"/>
      <c r="N68" s="282"/>
      <c r="O68" s="282"/>
      <c r="P68" s="282"/>
      <c r="Q68" s="282"/>
      <c r="R68" s="282"/>
      <c r="S68" s="256">
        <f t="shared" si="34"/>
        <v>0</v>
      </c>
      <c r="T68" s="512">
        <f t="shared" si="35"/>
        <v>0</v>
      </c>
      <c r="U68" s="513">
        <f t="shared" si="29"/>
        <v>0</v>
      </c>
      <c r="V68" s="461">
        <f t="shared" si="30"/>
        <v>42</v>
      </c>
      <c r="W68" s="314">
        <v>2022</v>
      </c>
      <c r="X68" s="252" t="s">
        <v>31</v>
      </c>
      <c r="Y68" s="187"/>
      <c r="Z68" s="187"/>
      <c r="AA68" s="210"/>
      <c r="AB68" s="150">
        <v>45232</v>
      </c>
      <c r="AC68" s="105">
        <v>2023</v>
      </c>
      <c r="AD68" s="104" t="s">
        <v>616</v>
      </c>
      <c r="AE68" s="104">
        <v>935</v>
      </c>
      <c r="AF68" s="104" t="s">
        <v>609</v>
      </c>
      <c r="AG68" s="210"/>
      <c r="AH68" s="210"/>
      <c r="AI68" s="210"/>
      <c r="AJ68" s="210"/>
      <c r="AK68" s="210"/>
      <c r="AL68" s="210"/>
      <c r="AM68" s="210"/>
      <c r="AN68" s="210"/>
      <c r="AO68" s="210"/>
      <c r="AP68" s="210"/>
      <c r="AQ68" s="210"/>
      <c r="AR68" s="210"/>
      <c r="AS68" s="210"/>
      <c r="AT68" s="210"/>
      <c r="AU68" s="210"/>
      <c r="AV68" s="210"/>
      <c r="AW68" s="210"/>
      <c r="AX68" s="210"/>
      <c r="AY68" s="210"/>
      <c r="AZ68" s="210"/>
      <c r="BA68" s="210"/>
      <c r="BB68" s="210"/>
      <c r="BC68" s="210"/>
      <c r="BD68" s="210"/>
      <c r="BE68" s="210"/>
      <c r="BF68" s="210"/>
      <c r="BG68" s="210"/>
      <c r="BH68" s="210"/>
      <c r="BI68" s="210"/>
      <c r="BJ68" s="210"/>
      <c r="BK68" s="210"/>
      <c r="BL68" s="210"/>
      <c r="BM68" s="210"/>
      <c r="BN68" s="210"/>
      <c r="BO68" s="210"/>
      <c r="BP68" s="210"/>
      <c r="BQ68" s="210"/>
      <c r="BR68" s="210"/>
      <c r="BS68" s="210"/>
      <c r="BT68" s="210"/>
      <c r="BU68" s="210"/>
      <c r="BV68" s="210"/>
      <c r="BW68" s="210"/>
      <c r="BX68" s="210"/>
      <c r="BY68" s="210"/>
      <c r="BZ68" s="210"/>
      <c r="CA68" s="210"/>
      <c r="CB68" s="210"/>
      <c r="CC68" s="210"/>
      <c r="CD68" s="210"/>
      <c r="CE68" s="210"/>
      <c r="CF68" s="210"/>
      <c r="CG68" s="210"/>
      <c r="CH68" s="210"/>
    </row>
    <row r="69" spans="1:86" ht="15.75" customHeight="1" x14ac:dyDescent="0.2">
      <c r="A69" s="252">
        <v>57630</v>
      </c>
      <c r="B69" s="105">
        <v>2022</v>
      </c>
      <c r="C69" s="252" t="s">
        <v>25</v>
      </c>
      <c r="D69" s="477">
        <v>34</v>
      </c>
      <c r="E69" s="241">
        <v>0</v>
      </c>
      <c r="F69" s="241">
        <v>342</v>
      </c>
      <c r="G69" s="282"/>
      <c r="H69" s="282"/>
      <c r="I69" s="282"/>
      <c r="J69" s="282"/>
      <c r="K69" s="282"/>
      <c r="L69" s="282"/>
      <c r="M69" s="282"/>
      <c r="N69" s="282"/>
      <c r="O69" s="282"/>
      <c r="P69" s="282"/>
      <c r="Q69" s="282"/>
      <c r="R69" s="282"/>
      <c r="S69" s="256">
        <f t="shared" si="32"/>
        <v>0</v>
      </c>
      <c r="T69" s="512">
        <f t="shared" si="33"/>
        <v>0</v>
      </c>
      <c r="U69" s="513">
        <f t="shared" si="29"/>
        <v>0</v>
      </c>
      <c r="V69" s="461">
        <f t="shared" si="30"/>
        <v>342</v>
      </c>
      <c r="W69" s="314">
        <v>2022</v>
      </c>
      <c r="X69" s="252" t="s">
        <v>25</v>
      </c>
      <c r="Y69"/>
      <c r="Z69"/>
      <c r="AA69" s="104"/>
      <c r="AB69" s="150">
        <v>45238</v>
      </c>
      <c r="AC69" s="105">
        <v>2022</v>
      </c>
      <c r="AD69" s="104" t="s">
        <v>617</v>
      </c>
      <c r="AE69" s="104">
        <v>5</v>
      </c>
      <c r="AF69" s="104" t="s">
        <v>102</v>
      </c>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row>
    <row r="70" spans="1:86" ht="15.75" customHeight="1" x14ac:dyDescent="0.2">
      <c r="A70" s="252">
        <v>196808</v>
      </c>
      <c r="B70" s="105">
        <v>2022</v>
      </c>
      <c r="C70" s="252" t="s">
        <v>575</v>
      </c>
      <c r="D70" s="477"/>
      <c r="E70" s="241">
        <v>0</v>
      </c>
      <c r="F70" s="241">
        <v>194</v>
      </c>
      <c r="G70" s="282"/>
      <c r="H70" s="282"/>
      <c r="I70" s="283">
        <v>67</v>
      </c>
      <c r="J70" s="283">
        <v>34</v>
      </c>
      <c r="K70" s="283">
        <v>39</v>
      </c>
      <c r="L70" s="283">
        <v>22</v>
      </c>
      <c r="M70" s="283">
        <v>24</v>
      </c>
      <c r="N70" s="283">
        <v>8</v>
      </c>
      <c r="O70" s="281"/>
      <c r="P70" s="281"/>
      <c r="Q70" s="281"/>
      <c r="R70" s="281"/>
      <c r="S70" s="256">
        <f t="shared" ref="S70" si="36">SUM(G70:R70)</f>
        <v>194</v>
      </c>
      <c r="T70" s="512">
        <f t="shared" ref="T70" si="37">IFERROR((AVERAGE(G70:R70)),0)</f>
        <v>32.333333333333336</v>
      </c>
      <c r="U70" s="513">
        <f t="shared" si="29"/>
        <v>0</v>
      </c>
      <c r="V70" s="461">
        <f t="shared" si="30"/>
        <v>0</v>
      </c>
      <c r="W70" s="314">
        <v>2022</v>
      </c>
      <c r="X70" s="252" t="s">
        <v>25</v>
      </c>
      <c r="Y70"/>
      <c r="Z70"/>
      <c r="AA70" s="104"/>
      <c r="AB70" s="150">
        <v>45243</v>
      </c>
      <c r="AC70" s="105">
        <v>2023</v>
      </c>
      <c r="AD70" s="104" t="s">
        <v>618</v>
      </c>
      <c r="AE70" s="104">
        <v>1650</v>
      </c>
      <c r="AF70" s="104" t="s">
        <v>609</v>
      </c>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row>
    <row r="71" spans="1:86" ht="15.75" customHeight="1" x14ac:dyDescent="0.2">
      <c r="A71" s="252">
        <v>196809</v>
      </c>
      <c r="B71" s="105">
        <v>2022</v>
      </c>
      <c r="C71" s="252" t="s">
        <v>619</v>
      </c>
      <c r="D71" s="477"/>
      <c r="E71" s="241">
        <v>0</v>
      </c>
      <c r="F71" s="241">
        <v>44</v>
      </c>
      <c r="G71" s="282"/>
      <c r="H71" s="282"/>
      <c r="I71" s="282">
        <v>11</v>
      </c>
      <c r="J71" s="282">
        <v>33</v>
      </c>
      <c r="K71" s="282"/>
      <c r="L71" s="282"/>
      <c r="M71" s="282"/>
      <c r="N71" s="282"/>
      <c r="O71" s="282"/>
      <c r="P71" s="282"/>
      <c r="Q71" s="282"/>
      <c r="R71" s="282"/>
      <c r="S71" s="256">
        <f t="shared" ref="S71" si="38">SUM(G71:R71)</f>
        <v>44</v>
      </c>
      <c r="T71" s="512">
        <f t="shared" ref="T71" si="39">IFERROR((AVERAGE(G71:R71)),0)</f>
        <v>22</v>
      </c>
      <c r="U71" s="513">
        <f t="shared" si="29"/>
        <v>0</v>
      </c>
      <c r="V71" s="461">
        <f t="shared" si="30"/>
        <v>0</v>
      </c>
      <c r="W71" s="314">
        <v>2022</v>
      </c>
      <c r="X71" s="252" t="s">
        <v>25</v>
      </c>
      <c r="Y71"/>
      <c r="Z71"/>
      <c r="AA71" s="104"/>
      <c r="AB71" s="150">
        <v>45243</v>
      </c>
      <c r="AC71" s="105">
        <v>2023</v>
      </c>
      <c r="AD71" s="104" t="s">
        <v>620</v>
      </c>
      <c r="AE71" s="104">
        <v>330</v>
      </c>
      <c r="AF71" s="104" t="s">
        <v>609</v>
      </c>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row>
    <row r="72" spans="1:86" ht="15.75" customHeight="1" x14ac:dyDescent="0.2">
      <c r="A72" s="252"/>
      <c r="B72" s="105">
        <v>2022</v>
      </c>
      <c r="C72" s="252" t="s">
        <v>391</v>
      </c>
      <c r="D72" s="477"/>
      <c r="E72" s="241">
        <v>0</v>
      </c>
      <c r="F72" s="241">
        <v>56</v>
      </c>
      <c r="G72" s="282"/>
      <c r="H72" s="282"/>
      <c r="I72" s="282"/>
      <c r="J72" s="282"/>
      <c r="K72" s="282"/>
      <c r="L72" s="282"/>
      <c r="M72" s="282"/>
      <c r="N72" s="282"/>
      <c r="O72" s="282">
        <v>7</v>
      </c>
      <c r="P72" s="282">
        <v>16</v>
      </c>
      <c r="Q72" s="282"/>
      <c r="R72" s="282">
        <v>10</v>
      </c>
      <c r="S72" s="256">
        <f t="shared" ref="S72" si="40">SUM(G72:R72)</f>
        <v>33</v>
      </c>
      <c r="T72" s="512">
        <f t="shared" ref="T72" si="41">IFERROR((AVERAGE(G72:R72)),0)</f>
        <v>11</v>
      </c>
      <c r="U72" s="513">
        <f t="shared" si="29"/>
        <v>2.0909090909090908</v>
      </c>
      <c r="V72" s="461">
        <f t="shared" si="30"/>
        <v>23</v>
      </c>
      <c r="W72" s="314">
        <v>2022</v>
      </c>
      <c r="X72" s="252" t="s">
        <v>25</v>
      </c>
      <c r="Y72"/>
      <c r="Z72"/>
      <c r="AA72" s="104"/>
      <c r="AB72" s="150">
        <v>45244</v>
      </c>
      <c r="AC72" s="105">
        <v>2023</v>
      </c>
      <c r="AD72" s="104" t="s">
        <v>621</v>
      </c>
      <c r="AE72" s="104">
        <v>880</v>
      </c>
      <c r="AF72" s="104" t="s">
        <v>609</v>
      </c>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row>
    <row r="73" spans="1:86" ht="15.75" customHeight="1" x14ac:dyDescent="0.2">
      <c r="A73" s="252">
        <v>111575</v>
      </c>
      <c r="B73" s="105">
        <v>2022</v>
      </c>
      <c r="C73" s="252" t="s">
        <v>110</v>
      </c>
      <c r="D73" s="477">
        <v>27</v>
      </c>
      <c r="E73" s="241">
        <v>0</v>
      </c>
      <c r="F73" s="241">
        <v>336</v>
      </c>
      <c r="G73" s="290"/>
      <c r="H73" s="290"/>
      <c r="I73" s="290"/>
      <c r="J73" s="290"/>
      <c r="K73" s="290"/>
      <c r="L73" s="290"/>
      <c r="M73" s="290"/>
      <c r="N73" s="290"/>
      <c r="O73" s="290"/>
      <c r="P73" s="290"/>
      <c r="Q73" s="290"/>
      <c r="R73" s="290">
        <v>6</v>
      </c>
      <c r="S73" s="256">
        <f t="shared" ref="S73:S76" si="42">SUM(G73:R73)</f>
        <v>6</v>
      </c>
      <c r="T73" s="512">
        <f t="shared" si="33"/>
        <v>6</v>
      </c>
      <c r="U73" s="513">
        <f t="shared" si="29"/>
        <v>55</v>
      </c>
      <c r="V73" s="461">
        <f t="shared" si="30"/>
        <v>330</v>
      </c>
      <c r="W73" s="314">
        <v>2022</v>
      </c>
      <c r="X73" s="252" t="s">
        <v>110</v>
      </c>
      <c r="Y73"/>
      <c r="Z73"/>
      <c r="AA73" s="104"/>
      <c r="AB73" s="150">
        <v>45244</v>
      </c>
      <c r="AC73" s="105">
        <v>2023</v>
      </c>
      <c r="AD73" s="104" t="s">
        <v>620</v>
      </c>
      <c r="AE73" s="104">
        <v>330</v>
      </c>
      <c r="AF73" s="104" t="s">
        <v>609</v>
      </c>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row>
    <row r="74" spans="1:86" ht="15.75" customHeight="1" x14ac:dyDescent="0.2">
      <c r="A74" s="252">
        <v>178211</v>
      </c>
      <c r="B74" s="105">
        <v>2022</v>
      </c>
      <c r="C74" s="252" t="s">
        <v>544</v>
      </c>
      <c r="D74" s="477"/>
      <c r="E74" s="241">
        <v>0</v>
      </c>
      <c r="F74" s="241">
        <v>106</v>
      </c>
      <c r="G74" s="283"/>
      <c r="H74" s="283"/>
      <c r="I74" s="283"/>
      <c r="J74" s="283">
        <v>6</v>
      </c>
      <c r="K74" s="283">
        <v>13</v>
      </c>
      <c r="L74" s="283">
        <v>4</v>
      </c>
      <c r="M74" s="283">
        <v>2</v>
      </c>
      <c r="N74" s="283">
        <v>5</v>
      </c>
      <c r="O74" s="283">
        <v>2</v>
      </c>
      <c r="P74" s="283">
        <v>7</v>
      </c>
      <c r="Q74" s="283">
        <v>2</v>
      </c>
      <c r="R74" s="283">
        <v>0</v>
      </c>
      <c r="S74" s="256">
        <f t="shared" si="42"/>
        <v>41</v>
      </c>
      <c r="T74" s="512">
        <f t="shared" si="33"/>
        <v>4.5555555555555554</v>
      </c>
      <c r="U74" s="513">
        <f t="shared" si="29"/>
        <v>14.26829268292683</v>
      </c>
      <c r="V74" s="461">
        <f t="shared" si="30"/>
        <v>65</v>
      </c>
      <c r="W74" s="314">
        <v>2022</v>
      </c>
      <c r="X74" s="252" t="s">
        <v>544</v>
      </c>
      <c r="Y74"/>
      <c r="Z74"/>
      <c r="AA74" s="104"/>
      <c r="AB74" s="150">
        <v>45245</v>
      </c>
      <c r="AC74" s="105">
        <v>2023</v>
      </c>
      <c r="AD74" s="104" t="s">
        <v>622</v>
      </c>
      <c r="AE74" s="104">
        <v>605</v>
      </c>
      <c r="AF74" s="104" t="s">
        <v>609</v>
      </c>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row>
    <row r="75" spans="1:86" ht="15.75" customHeight="1" x14ac:dyDescent="0.2">
      <c r="A75" s="252">
        <v>179588</v>
      </c>
      <c r="B75" s="105">
        <v>2022</v>
      </c>
      <c r="C75" s="252" t="s">
        <v>545</v>
      </c>
      <c r="D75" s="477"/>
      <c r="E75" s="241">
        <v>0</v>
      </c>
      <c r="F75" s="241">
        <v>108</v>
      </c>
      <c r="G75" s="283"/>
      <c r="H75" s="283"/>
      <c r="I75" s="283"/>
      <c r="J75" s="283">
        <v>3</v>
      </c>
      <c r="K75" s="283">
        <v>7</v>
      </c>
      <c r="L75" s="283">
        <v>7</v>
      </c>
      <c r="M75" s="283">
        <v>4</v>
      </c>
      <c r="N75" s="283">
        <v>14</v>
      </c>
      <c r="O75" s="283">
        <v>2</v>
      </c>
      <c r="P75" s="283">
        <v>3</v>
      </c>
      <c r="Q75" s="283">
        <v>1</v>
      </c>
      <c r="R75" s="283">
        <v>0</v>
      </c>
      <c r="S75" s="256">
        <f t="shared" si="42"/>
        <v>41</v>
      </c>
      <c r="T75" s="512">
        <f t="shared" si="33"/>
        <v>4.5555555555555554</v>
      </c>
      <c r="U75" s="513">
        <f t="shared" si="29"/>
        <v>14.707317073170733</v>
      </c>
      <c r="V75" s="461">
        <f t="shared" si="30"/>
        <v>67</v>
      </c>
      <c r="W75" s="314">
        <v>2022</v>
      </c>
      <c r="X75" s="252" t="s">
        <v>545</v>
      </c>
      <c r="Y75"/>
      <c r="Z75"/>
      <c r="AA75" s="104"/>
      <c r="AB75" s="150">
        <v>45245</v>
      </c>
      <c r="AC75" s="105">
        <v>2023</v>
      </c>
      <c r="AD75" s="104" t="s">
        <v>623</v>
      </c>
      <c r="AE75" s="104">
        <v>275</v>
      </c>
      <c r="AF75" s="104" t="s">
        <v>609</v>
      </c>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row>
    <row r="76" spans="1:86" ht="15.75" customHeight="1" x14ac:dyDescent="0.2">
      <c r="A76" s="252"/>
      <c r="B76" s="105">
        <v>2022</v>
      </c>
      <c r="C76" s="252" t="s">
        <v>546</v>
      </c>
      <c r="D76" s="477"/>
      <c r="E76" s="241">
        <v>0</v>
      </c>
      <c r="F76" s="241">
        <v>109</v>
      </c>
      <c r="G76" s="283"/>
      <c r="H76" s="283"/>
      <c r="I76" s="283"/>
      <c r="J76" s="283"/>
      <c r="K76" s="283">
        <v>12</v>
      </c>
      <c r="L76" s="283">
        <v>10</v>
      </c>
      <c r="M76" s="283">
        <v>7</v>
      </c>
      <c r="N76" s="283">
        <v>7</v>
      </c>
      <c r="O76" s="283">
        <v>7</v>
      </c>
      <c r="P76" s="283">
        <v>7</v>
      </c>
      <c r="Q76" s="283">
        <v>2</v>
      </c>
      <c r="R76" s="283">
        <v>-1</v>
      </c>
      <c r="S76" s="256">
        <f t="shared" si="42"/>
        <v>51</v>
      </c>
      <c r="T76" s="512">
        <f t="shared" si="33"/>
        <v>6.375</v>
      </c>
      <c r="U76" s="513">
        <f t="shared" si="29"/>
        <v>9.0980392156862742</v>
      </c>
      <c r="V76" s="461">
        <f t="shared" si="30"/>
        <v>58</v>
      </c>
      <c r="W76" s="314">
        <v>2022</v>
      </c>
      <c r="X76" s="252" t="s">
        <v>546</v>
      </c>
      <c r="Y76"/>
      <c r="Z76"/>
      <c r="AA76" s="104"/>
      <c r="AB76" s="150">
        <v>45246</v>
      </c>
      <c r="AC76" s="105">
        <v>2023</v>
      </c>
      <c r="AD76" s="104" t="s">
        <v>623</v>
      </c>
      <c r="AE76" s="104">
        <v>605</v>
      </c>
      <c r="AF76" s="104" t="s">
        <v>609</v>
      </c>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row>
    <row r="77" spans="1:86" ht="15.75" customHeight="1" x14ac:dyDescent="0.2">
      <c r="A77" s="252">
        <v>133688</v>
      </c>
      <c r="B77" s="105">
        <v>2022</v>
      </c>
      <c r="C77" s="252" t="s">
        <v>23</v>
      </c>
      <c r="D77" s="481">
        <v>30</v>
      </c>
      <c r="E77" s="241">
        <v>0</v>
      </c>
      <c r="F77" s="241">
        <v>220</v>
      </c>
      <c r="G77" s="282"/>
      <c r="H77" s="282"/>
      <c r="I77" s="282"/>
      <c r="J77" s="282"/>
      <c r="K77" s="282"/>
      <c r="L77" s="282"/>
      <c r="M77" s="282"/>
      <c r="N77" s="282"/>
      <c r="O77" s="282"/>
      <c r="P77" s="282"/>
      <c r="Q77" s="282"/>
      <c r="R77" s="282"/>
      <c r="S77" s="256">
        <f t="shared" ref="S77:S79" si="43">SUM(G77:R77)</f>
        <v>0</v>
      </c>
      <c r="T77" s="512">
        <f t="shared" si="33"/>
        <v>0</v>
      </c>
      <c r="U77" s="513">
        <f t="shared" si="29"/>
        <v>0</v>
      </c>
      <c r="V77" s="461">
        <f t="shared" si="30"/>
        <v>220</v>
      </c>
      <c r="W77" s="314">
        <v>2022</v>
      </c>
      <c r="X77" s="252" t="s">
        <v>23</v>
      </c>
      <c r="Y77"/>
      <c r="Z77"/>
      <c r="AA77" s="104"/>
      <c r="AB77" s="150">
        <v>45256</v>
      </c>
      <c r="AC77" s="105">
        <v>2023</v>
      </c>
      <c r="AD77" s="104" t="s">
        <v>624</v>
      </c>
      <c r="AE77" s="104">
        <v>275</v>
      </c>
      <c r="AF77" s="104" t="s">
        <v>609</v>
      </c>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row>
    <row r="78" spans="1:86" ht="15.75" customHeight="1" x14ac:dyDescent="0.2">
      <c r="A78" s="252">
        <v>133687</v>
      </c>
      <c r="B78" s="105">
        <v>2022</v>
      </c>
      <c r="C78" s="252" t="s">
        <v>93</v>
      </c>
      <c r="D78" s="481">
        <v>12</v>
      </c>
      <c r="E78" s="241">
        <v>0</v>
      </c>
      <c r="F78" s="241">
        <v>115</v>
      </c>
      <c r="G78" s="282"/>
      <c r="H78" s="282"/>
      <c r="I78" s="282"/>
      <c r="J78" s="282"/>
      <c r="K78" s="282"/>
      <c r="L78" s="282"/>
      <c r="M78" s="282"/>
      <c r="N78" s="282"/>
      <c r="O78" s="282"/>
      <c r="P78" s="282"/>
      <c r="Q78" s="282"/>
      <c r="R78" s="282">
        <v>17</v>
      </c>
      <c r="S78" s="256">
        <f t="shared" si="43"/>
        <v>17</v>
      </c>
      <c r="T78" s="512">
        <f t="shared" si="33"/>
        <v>17</v>
      </c>
      <c r="U78" s="513">
        <f t="shared" si="29"/>
        <v>5.7647058823529411</v>
      </c>
      <c r="V78" s="461">
        <f t="shared" si="30"/>
        <v>98</v>
      </c>
      <c r="W78" s="314">
        <v>2022</v>
      </c>
      <c r="X78" s="252" t="s">
        <v>393</v>
      </c>
      <c r="Y78"/>
      <c r="Z78"/>
      <c r="AA78" s="104"/>
      <c r="AB78" s="150">
        <v>45264</v>
      </c>
      <c r="AC78" s="105">
        <v>2023</v>
      </c>
      <c r="AD78" s="104" t="s">
        <v>625</v>
      </c>
      <c r="AE78" s="104">
        <v>880</v>
      </c>
      <c r="AF78" s="104" t="s">
        <v>609</v>
      </c>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row>
    <row r="79" spans="1:86" ht="15.75" customHeight="1" x14ac:dyDescent="0.2">
      <c r="A79" s="252">
        <v>135370</v>
      </c>
      <c r="B79" s="105">
        <v>2022</v>
      </c>
      <c r="C79" s="252" t="s">
        <v>217</v>
      </c>
      <c r="D79" s="481" t="s">
        <v>587</v>
      </c>
      <c r="E79" s="241">
        <v>0</v>
      </c>
      <c r="F79" s="241">
        <v>0</v>
      </c>
      <c r="G79" s="282"/>
      <c r="H79" s="282"/>
      <c r="I79" s="282"/>
      <c r="J79" s="282"/>
      <c r="K79" s="282"/>
      <c r="L79" s="282"/>
      <c r="M79" s="282"/>
      <c r="N79" s="282"/>
      <c r="O79" s="282"/>
      <c r="P79" s="282"/>
      <c r="Q79" s="282"/>
      <c r="R79" s="282"/>
      <c r="S79" s="256">
        <f t="shared" si="43"/>
        <v>0</v>
      </c>
      <c r="T79" s="512">
        <f t="shared" si="33"/>
        <v>0</v>
      </c>
      <c r="U79" s="513">
        <f t="shared" si="29"/>
        <v>0</v>
      </c>
      <c r="V79" s="461">
        <f t="shared" si="30"/>
        <v>0</v>
      </c>
      <c r="W79" s="314">
        <v>2022</v>
      </c>
      <c r="X79" s="252" t="s">
        <v>505</v>
      </c>
      <c r="Y79"/>
      <c r="Z79"/>
      <c r="AA79" s="104"/>
      <c r="AB79" s="150">
        <v>45273</v>
      </c>
      <c r="AC79" s="105">
        <v>2023</v>
      </c>
      <c r="AD79" s="104" t="s">
        <v>624</v>
      </c>
      <c r="AE79" s="104">
        <v>330</v>
      </c>
      <c r="AF79" s="104" t="s">
        <v>609</v>
      </c>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row>
    <row r="80" spans="1:86" ht="15.75" customHeight="1" x14ac:dyDescent="0.2">
      <c r="A80" s="104">
        <v>27736</v>
      </c>
      <c r="B80" s="105">
        <v>2022</v>
      </c>
      <c r="C80" s="252" t="s">
        <v>70</v>
      </c>
      <c r="D80" s="481">
        <v>52</v>
      </c>
      <c r="E80" s="241">
        <v>0</v>
      </c>
      <c r="F80" s="241">
        <v>317</v>
      </c>
      <c r="G80" s="282"/>
      <c r="H80" s="282"/>
      <c r="I80" s="282"/>
      <c r="J80" s="282"/>
      <c r="K80" s="282"/>
      <c r="L80" s="282"/>
      <c r="M80" s="282"/>
      <c r="N80" s="282"/>
      <c r="O80" s="282"/>
      <c r="P80" s="282"/>
      <c r="Q80" s="282"/>
      <c r="R80" s="282">
        <v>10</v>
      </c>
      <c r="S80" s="256">
        <f t="shared" ref="S80" si="44">SUM(G80:R80)</f>
        <v>10</v>
      </c>
      <c r="T80" s="512">
        <f t="shared" si="33"/>
        <v>10</v>
      </c>
      <c r="U80" s="513">
        <f t="shared" si="29"/>
        <v>30.7</v>
      </c>
      <c r="V80" s="461">
        <f t="shared" si="30"/>
        <v>307</v>
      </c>
      <c r="W80" s="314">
        <v>2022</v>
      </c>
      <c r="X80" s="252" t="s">
        <v>116</v>
      </c>
      <c r="Y80"/>
      <c r="Z80"/>
      <c r="AA80" s="104"/>
      <c r="AB80" s="150">
        <v>45273</v>
      </c>
      <c r="AC80" s="105">
        <v>2023</v>
      </c>
      <c r="AD80" s="104" t="s">
        <v>625</v>
      </c>
      <c r="AE80" s="104">
        <v>275</v>
      </c>
      <c r="AF80" s="104" t="s">
        <v>609</v>
      </c>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row>
    <row r="81" spans="1:32" ht="15.75" customHeight="1" x14ac:dyDescent="0.2">
      <c r="A81" s="522">
        <v>34641</v>
      </c>
      <c r="B81" s="105">
        <v>2022</v>
      </c>
      <c r="C81" s="252" t="s">
        <v>118</v>
      </c>
      <c r="D81" s="270" t="s">
        <v>587</v>
      </c>
      <c r="E81" s="241">
        <v>0</v>
      </c>
      <c r="F81" s="241">
        <v>0</v>
      </c>
      <c r="G81" s="282"/>
      <c r="H81" s="282"/>
      <c r="I81" s="282"/>
      <c r="J81" s="282"/>
      <c r="K81" s="282"/>
      <c r="L81" s="282"/>
      <c r="M81" s="282"/>
      <c r="N81" s="282"/>
      <c r="O81" s="282"/>
      <c r="P81" s="282"/>
      <c r="Q81" s="282"/>
      <c r="R81" s="282"/>
      <c r="S81" s="256">
        <f t="shared" ref="S81:S82" si="45">SUM(G81:R81)</f>
        <v>0</v>
      </c>
      <c r="T81" s="512">
        <f t="shared" si="33"/>
        <v>0</v>
      </c>
      <c r="U81" s="513">
        <f t="shared" si="29"/>
        <v>0</v>
      </c>
      <c r="V81" s="461">
        <f t="shared" si="30"/>
        <v>0</v>
      </c>
      <c r="W81" s="314">
        <v>2022</v>
      </c>
      <c r="X81" s="252" t="s">
        <v>118</v>
      </c>
      <c r="Y81"/>
      <c r="Z81"/>
      <c r="AA81" s="104"/>
      <c r="AB81" s="104"/>
      <c r="AC81" s="104"/>
      <c r="AD81" s="104"/>
      <c r="AE81" s="104"/>
      <c r="AF81" s="104"/>
    </row>
    <row r="82" spans="1:32" ht="15.75" customHeight="1" x14ac:dyDescent="0.2">
      <c r="A82" s="104"/>
      <c r="B82" s="105">
        <v>2022</v>
      </c>
      <c r="C82" s="252" t="s">
        <v>547</v>
      </c>
      <c r="D82" s="191"/>
      <c r="E82" s="241">
        <v>0</v>
      </c>
      <c r="F82" s="241">
        <v>256</v>
      </c>
      <c r="G82" s="282"/>
      <c r="H82" s="282"/>
      <c r="I82" s="282"/>
      <c r="J82" s="282"/>
      <c r="K82" s="282"/>
      <c r="L82" s="282"/>
      <c r="M82" s="282"/>
      <c r="N82" s="282"/>
      <c r="O82" s="282"/>
      <c r="P82" s="282"/>
      <c r="Q82" s="282"/>
      <c r="R82" s="282"/>
      <c r="S82" s="256">
        <f t="shared" si="45"/>
        <v>0</v>
      </c>
      <c r="T82" s="512">
        <f t="shared" si="33"/>
        <v>0</v>
      </c>
      <c r="U82" s="513">
        <f t="shared" si="29"/>
        <v>0</v>
      </c>
      <c r="V82" s="461">
        <f t="shared" si="30"/>
        <v>256</v>
      </c>
      <c r="W82" s="314">
        <v>2022</v>
      </c>
      <c r="X82" s="252" t="s">
        <v>548</v>
      </c>
      <c r="Y82"/>
      <c r="Z82"/>
      <c r="AA82" s="104"/>
      <c r="AB82" s="581" t="s">
        <v>626</v>
      </c>
      <c r="AC82" s="581"/>
      <c r="AD82" s="581"/>
      <c r="AE82" s="581"/>
      <c r="AF82" s="581"/>
    </row>
    <row r="83" spans="1:32" ht="15.75" customHeight="1" x14ac:dyDescent="0.2">
      <c r="A83" s="252">
        <v>135371</v>
      </c>
      <c r="B83" s="105">
        <v>2022</v>
      </c>
      <c r="C83" s="252" t="s">
        <v>307</v>
      </c>
      <c r="D83" s="482">
        <v>15</v>
      </c>
      <c r="E83" s="241">
        <v>0</v>
      </c>
      <c r="F83" s="241">
        <v>253</v>
      </c>
      <c r="G83" s="282"/>
      <c r="H83" s="282"/>
      <c r="I83" s="282"/>
      <c r="J83" s="282"/>
      <c r="K83" s="282"/>
      <c r="L83" s="282"/>
      <c r="M83" s="282"/>
      <c r="N83" s="282"/>
      <c r="O83" s="282"/>
      <c r="P83" s="282"/>
      <c r="Q83" s="284"/>
      <c r="R83" s="282">
        <v>13</v>
      </c>
      <c r="S83" s="256">
        <f t="shared" ref="S83:S87" si="46">SUM(G83:R83)</f>
        <v>13</v>
      </c>
      <c r="T83" s="512">
        <f t="shared" si="33"/>
        <v>13</v>
      </c>
      <c r="U83" s="513">
        <f t="shared" si="29"/>
        <v>18.46153846153846</v>
      </c>
      <c r="V83" s="461">
        <f t="shared" ref="V83:V87" si="47">E83+F83-S83</f>
        <v>240</v>
      </c>
      <c r="W83" s="314">
        <v>2022</v>
      </c>
      <c r="X83" s="252" t="s">
        <v>627</v>
      </c>
      <c r="Y83"/>
      <c r="Z83"/>
      <c r="AA83" s="104"/>
      <c r="AB83" s="239">
        <v>44652</v>
      </c>
      <c r="AC83" s="291">
        <v>2022</v>
      </c>
      <c r="AD83" s="280" t="s">
        <v>628</v>
      </c>
      <c r="AE83" s="280">
        <v>20</v>
      </c>
      <c r="AF83" s="239" t="s">
        <v>609</v>
      </c>
    </row>
    <row r="84" spans="1:32" ht="15.75" customHeight="1" x14ac:dyDescent="0.2">
      <c r="A84" s="252">
        <v>133687</v>
      </c>
      <c r="B84" s="105">
        <v>2022</v>
      </c>
      <c r="C84" s="252" t="s">
        <v>278</v>
      </c>
      <c r="D84" s="481">
        <v>41</v>
      </c>
      <c r="E84" s="241">
        <v>0</v>
      </c>
      <c r="F84" s="241">
        <v>395</v>
      </c>
      <c r="G84" s="282"/>
      <c r="H84" s="282"/>
      <c r="I84" s="282"/>
      <c r="J84" s="282"/>
      <c r="K84" s="282"/>
      <c r="L84" s="282"/>
      <c r="M84" s="282"/>
      <c r="N84" s="282"/>
      <c r="O84" s="282"/>
      <c r="P84" s="282"/>
      <c r="Q84" s="282"/>
      <c r="R84" s="282">
        <v>1</v>
      </c>
      <c r="S84" s="256">
        <f t="shared" si="46"/>
        <v>1</v>
      </c>
      <c r="T84" s="512">
        <f t="shared" si="33"/>
        <v>1</v>
      </c>
      <c r="U84" s="513">
        <f t="shared" si="29"/>
        <v>394</v>
      </c>
      <c r="V84" s="461">
        <f t="shared" si="47"/>
        <v>394</v>
      </c>
      <c r="W84" s="314">
        <v>2022</v>
      </c>
      <c r="X84" s="252" t="s">
        <v>278</v>
      </c>
      <c r="Y84"/>
      <c r="Z84"/>
      <c r="AA84" s="104"/>
      <c r="AB84" s="239">
        <v>44653</v>
      </c>
      <c r="AC84" s="291">
        <v>2022</v>
      </c>
      <c r="AD84" s="280" t="s">
        <v>629</v>
      </c>
      <c r="AE84" s="280">
        <v>13.5</v>
      </c>
      <c r="AF84" s="239" t="s">
        <v>609</v>
      </c>
    </row>
    <row r="85" spans="1:32" ht="15.75" customHeight="1" x14ac:dyDescent="0.2">
      <c r="A85" s="252">
        <v>168932</v>
      </c>
      <c r="B85" s="105">
        <v>2022</v>
      </c>
      <c r="C85" s="252" t="s">
        <v>630</v>
      </c>
      <c r="D85" s="481">
        <v>50</v>
      </c>
      <c r="E85" s="241">
        <v>0</v>
      </c>
      <c r="F85" s="241">
        <v>0</v>
      </c>
      <c r="G85" s="282"/>
      <c r="H85" s="282"/>
      <c r="I85" s="282"/>
      <c r="J85" s="282"/>
      <c r="K85" s="282"/>
      <c r="L85" s="282"/>
      <c r="M85" s="282"/>
      <c r="N85" s="282"/>
      <c r="O85" s="282"/>
      <c r="P85" s="282"/>
      <c r="Q85" s="282"/>
      <c r="R85" s="282"/>
      <c r="S85" s="256">
        <f t="shared" si="46"/>
        <v>0</v>
      </c>
      <c r="T85" s="512">
        <f t="shared" si="33"/>
        <v>0</v>
      </c>
      <c r="U85" s="513">
        <f t="shared" si="29"/>
        <v>0</v>
      </c>
      <c r="V85" s="461">
        <f t="shared" si="47"/>
        <v>0</v>
      </c>
      <c r="W85" s="314" t="s">
        <v>631</v>
      </c>
      <c r="X85" s="252"/>
      <c r="Y85" s="105"/>
      <c r="Z85" s="105"/>
      <c r="AA85" s="104"/>
      <c r="AB85" s="239">
        <v>44653</v>
      </c>
      <c r="AC85" s="291">
        <v>2022</v>
      </c>
      <c r="AD85" s="280" t="s">
        <v>632</v>
      </c>
      <c r="AE85" s="280">
        <v>24</v>
      </c>
      <c r="AF85" s="239" t="s">
        <v>609</v>
      </c>
    </row>
    <row r="86" spans="1:32" x14ac:dyDescent="0.2">
      <c r="A86" s="252"/>
      <c r="B86" s="116"/>
      <c r="C86" s="252" t="s">
        <v>134</v>
      </c>
      <c r="D86" s="481"/>
      <c r="E86" s="241">
        <v>44</v>
      </c>
      <c r="F86" s="241">
        <v>0</v>
      </c>
      <c r="G86" s="283"/>
      <c r="H86" s="283"/>
      <c r="I86" s="283"/>
      <c r="J86" s="283"/>
      <c r="K86" s="283"/>
      <c r="L86" s="283"/>
      <c r="M86" s="283"/>
      <c r="N86" s="283"/>
      <c r="O86" s="283"/>
      <c r="P86" s="283"/>
      <c r="Q86" s="283">
        <v>17</v>
      </c>
      <c r="R86" s="283">
        <v>9</v>
      </c>
      <c r="S86" s="256">
        <f t="shared" si="46"/>
        <v>26</v>
      </c>
      <c r="T86" s="512">
        <f t="shared" si="33"/>
        <v>13</v>
      </c>
      <c r="U86" s="513">
        <f t="shared" si="29"/>
        <v>1.3846153846153846</v>
      </c>
      <c r="V86" s="461">
        <f t="shared" si="47"/>
        <v>18</v>
      </c>
      <c r="W86" s="314"/>
      <c r="X86" s="252" t="s">
        <v>134</v>
      </c>
      <c r="Y86" s="105"/>
      <c r="Z86" s="105"/>
      <c r="AA86" s="104"/>
      <c r="AB86" s="239">
        <v>44653</v>
      </c>
      <c r="AC86" s="291">
        <v>2022</v>
      </c>
      <c r="AD86" s="280" t="s">
        <v>254</v>
      </c>
      <c r="AE86" s="280">
        <v>8</v>
      </c>
      <c r="AF86" s="239" t="s">
        <v>609</v>
      </c>
    </row>
    <row r="87" spans="1:32" x14ac:dyDescent="0.2">
      <c r="A87" s="252"/>
      <c r="B87" s="116">
        <v>2022</v>
      </c>
      <c r="C87" s="252" t="s">
        <v>633</v>
      </c>
      <c r="D87" s="477"/>
      <c r="E87" s="241"/>
      <c r="F87" s="241">
        <v>93</v>
      </c>
      <c r="G87" s="283"/>
      <c r="H87" s="283"/>
      <c r="I87" s="283"/>
      <c r="J87" s="283">
        <v>5</v>
      </c>
      <c r="K87" s="283">
        <v>3</v>
      </c>
      <c r="L87" s="283">
        <v>0</v>
      </c>
      <c r="M87" s="283">
        <v>9</v>
      </c>
      <c r="N87" s="283">
        <v>5</v>
      </c>
      <c r="O87" s="283">
        <v>4</v>
      </c>
      <c r="P87" s="283">
        <v>5</v>
      </c>
      <c r="Q87" s="283">
        <v>7</v>
      </c>
      <c r="R87" s="283">
        <v>0</v>
      </c>
      <c r="S87" s="256">
        <f t="shared" si="46"/>
        <v>38</v>
      </c>
      <c r="T87" s="512">
        <f t="shared" ref="T87" si="48">IFERROR((AVERAGE(G87:R87)),0)</f>
        <v>4.2222222222222223</v>
      </c>
      <c r="U87" s="513">
        <f t="shared" si="29"/>
        <v>13.026315789473683</v>
      </c>
      <c r="V87" s="461">
        <f t="shared" si="47"/>
        <v>55</v>
      </c>
      <c r="W87" s="314">
        <v>2022</v>
      </c>
      <c r="X87" s="252" t="s">
        <v>633</v>
      </c>
      <c r="Y87" s="105"/>
      <c r="Z87" s="105"/>
      <c r="AA87" s="104"/>
      <c r="AB87" s="239">
        <v>44653</v>
      </c>
      <c r="AC87" s="291">
        <v>2022</v>
      </c>
      <c r="AD87" s="280" t="s">
        <v>634</v>
      </c>
      <c r="AE87" s="280">
        <v>12.5</v>
      </c>
      <c r="AF87" s="239" t="s">
        <v>609</v>
      </c>
    </row>
    <row r="88" spans="1:32" x14ac:dyDescent="0.2">
      <c r="A88" s="249"/>
      <c r="B88" s="315"/>
      <c r="C88" s="249"/>
      <c r="D88" s="249"/>
      <c r="E88" s="509">
        <v>0</v>
      </c>
      <c r="F88" s="509"/>
      <c r="G88" s="509"/>
      <c r="H88" s="509"/>
      <c r="I88" s="509"/>
      <c r="J88" s="509"/>
      <c r="K88" s="509"/>
      <c r="L88" s="509"/>
      <c r="M88" s="509"/>
      <c r="N88" s="509"/>
      <c r="O88" s="509"/>
      <c r="P88" s="509"/>
      <c r="Q88" s="509"/>
      <c r="R88" s="509"/>
      <c r="S88" s="251">
        <f t="shared" si="23"/>
        <v>0</v>
      </c>
      <c r="T88" s="510">
        <f t="shared" si="33"/>
        <v>0</v>
      </c>
      <c r="U88" s="511">
        <f t="shared" si="29"/>
        <v>0</v>
      </c>
      <c r="V88" s="462"/>
      <c r="W88" s="316"/>
      <c r="X88" s="105"/>
      <c r="Y88" s="105"/>
      <c r="Z88" s="105"/>
      <c r="AA88" s="104"/>
      <c r="AB88" s="239">
        <v>45179</v>
      </c>
      <c r="AC88" s="291">
        <v>2023</v>
      </c>
      <c r="AD88" s="280" t="s">
        <v>635</v>
      </c>
      <c r="AE88" s="280">
        <v>42</v>
      </c>
      <c r="AF88" s="239" t="s">
        <v>609</v>
      </c>
    </row>
    <row r="89" spans="1:32" x14ac:dyDescent="0.2">
      <c r="A89" s="252"/>
      <c r="B89" s="116">
        <v>2015</v>
      </c>
      <c r="C89" s="252"/>
      <c r="D89" s="272"/>
      <c r="E89" s="531">
        <v>91</v>
      </c>
      <c r="F89" s="531">
        <f t="shared" ref="F89:R89" si="49">SUM(F9)</f>
        <v>0</v>
      </c>
      <c r="G89" s="531">
        <f t="shared" si="49"/>
        <v>25</v>
      </c>
      <c r="H89" s="531">
        <f t="shared" si="49"/>
        <v>6</v>
      </c>
      <c r="I89" s="531">
        <f t="shared" si="49"/>
        <v>0</v>
      </c>
      <c r="J89" s="531">
        <f t="shared" si="49"/>
        <v>0</v>
      </c>
      <c r="K89" s="531">
        <f t="shared" si="49"/>
        <v>0</v>
      </c>
      <c r="L89" s="531">
        <f t="shared" si="49"/>
        <v>0</v>
      </c>
      <c r="M89" s="531">
        <f t="shared" si="49"/>
        <v>0</v>
      </c>
      <c r="N89" s="531">
        <f t="shared" si="49"/>
        <v>0</v>
      </c>
      <c r="O89" s="531">
        <f t="shared" si="49"/>
        <v>0</v>
      </c>
      <c r="P89" s="531">
        <f t="shared" si="49"/>
        <v>0</v>
      </c>
      <c r="Q89" s="531">
        <f t="shared" si="49"/>
        <v>0</v>
      </c>
      <c r="R89" s="531">
        <f t="shared" si="49"/>
        <v>-1</v>
      </c>
      <c r="S89" s="256">
        <f t="shared" si="17"/>
        <v>30</v>
      </c>
      <c r="T89" s="512">
        <f t="shared" si="33"/>
        <v>2.5</v>
      </c>
      <c r="U89" s="513">
        <f t="shared" si="29"/>
        <v>24.4</v>
      </c>
      <c r="V89" s="461">
        <f t="shared" ref="V89:V97" si="50">E89+F89-S89</f>
        <v>61</v>
      </c>
      <c r="W89" s="314">
        <v>2015</v>
      </c>
      <c r="X89" s="105"/>
      <c r="Y89" s="105"/>
      <c r="Z89" s="105"/>
      <c r="AA89" s="104"/>
      <c r="AB89" s="239">
        <v>45179</v>
      </c>
      <c r="AC89" s="291">
        <v>2023</v>
      </c>
      <c r="AD89" s="280" t="s">
        <v>636</v>
      </c>
      <c r="AE89" s="280">
        <v>6</v>
      </c>
      <c r="AF89" s="239" t="s">
        <v>609</v>
      </c>
    </row>
    <row r="90" spans="1:32" x14ac:dyDescent="0.2">
      <c r="A90" s="252"/>
      <c r="B90" s="116">
        <v>2016</v>
      </c>
      <c r="C90" s="252"/>
      <c r="D90" s="272"/>
      <c r="E90" s="531">
        <v>0</v>
      </c>
      <c r="F90" s="531">
        <v>0</v>
      </c>
      <c r="G90" s="531">
        <v>0</v>
      </c>
      <c r="H90" s="531">
        <v>0</v>
      </c>
      <c r="I90" s="531">
        <v>0</v>
      </c>
      <c r="J90" s="531"/>
      <c r="K90" s="531"/>
      <c r="L90" s="531"/>
      <c r="M90" s="531"/>
      <c r="N90" s="531"/>
      <c r="O90" s="531"/>
      <c r="P90" s="531"/>
      <c r="Q90" s="531"/>
      <c r="R90" s="531">
        <v>0</v>
      </c>
      <c r="S90" s="256">
        <f t="shared" si="17"/>
        <v>0</v>
      </c>
      <c r="T90" s="512">
        <f t="shared" si="33"/>
        <v>0</v>
      </c>
      <c r="U90" s="513">
        <f t="shared" si="29"/>
        <v>0</v>
      </c>
      <c r="V90" s="461">
        <f t="shared" si="50"/>
        <v>0</v>
      </c>
      <c r="W90" s="314">
        <v>2016</v>
      </c>
      <c r="X90" s="105"/>
      <c r="Y90" s="105"/>
      <c r="Z90" s="104"/>
      <c r="AA90" s="104"/>
      <c r="AB90" s="239">
        <v>45183</v>
      </c>
      <c r="AC90" s="291">
        <v>2023</v>
      </c>
      <c r="AD90" s="280" t="s">
        <v>637</v>
      </c>
      <c r="AE90" s="280">
        <v>24</v>
      </c>
      <c r="AF90" s="239" t="s">
        <v>609</v>
      </c>
    </row>
    <row r="91" spans="1:32" ht="18" x14ac:dyDescent="0.25">
      <c r="A91" s="278"/>
      <c r="B91" s="116">
        <v>2017</v>
      </c>
      <c r="C91" s="252"/>
      <c r="D91" s="272"/>
      <c r="E91" s="531">
        <v>7</v>
      </c>
      <c r="F91" s="531">
        <f>SUM(F11:F11)</f>
        <v>0</v>
      </c>
      <c r="G91" s="531">
        <f t="shared" ref="G91:R91" si="51">SUM(G11)</f>
        <v>3</v>
      </c>
      <c r="H91" s="531">
        <f t="shared" si="51"/>
        <v>4</v>
      </c>
      <c r="I91" s="531">
        <f t="shared" si="51"/>
        <v>0</v>
      </c>
      <c r="J91" s="531">
        <f t="shared" si="51"/>
        <v>0</v>
      </c>
      <c r="K91" s="531">
        <f t="shared" si="51"/>
        <v>0</v>
      </c>
      <c r="L91" s="531">
        <f t="shared" si="51"/>
        <v>0</v>
      </c>
      <c r="M91" s="531">
        <f t="shared" si="51"/>
        <v>0</v>
      </c>
      <c r="N91" s="531">
        <f t="shared" si="51"/>
        <v>0</v>
      </c>
      <c r="O91" s="531">
        <f t="shared" si="51"/>
        <v>0</v>
      </c>
      <c r="P91" s="531">
        <f t="shared" si="51"/>
        <v>0</v>
      </c>
      <c r="Q91" s="531">
        <f t="shared" si="51"/>
        <v>0</v>
      </c>
      <c r="R91" s="531">
        <f t="shared" si="51"/>
        <v>0</v>
      </c>
      <c r="S91" s="256">
        <f t="shared" si="17"/>
        <v>7</v>
      </c>
      <c r="T91" s="512">
        <f t="shared" si="33"/>
        <v>0.58333333333333337</v>
      </c>
      <c r="U91" s="513">
        <f t="shared" si="29"/>
        <v>0</v>
      </c>
      <c r="V91" s="461">
        <f t="shared" si="50"/>
        <v>0</v>
      </c>
      <c r="W91" s="485">
        <v>2017</v>
      </c>
      <c r="X91" s="105"/>
      <c r="Y91" s="105"/>
      <c r="Z91" s="104"/>
      <c r="AA91" s="104"/>
      <c r="AB91" s="239">
        <v>45183</v>
      </c>
      <c r="AC91" s="291">
        <v>2023</v>
      </c>
      <c r="AD91" s="280" t="s">
        <v>638</v>
      </c>
      <c r="AE91" s="280">
        <v>48</v>
      </c>
      <c r="AF91" s="239" t="s">
        <v>609</v>
      </c>
    </row>
    <row r="92" spans="1:32" x14ac:dyDescent="0.2">
      <c r="A92" s="104"/>
      <c r="B92" s="116">
        <v>2018</v>
      </c>
      <c r="C92" s="252"/>
      <c r="D92" s="272"/>
      <c r="E92" s="531">
        <f t="shared" ref="E92:R92" si="52">SUM(E13:E15)</f>
        <v>205</v>
      </c>
      <c r="F92" s="531">
        <f t="shared" si="52"/>
        <v>0</v>
      </c>
      <c r="G92" s="531">
        <f t="shared" si="52"/>
        <v>65</v>
      </c>
      <c r="H92" s="531">
        <f t="shared" si="52"/>
        <v>95</v>
      </c>
      <c r="I92" s="531">
        <f t="shared" si="52"/>
        <v>28</v>
      </c>
      <c r="J92" s="531">
        <f t="shared" si="52"/>
        <v>9</v>
      </c>
      <c r="K92" s="531">
        <f t="shared" si="52"/>
        <v>8</v>
      </c>
      <c r="L92" s="531">
        <f t="shared" si="52"/>
        <v>0</v>
      </c>
      <c r="M92" s="531">
        <f t="shared" si="52"/>
        <v>0</v>
      </c>
      <c r="N92" s="531">
        <f t="shared" si="52"/>
        <v>0</v>
      </c>
      <c r="O92" s="531">
        <f t="shared" si="52"/>
        <v>0</v>
      </c>
      <c r="P92" s="531">
        <f t="shared" si="52"/>
        <v>0</v>
      </c>
      <c r="Q92" s="531">
        <f t="shared" si="52"/>
        <v>0</v>
      </c>
      <c r="R92" s="531">
        <f t="shared" si="52"/>
        <v>0</v>
      </c>
      <c r="S92" s="256">
        <f t="shared" si="17"/>
        <v>205</v>
      </c>
      <c r="T92" s="512">
        <f t="shared" si="33"/>
        <v>17.083333333333332</v>
      </c>
      <c r="U92" s="513">
        <f t="shared" si="29"/>
        <v>0</v>
      </c>
      <c r="V92" s="461">
        <f t="shared" si="50"/>
        <v>0</v>
      </c>
      <c r="W92" s="314">
        <v>2018</v>
      </c>
      <c r="X92" s="105"/>
      <c r="Y92" s="105"/>
      <c r="Z92" s="104"/>
      <c r="AA92" s="104"/>
      <c r="AB92" s="239">
        <v>45191</v>
      </c>
      <c r="AC92" s="291">
        <v>2023</v>
      </c>
      <c r="AD92" s="280" t="s">
        <v>639</v>
      </c>
      <c r="AE92" s="280">
        <v>18</v>
      </c>
      <c r="AF92" s="239" t="s">
        <v>609</v>
      </c>
    </row>
    <row r="93" spans="1:32" x14ac:dyDescent="0.2">
      <c r="A93" s="104"/>
      <c r="B93" s="116">
        <v>2019</v>
      </c>
      <c r="C93" s="252"/>
      <c r="D93" s="273"/>
      <c r="E93" s="531">
        <f>SUM(E19:E30)</f>
        <v>2518</v>
      </c>
      <c r="F93" s="531">
        <f>SUM(F19:F30)</f>
        <v>0</v>
      </c>
      <c r="G93" s="531">
        <f>SUM(G19:G29)</f>
        <v>135</v>
      </c>
      <c r="H93" s="531">
        <f>SUM(H19:H29)</f>
        <v>211</v>
      </c>
      <c r="I93" s="531">
        <f>SUM(I19:I29)</f>
        <v>160</v>
      </c>
      <c r="J93" s="531">
        <f>SUM(J19:J29)</f>
        <v>152</v>
      </c>
      <c r="K93" s="531">
        <f t="shared" ref="K93:R93" si="53">SUM(K19:K30)</f>
        <v>181</v>
      </c>
      <c r="L93" s="531">
        <f t="shared" si="53"/>
        <v>117</v>
      </c>
      <c r="M93" s="531">
        <f t="shared" si="53"/>
        <v>120</v>
      </c>
      <c r="N93" s="531">
        <f t="shared" si="53"/>
        <v>180</v>
      </c>
      <c r="O93" s="531">
        <f t="shared" si="53"/>
        <v>149</v>
      </c>
      <c r="P93" s="531">
        <f t="shared" si="53"/>
        <v>212</v>
      </c>
      <c r="Q93" s="531">
        <f t="shared" si="53"/>
        <v>352</v>
      </c>
      <c r="R93" s="531">
        <f t="shared" si="53"/>
        <v>94</v>
      </c>
      <c r="S93" s="256">
        <f t="shared" si="17"/>
        <v>2063</v>
      </c>
      <c r="T93" s="512">
        <f t="shared" si="33"/>
        <v>171.91666666666666</v>
      </c>
      <c r="U93" s="513">
        <f t="shared" si="29"/>
        <v>2.6466311197285508</v>
      </c>
      <c r="V93" s="461">
        <f t="shared" si="50"/>
        <v>455</v>
      </c>
      <c r="W93" s="314">
        <v>2019</v>
      </c>
      <c r="X93" s="105"/>
      <c r="Y93" s="105"/>
      <c r="Z93" s="104"/>
      <c r="AA93" s="104"/>
      <c r="AB93" s="239">
        <v>45191</v>
      </c>
      <c r="AC93" s="291">
        <v>2023</v>
      </c>
      <c r="AD93" s="280" t="s">
        <v>640</v>
      </c>
      <c r="AE93" s="280">
        <v>48</v>
      </c>
      <c r="AF93" s="239" t="s">
        <v>609</v>
      </c>
    </row>
    <row r="94" spans="1:32" x14ac:dyDescent="0.2">
      <c r="A94" s="104"/>
      <c r="B94" s="116">
        <v>2020</v>
      </c>
      <c r="C94" s="252"/>
      <c r="D94" s="204"/>
      <c r="E94" s="531">
        <f>SUM(E32:E41)</f>
        <v>3387</v>
      </c>
      <c r="F94" s="531">
        <f>SUM(F32:F41)</f>
        <v>0</v>
      </c>
      <c r="G94" s="531">
        <f t="shared" ref="G94:N94" si="54">SUM(G32:G41)</f>
        <v>8</v>
      </c>
      <c r="H94" s="531">
        <f t="shared" si="54"/>
        <v>72</v>
      </c>
      <c r="I94" s="531">
        <f t="shared" si="54"/>
        <v>28</v>
      </c>
      <c r="J94" s="531">
        <f t="shared" si="54"/>
        <v>32</v>
      </c>
      <c r="K94" s="531">
        <f t="shared" si="54"/>
        <v>72</v>
      </c>
      <c r="L94" s="531">
        <f t="shared" si="54"/>
        <v>53</v>
      </c>
      <c r="M94" s="531">
        <f t="shared" si="54"/>
        <v>59</v>
      </c>
      <c r="N94" s="531">
        <f t="shared" si="54"/>
        <v>121</v>
      </c>
      <c r="O94" s="531">
        <f>SUM(O32:O41)</f>
        <v>68</v>
      </c>
      <c r="P94" s="531">
        <f>SUM(P32:P41)</f>
        <v>73</v>
      </c>
      <c r="Q94" s="531">
        <f>SUM(Q32:Q41)</f>
        <v>154</v>
      </c>
      <c r="R94" s="531">
        <f>SUM(R32:R41)</f>
        <v>178</v>
      </c>
      <c r="S94" s="256">
        <f t="shared" si="17"/>
        <v>918</v>
      </c>
      <c r="T94" s="512">
        <f t="shared" si="33"/>
        <v>76.5</v>
      </c>
      <c r="U94" s="513">
        <f t="shared" si="29"/>
        <v>32.274509803921568</v>
      </c>
      <c r="V94" s="461">
        <f t="shared" si="50"/>
        <v>2469</v>
      </c>
      <c r="W94" s="314">
        <v>2020</v>
      </c>
      <c r="X94" s="105"/>
      <c r="Y94" s="105"/>
      <c r="Z94" s="104"/>
      <c r="AA94" s="104"/>
      <c r="AB94" s="239">
        <v>45197</v>
      </c>
      <c r="AC94" s="291">
        <v>2023</v>
      </c>
      <c r="AD94" s="280" t="s">
        <v>641</v>
      </c>
      <c r="AE94" s="280">
        <v>12</v>
      </c>
      <c r="AF94" s="239" t="s">
        <v>609</v>
      </c>
    </row>
    <row r="95" spans="1:32" x14ac:dyDescent="0.2">
      <c r="A95" s="104"/>
      <c r="B95" s="116">
        <v>2021</v>
      </c>
      <c r="C95" s="252"/>
      <c r="D95" s="204"/>
      <c r="E95" s="531">
        <f>SUM(E43:E62)</f>
        <v>4322</v>
      </c>
      <c r="F95" s="531">
        <f>SUM(F43:F62)</f>
        <v>144</v>
      </c>
      <c r="G95" s="531">
        <f t="shared" ref="G95:N95" si="55">SUM(G43:G62)</f>
        <v>58</v>
      </c>
      <c r="H95" s="531">
        <f t="shared" si="55"/>
        <v>124</v>
      </c>
      <c r="I95" s="531">
        <f t="shared" si="55"/>
        <v>96</v>
      </c>
      <c r="J95" s="531">
        <f t="shared" si="55"/>
        <v>85</v>
      </c>
      <c r="K95" s="531">
        <f t="shared" si="55"/>
        <v>138</v>
      </c>
      <c r="L95" s="531">
        <f t="shared" si="55"/>
        <v>55</v>
      </c>
      <c r="M95" s="531">
        <f t="shared" si="55"/>
        <v>67</v>
      </c>
      <c r="N95" s="531">
        <f t="shared" si="55"/>
        <v>68</v>
      </c>
      <c r="O95" s="531">
        <f>SUM(O43:O62)</f>
        <v>57</v>
      </c>
      <c r="P95" s="531">
        <f>SUM(P43:P62)</f>
        <v>83</v>
      </c>
      <c r="Q95" s="531">
        <f>SUM(Q43:Q62)</f>
        <v>33</v>
      </c>
      <c r="R95" s="531">
        <f>SUM(R43:R62)</f>
        <v>61</v>
      </c>
      <c r="S95" s="285">
        <f>SUM(G95:R95)</f>
        <v>925</v>
      </c>
      <c r="T95" s="512">
        <f t="shared" si="33"/>
        <v>77.083333333333329</v>
      </c>
      <c r="U95" s="513">
        <f t="shared" si="29"/>
        <v>45.937297297297299</v>
      </c>
      <c r="V95" s="461">
        <f t="shared" si="50"/>
        <v>3541</v>
      </c>
      <c r="W95" s="314">
        <v>2021</v>
      </c>
      <c r="X95" s="105"/>
      <c r="Y95" s="105"/>
      <c r="Z95" s="104"/>
      <c r="AA95" s="104"/>
      <c r="AB95" s="239">
        <v>45197</v>
      </c>
      <c r="AC95" s="291">
        <v>2023</v>
      </c>
      <c r="AD95" s="280" t="s">
        <v>642</v>
      </c>
      <c r="AE95" s="280">
        <v>9</v>
      </c>
      <c r="AF95" s="239" t="s">
        <v>609</v>
      </c>
    </row>
    <row r="96" spans="1:32" s="199" customFormat="1" ht="18" x14ac:dyDescent="0.25">
      <c r="A96" s="104"/>
      <c r="B96" s="116">
        <v>2022</v>
      </c>
      <c r="C96" s="252"/>
      <c r="D96" s="204"/>
      <c r="E96" s="531">
        <f t="shared" ref="E96:S96" si="56">SUM(E64:E87)</f>
        <v>44</v>
      </c>
      <c r="F96" s="531">
        <f t="shared" si="56"/>
        <v>4117</v>
      </c>
      <c r="G96" s="531">
        <f t="shared" si="56"/>
        <v>0</v>
      </c>
      <c r="H96" s="531">
        <f t="shared" si="56"/>
        <v>0</v>
      </c>
      <c r="I96" s="531">
        <f t="shared" si="56"/>
        <v>78</v>
      </c>
      <c r="J96" s="531">
        <f t="shared" si="56"/>
        <v>85</v>
      </c>
      <c r="K96" s="531">
        <f t="shared" si="56"/>
        <v>74</v>
      </c>
      <c r="L96" s="531">
        <f t="shared" si="56"/>
        <v>57</v>
      </c>
      <c r="M96" s="531">
        <f t="shared" si="56"/>
        <v>74</v>
      </c>
      <c r="N96" s="531">
        <f t="shared" si="56"/>
        <v>89</v>
      </c>
      <c r="O96" s="531">
        <f>SUM(O64:O87)</f>
        <v>44</v>
      </c>
      <c r="P96" s="531">
        <f>SUM(P64:P87)</f>
        <v>55</v>
      </c>
      <c r="Q96" s="531">
        <f>SUM(Q64:Q87)</f>
        <v>85</v>
      </c>
      <c r="R96" s="531">
        <f>SUM(R64:R87)</f>
        <v>106</v>
      </c>
      <c r="S96" s="532">
        <f t="shared" si="56"/>
        <v>747</v>
      </c>
      <c r="T96" s="512">
        <f t="shared" si="33"/>
        <v>62.25</v>
      </c>
      <c r="U96" s="513">
        <f t="shared" si="29"/>
        <v>54.843373493975903</v>
      </c>
      <c r="V96" s="461">
        <f t="shared" si="50"/>
        <v>3414</v>
      </c>
      <c r="W96" s="533">
        <v>2022</v>
      </c>
      <c r="X96" s="105"/>
      <c r="Y96" s="105"/>
      <c r="Z96" s="104"/>
      <c r="AA96" s="104"/>
      <c r="AB96" s="239">
        <v>45197</v>
      </c>
      <c r="AC96" s="291">
        <v>2023</v>
      </c>
      <c r="AD96" s="280" t="s">
        <v>643</v>
      </c>
      <c r="AE96" s="280">
        <v>9</v>
      </c>
      <c r="AF96" s="239" t="s">
        <v>609</v>
      </c>
    </row>
    <row r="97" spans="1:33" ht="18" x14ac:dyDescent="0.25">
      <c r="A97" s="104"/>
      <c r="B97" s="202" t="s">
        <v>78</v>
      </c>
      <c r="C97" s="278"/>
      <c r="D97" s="203"/>
      <c r="E97" s="534">
        <f>SUM(E89:E96)</f>
        <v>10574</v>
      </c>
      <c r="F97" s="534">
        <f>SUM(F89:F96)</f>
        <v>4261</v>
      </c>
      <c r="G97" s="534">
        <f>SUM(G89:G96)</f>
        <v>294</v>
      </c>
      <c r="H97" s="534">
        <f>SUM(H89:H96)</f>
        <v>512</v>
      </c>
      <c r="I97" s="534">
        <f>SUM(I89:I96)</f>
        <v>390</v>
      </c>
      <c r="J97" s="534">
        <f t="shared" ref="J97:N97" si="57">SUM(J89:J96)</f>
        <v>363</v>
      </c>
      <c r="K97" s="534">
        <f t="shared" si="57"/>
        <v>473</v>
      </c>
      <c r="L97" s="534">
        <f t="shared" si="57"/>
        <v>282</v>
      </c>
      <c r="M97" s="534">
        <f t="shared" si="57"/>
        <v>320</v>
      </c>
      <c r="N97" s="534">
        <f t="shared" si="57"/>
        <v>458</v>
      </c>
      <c r="O97" s="534">
        <f>SUM(O89:O96)</f>
        <v>318</v>
      </c>
      <c r="P97" s="534">
        <f>SUM(P89:P96)</f>
        <v>423</v>
      </c>
      <c r="Q97" s="534">
        <f>SUM(Q89:Q96)</f>
        <v>624</v>
      </c>
      <c r="R97" s="534">
        <f>SUM(R89:R96)</f>
        <v>438</v>
      </c>
      <c r="S97" s="292">
        <f>SUM(G97:R97)</f>
        <v>4895</v>
      </c>
      <c r="T97" s="512">
        <f t="shared" si="33"/>
        <v>407.91666666666669</v>
      </c>
      <c r="U97" s="513">
        <f t="shared" si="29"/>
        <v>24.367722165474973</v>
      </c>
      <c r="V97" s="461">
        <f t="shared" si="50"/>
        <v>9940</v>
      </c>
      <c r="W97" s="317" t="s">
        <v>78</v>
      </c>
      <c r="X97" s="105"/>
      <c r="Y97" s="105"/>
      <c r="Z97" s="104"/>
      <c r="AA97" s="104"/>
      <c r="AB97" s="239">
        <v>45201</v>
      </c>
      <c r="AC97" s="291">
        <v>2023</v>
      </c>
      <c r="AD97" s="280" t="s">
        <v>644</v>
      </c>
      <c r="AE97" s="280">
        <v>12</v>
      </c>
      <c r="AF97" s="239" t="s">
        <v>609</v>
      </c>
      <c r="AG97" s="104"/>
    </row>
    <row r="98" spans="1:33" x14ac:dyDescent="0.2">
      <c r="A98" s="249"/>
      <c r="B98" s="120"/>
      <c r="C98" s="117"/>
      <c r="D98" s="249"/>
      <c r="E98" s="119"/>
      <c r="F98" s="119"/>
      <c r="G98" s="119"/>
      <c r="H98" s="119"/>
      <c r="I98" s="119"/>
      <c r="J98" s="119"/>
      <c r="K98" s="119"/>
      <c r="L98" s="120"/>
      <c r="M98" s="120"/>
      <c r="N98" s="120"/>
      <c r="O98" s="120"/>
      <c r="P98" s="120"/>
      <c r="Q98" s="120"/>
      <c r="R98" s="120"/>
      <c r="S98" s="120"/>
      <c r="T98" s="166"/>
      <c r="U98" s="167"/>
      <c r="V98" s="160"/>
      <c r="W98" s="215"/>
      <c r="X98" s="104"/>
      <c r="Y98" s="105"/>
      <c r="Z98" s="104"/>
      <c r="AA98" s="104"/>
      <c r="AB98" s="239">
        <v>45204</v>
      </c>
      <c r="AC98" s="291">
        <v>2023</v>
      </c>
      <c r="AD98" s="280" t="s">
        <v>645</v>
      </c>
      <c r="AE98" s="280">
        <v>12</v>
      </c>
      <c r="AF98" s="239" t="s">
        <v>609</v>
      </c>
      <c r="AG98" s="104"/>
    </row>
    <row r="99" spans="1:33" x14ac:dyDescent="0.2">
      <c r="A99" s="104" t="s">
        <v>551</v>
      </c>
      <c r="B99" s="116">
        <v>2021</v>
      </c>
      <c r="C99" s="252" t="s">
        <v>544</v>
      </c>
      <c r="D99" s="477"/>
      <c r="E99" s="241">
        <v>15</v>
      </c>
      <c r="F99" s="241">
        <v>0</v>
      </c>
      <c r="G99" s="283">
        <v>1</v>
      </c>
      <c r="H99" s="283">
        <v>2</v>
      </c>
      <c r="I99" s="283">
        <v>6</v>
      </c>
      <c r="J99" s="283">
        <v>6</v>
      </c>
      <c r="K99" s="283"/>
      <c r="L99" s="283"/>
      <c r="M99" s="283"/>
      <c r="N99" s="283"/>
      <c r="O99" s="283"/>
      <c r="P99" s="283"/>
      <c r="Q99" s="283"/>
      <c r="R99" s="283"/>
      <c r="S99" s="256">
        <f t="shared" ref="S99:S101" si="58">SUM(G99:R99)</f>
        <v>15</v>
      </c>
      <c r="T99" s="512">
        <f t="shared" ref="T99:T101" si="59">IFERROR((AVERAGE(G99:R99)),0)</f>
        <v>3.75</v>
      </c>
      <c r="U99" s="513">
        <f t="shared" ref="U99:U104" si="60">IFERROR((V99/T99),0)</f>
        <v>0</v>
      </c>
      <c r="V99" s="461">
        <f t="shared" ref="V99:V104" si="61">E99+F99-S99</f>
        <v>0</v>
      </c>
      <c r="W99" s="213"/>
      <c r="X99" s="104"/>
      <c r="Y99" s="105"/>
      <c r="Z99" s="104"/>
      <c r="AA99" s="104"/>
      <c r="AB99" s="239">
        <v>45205</v>
      </c>
      <c r="AC99" s="291">
        <v>2023</v>
      </c>
      <c r="AD99" s="280" t="s">
        <v>646</v>
      </c>
      <c r="AE99" s="280">
        <v>81</v>
      </c>
      <c r="AF99" s="239" t="s">
        <v>609</v>
      </c>
      <c r="AG99" s="104"/>
    </row>
    <row r="100" spans="1:33" x14ac:dyDescent="0.2">
      <c r="A100" s="104" t="s">
        <v>551</v>
      </c>
      <c r="B100" s="116">
        <v>2021</v>
      </c>
      <c r="C100" s="252" t="s">
        <v>545</v>
      </c>
      <c r="D100" s="477"/>
      <c r="E100" s="241">
        <v>16</v>
      </c>
      <c r="F100" s="241">
        <v>0</v>
      </c>
      <c r="G100" s="283">
        <v>1</v>
      </c>
      <c r="H100" s="283">
        <v>3</v>
      </c>
      <c r="I100" s="283">
        <v>6</v>
      </c>
      <c r="J100" s="283">
        <v>6</v>
      </c>
      <c r="K100" s="283"/>
      <c r="L100" s="283"/>
      <c r="M100" s="283"/>
      <c r="N100" s="283"/>
      <c r="O100" s="283"/>
      <c r="P100" s="283"/>
      <c r="Q100" s="283"/>
      <c r="R100" s="283"/>
      <c r="S100" s="256">
        <f t="shared" si="58"/>
        <v>16</v>
      </c>
      <c r="T100" s="512">
        <f t="shared" si="59"/>
        <v>4</v>
      </c>
      <c r="U100" s="513">
        <f t="shared" si="60"/>
        <v>0</v>
      </c>
      <c r="V100" s="461">
        <f t="shared" si="61"/>
        <v>0</v>
      </c>
      <c r="W100" s="216" t="s">
        <v>35</v>
      </c>
      <c r="X100" s="105"/>
      <c r="Y100" s="105"/>
      <c r="Z100" s="104"/>
      <c r="AA100" s="104"/>
      <c r="AB100" s="239">
        <v>45205</v>
      </c>
      <c r="AC100" s="291">
        <v>2023</v>
      </c>
      <c r="AD100" s="280" t="s">
        <v>647</v>
      </c>
      <c r="AE100" s="280">
        <v>9</v>
      </c>
      <c r="AF100" s="239" t="s">
        <v>609</v>
      </c>
      <c r="AG100"/>
    </row>
    <row r="101" spans="1:33" ht="18" x14ac:dyDescent="0.25">
      <c r="A101" s="104" t="s">
        <v>551</v>
      </c>
      <c r="B101" s="116">
        <v>2021</v>
      </c>
      <c r="C101" s="252" t="s">
        <v>546</v>
      </c>
      <c r="D101" s="477"/>
      <c r="E101" s="241">
        <v>35</v>
      </c>
      <c r="F101" s="241">
        <v>0</v>
      </c>
      <c r="G101" s="283">
        <v>3</v>
      </c>
      <c r="H101" s="283">
        <v>8</v>
      </c>
      <c r="I101" s="283">
        <v>3</v>
      </c>
      <c r="J101" s="283">
        <v>21</v>
      </c>
      <c r="K101" s="283"/>
      <c r="L101" s="283"/>
      <c r="M101" s="283"/>
      <c r="N101" s="283"/>
      <c r="O101" s="283"/>
      <c r="P101" s="283"/>
      <c r="Q101" s="283"/>
      <c r="R101" s="283"/>
      <c r="S101" s="256">
        <f t="shared" si="58"/>
        <v>35</v>
      </c>
      <c r="T101" s="512">
        <f t="shared" si="59"/>
        <v>8.75</v>
      </c>
      <c r="U101" s="513">
        <f t="shared" si="60"/>
        <v>0</v>
      </c>
      <c r="V101" s="461">
        <f t="shared" si="61"/>
        <v>0</v>
      </c>
      <c r="W101" s="213"/>
      <c r="X101" s="200"/>
      <c r="Y101" s="105"/>
      <c r="Z101" s="105"/>
      <c r="AA101" s="104"/>
      <c r="AB101" s="239">
        <v>45205</v>
      </c>
      <c r="AC101" s="291">
        <v>2023</v>
      </c>
      <c r="AD101" s="280" t="s">
        <v>648</v>
      </c>
      <c r="AE101" s="280">
        <v>24</v>
      </c>
      <c r="AF101" s="239" t="s">
        <v>609</v>
      </c>
      <c r="AG101" s="104"/>
    </row>
    <row r="102" spans="1:33" x14ac:dyDescent="0.2">
      <c r="A102" s="104" t="s">
        <v>551</v>
      </c>
      <c r="B102" s="116">
        <v>2022</v>
      </c>
      <c r="C102" s="252" t="s">
        <v>544</v>
      </c>
      <c r="D102" s="477"/>
      <c r="E102" s="241">
        <v>160</v>
      </c>
      <c r="F102" s="241">
        <v>0</v>
      </c>
      <c r="G102" s="283"/>
      <c r="H102" s="283"/>
      <c r="I102" s="283"/>
      <c r="J102" s="283">
        <v>10</v>
      </c>
      <c r="K102" s="283">
        <v>20</v>
      </c>
      <c r="L102" s="283">
        <v>7</v>
      </c>
      <c r="M102" s="283">
        <v>3</v>
      </c>
      <c r="N102" s="283">
        <v>9</v>
      </c>
      <c r="O102" s="283">
        <v>4</v>
      </c>
      <c r="P102" s="283">
        <v>12</v>
      </c>
      <c r="Q102" s="283">
        <v>4</v>
      </c>
      <c r="R102" s="283">
        <v>1</v>
      </c>
      <c r="S102" s="256">
        <f t="shared" ref="S102:S104" si="62">SUM(G102:R102)</f>
        <v>70</v>
      </c>
      <c r="T102" s="512">
        <f t="shared" ref="T102:T104" si="63">IFERROR((AVERAGE(G102:R102)),0)</f>
        <v>7.7777777777777777</v>
      </c>
      <c r="U102" s="513">
        <f t="shared" si="60"/>
        <v>11.571428571428571</v>
      </c>
      <c r="V102" s="461">
        <f t="shared" si="61"/>
        <v>90</v>
      </c>
      <c r="W102" s="213"/>
      <c r="X102" s="105"/>
      <c r="Y102" s="105"/>
      <c r="Z102" s="105"/>
      <c r="AA102" s="104"/>
      <c r="AB102" s="239">
        <v>45211</v>
      </c>
      <c r="AC102" s="291">
        <v>2023</v>
      </c>
      <c r="AD102" s="280" t="s">
        <v>649</v>
      </c>
      <c r="AE102" s="280">
        <v>12</v>
      </c>
      <c r="AF102" s="239" t="s">
        <v>609</v>
      </c>
      <c r="AG102" s="104"/>
    </row>
    <row r="103" spans="1:33" x14ac:dyDescent="0.2">
      <c r="A103" s="104" t="s">
        <v>551</v>
      </c>
      <c r="B103" s="116">
        <v>2022</v>
      </c>
      <c r="C103" s="252" t="s">
        <v>545</v>
      </c>
      <c r="D103" s="477"/>
      <c r="E103" s="241">
        <v>163</v>
      </c>
      <c r="F103" s="241">
        <v>0</v>
      </c>
      <c r="G103" s="283"/>
      <c r="H103" s="283"/>
      <c r="I103" s="283"/>
      <c r="J103" s="283">
        <v>5</v>
      </c>
      <c r="K103" s="283">
        <v>11</v>
      </c>
      <c r="L103" s="283">
        <v>12</v>
      </c>
      <c r="M103" s="283">
        <v>8</v>
      </c>
      <c r="N103" s="283">
        <v>27</v>
      </c>
      <c r="O103" s="283">
        <v>3</v>
      </c>
      <c r="P103" s="283">
        <v>5</v>
      </c>
      <c r="Q103" s="283">
        <v>2</v>
      </c>
      <c r="R103" s="283">
        <v>2</v>
      </c>
      <c r="S103" s="256">
        <f t="shared" si="62"/>
        <v>75</v>
      </c>
      <c r="T103" s="512">
        <f t="shared" si="63"/>
        <v>8.3333333333333339</v>
      </c>
      <c r="U103" s="513">
        <f t="shared" si="60"/>
        <v>10.559999999999999</v>
      </c>
      <c r="V103" s="461">
        <f t="shared" si="61"/>
        <v>88</v>
      </c>
      <c r="W103" s="213"/>
      <c r="X103" s="105"/>
      <c r="Y103" s="105"/>
      <c r="Z103" s="105"/>
      <c r="AA103" s="104"/>
      <c r="AB103" s="239">
        <v>45222</v>
      </c>
      <c r="AC103" s="291">
        <v>2023</v>
      </c>
      <c r="AD103" s="280" t="s">
        <v>650</v>
      </c>
      <c r="AE103" s="280">
        <v>24</v>
      </c>
      <c r="AF103" s="239" t="s">
        <v>609</v>
      </c>
      <c r="AG103" s="104"/>
    </row>
    <row r="104" spans="1:33" x14ac:dyDescent="0.2">
      <c r="A104" s="104" t="s">
        <v>551</v>
      </c>
      <c r="B104" s="116">
        <v>2022</v>
      </c>
      <c r="C104" s="252" t="s">
        <v>546</v>
      </c>
      <c r="D104" s="477"/>
      <c r="E104" s="241">
        <v>165</v>
      </c>
      <c r="F104" s="241">
        <v>0</v>
      </c>
      <c r="G104" s="283"/>
      <c r="H104" s="283"/>
      <c r="I104" s="283"/>
      <c r="J104" s="283"/>
      <c r="K104" s="283">
        <v>19</v>
      </c>
      <c r="L104" s="283">
        <v>17</v>
      </c>
      <c r="M104" s="283">
        <v>10</v>
      </c>
      <c r="N104" s="283">
        <v>12</v>
      </c>
      <c r="O104" s="283">
        <v>12</v>
      </c>
      <c r="P104" s="283">
        <v>10</v>
      </c>
      <c r="Q104" s="283">
        <v>5</v>
      </c>
      <c r="R104" s="283">
        <v>0</v>
      </c>
      <c r="S104" s="256">
        <f t="shared" si="62"/>
        <v>85</v>
      </c>
      <c r="T104" s="512">
        <f t="shared" si="63"/>
        <v>10.625</v>
      </c>
      <c r="U104" s="513">
        <f t="shared" si="60"/>
        <v>7.5294117647058822</v>
      </c>
      <c r="V104" s="461">
        <f t="shared" si="61"/>
        <v>80</v>
      </c>
      <c r="W104" s="213"/>
      <c r="X104" s="105"/>
      <c r="Y104" s="105"/>
      <c r="Z104" s="105"/>
      <c r="AA104" s="104"/>
      <c r="AB104" s="239">
        <v>45224</v>
      </c>
      <c r="AC104" s="291">
        <v>2023</v>
      </c>
      <c r="AD104" s="280" t="s">
        <v>651</v>
      </c>
      <c r="AE104" s="280">
        <v>42</v>
      </c>
      <c r="AF104" s="239" t="s">
        <v>609</v>
      </c>
      <c r="AG104" s="104"/>
    </row>
    <row r="105" spans="1:33" x14ac:dyDescent="0.2">
      <c r="A105" s="104"/>
      <c r="B105" s="105"/>
      <c r="C105" s="104"/>
      <c r="D105" s="105"/>
      <c r="E105" s="105"/>
      <c r="F105" s="105"/>
      <c r="G105" s="187"/>
      <c r="H105" s="187"/>
      <c r="I105" s="187"/>
      <c r="J105" s="187"/>
      <c r="K105" s="187"/>
      <c r="L105" s="105"/>
      <c r="M105" s="105"/>
      <c r="N105" s="105"/>
      <c r="O105" s="105"/>
      <c r="P105" s="105"/>
      <c r="Q105" s="105"/>
      <c r="R105" s="105"/>
      <c r="S105" s="105"/>
      <c r="T105" s="105"/>
      <c r="U105" s="105"/>
      <c r="V105" s="105"/>
      <c r="W105" s="104"/>
      <c r="X105" s="213"/>
      <c r="Y105" s="105"/>
      <c r="Z105" s="105"/>
      <c r="AA105" s="104"/>
      <c r="AB105" s="239">
        <v>45179</v>
      </c>
      <c r="AC105" s="291">
        <v>2023</v>
      </c>
      <c r="AD105" s="280" t="s">
        <v>652</v>
      </c>
      <c r="AE105" s="280">
        <v>20</v>
      </c>
      <c r="AF105" s="239" t="s">
        <v>538</v>
      </c>
      <c r="AG105" s="104"/>
    </row>
    <row r="106" spans="1:33" x14ac:dyDescent="0.2">
      <c r="A106" s="104"/>
      <c r="B106"/>
      <c r="C106" s="104"/>
      <c r="D106" s="105"/>
      <c r="E106" s="105"/>
      <c r="F106" s="105"/>
      <c r="G106" s="105"/>
      <c r="H106" s="105"/>
      <c r="I106" s="105"/>
      <c r="J106" s="105"/>
      <c r="K106" s="105"/>
      <c r="L106" s="105"/>
      <c r="M106" s="105"/>
      <c r="N106" s="105"/>
      <c r="O106" s="105"/>
      <c r="P106" s="105"/>
      <c r="Q106" s="105"/>
      <c r="R106" s="105"/>
      <c r="S106" s="105"/>
      <c r="T106" s="105"/>
      <c r="U106" s="105"/>
      <c r="V106" s="105"/>
      <c r="W106" s="104"/>
      <c r="X106" s="213"/>
      <c r="Y106" s="105"/>
      <c r="Z106" s="104"/>
      <c r="AA106" s="104"/>
      <c r="AB106" s="239">
        <v>45183</v>
      </c>
      <c r="AC106" s="291">
        <v>2023</v>
      </c>
      <c r="AD106" s="280" t="s">
        <v>653</v>
      </c>
      <c r="AE106" s="280">
        <v>24</v>
      </c>
      <c r="AF106" s="239" t="s">
        <v>538</v>
      </c>
      <c r="AG106" s="104"/>
    </row>
    <row r="107" spans="1:33" ht="18" x14ac:dyDescent="0.25">
      <c r="A107" s="104"/>
      <c r="B107" s="105" t="s">
        <v>654</v>
      </c>
      <c r="C107" s="105" t="s">
        <v>655</v>
      </c>
      <c r="D107" s="105"/>
      <c r="E107"/>
      <c r="F107"/>
      <c r="G107"/>
      <c r="H107"/>
      <c r="I107" s="105"/>
      <c r="J107" s="105"/>
      <c r="K107" s="105"/>
      <c r="L107" s="105"/>
      <c r="M107" s="105"/>
      <c r="N107" s="105"/>
      <c r="O107" s="105"/>
      <c r="P107" s="105"/>
      <c r="Q107" s="105"/>
      <c r="R107" s="105"/>
      <c r="S107" s="105"/>
      <c r="T107" s="105"/>
      <c r="U107" s="105"/>
      <c r="V107" s="105"/>
      <c r="W107" s="213"/>
      <c r="X107" s="104"/>
      <c r="Y107" s="200"/>
      <c r="Z107" s="199"/>
      <c r="AA107" s="104"/>
      <c r="AB107" s="239">
        <v>45191</v>
      </c>
      <c r="AC107" s="291">
        <v>2023</v>
      </c>
      <c r="AD107" s="280" t="s">
        <v>656</v>
      </c>
      <c r="AE107" s="280">
        <v>50</v>
      </c>
      <c r="AF107" s="239" t="s">
        <v>538</v>
      </c>
      <c r="AG107" s="104"/>
    </row>
    <row r="108" spans="1:33" ht="15.75" x14ac:dyDescent="0.25">
      <c r="A108" s="104"/>
      <c r="B108" s="220">
        <v>2022</v>
      </c>
      <c r="C108" s="221">
        <v>4655</v>
      </c>
      <c r="D108" s="105"/>
      <c r="E108"/>
      <c r="F108"/>
      <c r="G108"/>
      <c r="H108"/>
      <c r="I108" s="105"/>
      <c r="J108" s="105"/>
      <c r="K108" s="105"/>
      <c r="L108" s="105"/>
      <c r="M108" s="105"/>
      <c r="N108" s="105"/>
      <c r="O108" s="105"/>
      <c r="P108" s="105"/>
      <c r="Q108" s="105"/>
      <c r="R108" s="105"/>
      <c r="S108" s="105"/>
      <c r="T108" s="105"/>
      <c r="U108" s="105"/>
      <c r="V108" s="105"/>
      <c r="W108" s="213"/>
      <c r="X108" s="104"/>
      <c r="Y108" s="105"/>
      <c r="Z108" s="104"/>
      <c r="AA108" s="104"/>
      <c r="AB108" s="239">
        <v>45205</v>
      </c>
      <c r="AC108" s="291">
        <v>2023</v>
      </c>
      <c r="AD108" s="280" t="s">
        <v>657</v>
      </c>
      <c r="AE108" s="280">
        <v>150</v>
      </c>
      <c r="AF108" s="239" t="s">
        <v>538</v>
      </c>
      <c r="AG108" s="104"/>
    </row>
    <row r="109" spans="1:33" ht="15.75" x14ac:dyDescent="0.25">
      <c r="A109" s="104"/>
      <c r="B109" s="222" t="s">
        <v>52</v>
      </c>
      <c r="C109" s="223">
        <v>4655</v>
      </c>
      <c r="D109" s="105"/>
      <c r="E109"/>
      <c r="F109"/>
      <c r="G109"/>
      <c r="H109"/>
      <c r="I109" s="105"/>
      <c r="J109" s="105"/>
      <c r="K109" s="105"/>
      <c r="L109" s="105"/>
      <c r="M109" s="105"/>
      <c r="N109" s="105"/>
      <c r="O109" s="105"/>
      <c r="P109" s="105"/>
      <c r="Q109" s="105"/>
      <c r="R109" s="105"/>
      <c r="S109" s="105"/>
      <c r="T109" s="105"/>
      <c r="U109" s="105"/>
      <c r="V109" s="105"/>
      <c r="W109" s="213"/>
      <c r="X109" s="104"/>
      <c r="Y109" s="105"/>
      <c r="Z109" s="104"/>
      <c r="AA109" s="104"/>
      <c r="AB109" s="239">
        <v>45205</v>
      </c>
      <c r="AC109" s="291">
        <v>2023</v>
      </c>
      <c r="AD109" s="280" t="s">
        <v>658</v>
      </c>
      <c r="AE109" s="280">
        <v>70</v>
      </c>
      <c r="AF109" s="239" t="s">
        <v>538</v>
      </c>
      <c r="AG109" s="104"/>
    </row>
    <row r="110" spans="1:33" x14ac:dyDescent="0.2">
      <c r="A110" s="104"/>
      <c r="B110" s="209" t="s">
        <v>555</v>
      </c>
      <c r="C110">
        <v>1085</v>
      </c>
      <c r="D110" s="105"/>
      <c r="E110"/>
      <c r="F110"/>
      <c r="G110"/>
      <c r="H110"/>
      <c r="I110" s="105"/>
      <c r="J110" s="105"/>
      <c r="K110" s="105"/>
      <c r="L110" s="105"/>
      <c r="M110" s="105"/>
      <c r="N110" s="105"/>
      <c r="O110" s="105"/>
      <c r="P110" s="105"/>
      <c r="Q110" s="105"/>
      <c r="R110" s="105"/>
      <c r="S110" s="105"/>
      <c r="T110" s="105"/>
      <c r="U110" s="105"/>
      <c r="V110" s="105"/>
      <c r="W110" s="213"/>
      <c r="X110" s="104"/>
      <c r="Y110" s="105"/>
      <c r="Z110" s="104"/>
      <c r="AA110" s="104"/>
      <c r="AB110" s="239">
        <v>45222</v>
      </c>
      <c r="AC110" s="291">
        <v>2023</v>
      </c>
      <c r="AD110" s="280" t="s">
        <v>659</v>
      </c>
      <c r="AE110" s="280">
        <v>10</v>
      </c>
      <c r="AF110" s="239" t="s">
        <v>538</v>
      </c>
      <c r="AG110" s="104"/>
    </row>
    <row r="111" spans="1:33" x14ac:dyDescent="0.2">
      <c r="A111" s="104"/>
      <c r="B111" s="209" t="s">
        <v>26</v>
      </c>
      <c r="C111">
        <v>980</v>
      </c>
      <c r="D111" s="105"/>
      <c r="E111"/>
      <c r="F111"/>
      <c r="G111"/>
      <c r="H111"/>
      <c r="I111" s="105"/>
      <c r="J111" s="105"/>
      <c r="K111" s="105"/>
      <c r="L111" s="105"/>
      <c r="M111" s="105"/>
      <c r="N111" s="105"/>
      <c r="O111" s="105"/>
      <c r="P111" s="105"/>
      <c r="Q111" s="105"/>
      <c r="R111" s="105"/>
      <c r="S111" s="105"/>
      <c r="T111" s="105"/>
      <c r="U111" s="105"/>
      <c r="V111" s="105"/>
      <c r="W111" s="213"/>
      <c r="X111" s="104"/>
      <c r="Y111" s="104"/>
      <c r="Z111" s="105"/>
      <c r="AA111" s="105"/>
      <c r="AB111" s="239">
        <v>45224</v>
      </c>
      <c r="AC111" s="291">
        <v>2023</v>
      </c>
      <c r="AD111" s="280" t="s">
        <v>660</v>
      </c>
      <c r="AE111" s="280">
        <v>80</v>
      </c>
      <c r="AF111" s="239" t="s">
        <v>538</v>
      </c>
      <c r="AG111" s="104"/>
    </row>
    <row r="112" spans="1:33" x14ac:dyDescent="0.2">
      <c r="A112" s="104"/>
      <c r="B112" s="209" t="s">
        <v>94</v>
      </c>
      <c r="C112">
        <v>1330</v>
      </c>
      <c r="D112" s="105"/>
      <c r="E112"/>
      <c r="F112"/>
      <c r="G112"/>
      <c r="H112"/>
      <c r="I112" s="105"/>
      <c r="J112" s="105"/>
      <c r="K112" s="105"/>
      <c r="L112" s="105"/>
      <c r="M112" s="105"/>
      <c r="N112" s="105"/>
      <c r="O112" s="105"/>
      <c r="P112" s="105"/>
      <c r="Q112" s="105"/>
      <c r="R112" s="105"/>
      <c r="S112" s="105"/>
      <c r="T112" s="105"/>
      <c r="U112" s="105"/>
      <c r="V112" s="105"/>
      <c r="W112" s="213"/>
      <c r="X112" s="104"/>
      <c r="Y112" s="104"/>
      <c r="Z112" s="105"/>
      <c r="AA112" s="105"/>
      <c r="AB112" s="239">
        <v>45210</v>
      </c>
      <c r="AC112" s="291">
        <v>2023</v>
      </c>
      <c r="AD112" s="280" t="s">
        <v>661</v>
      </c>
      <c r="AE112" s="280">
        <v>30</v>
      </c>
      <c r="AF112" s="239" t="s">
        <v>609</v>
      </c>
      <c r="AG112" s="104"/>
    </row>
    <row r="113" spans="2:32" x14ac:dyDescent="0.2">
      <c r="B113" s="209" t="s">
        <v>473</v>
      </c>
      <c r="C113">
        <v>280</v>
      </c>
      <c r="D113" s="105"/>
      <c r="E113"/>
      <c r="F113"/>
      <c r="G113"/>
      <c r="H113"/>
      <c r="I113" s="105"/>
      <c r="J113" s="105"/>
      <c r="K113" s="105"/>
      <c r="L113" s="105"/>
      <c r="M113" s="105"/>
      <c r="N113" s="105"/>
      <c r="O113" s="105"/>
      <c r="P113" s="105"/>
      <c r="Q113" s="105"/>
      <c r="R113" s="105"/>
      <c r="S113" s="105"/>
      <c r="T113" s="105"/>
      <c r="U113" s="105"/>
      <c r="V113" s="105"/>
      <c r="W113" s="213"/>
      <c r="X113" s="104"/>
      <c r="Y113" s="105"/>
      <c r="Z113" s="105"/>
      <c r="AA113" s="104"/>
      <c r="AB113" s="239">
        <v>45196</v>
      </c>
      <c r="AC113" s="291">
        <v>2023</v>
      </c>
      <c r="AD113" s="280" t="s">
        <v>662</v>
      </c>
      <c r="AE113" s="280">
        <v>17</v>
      </c>
      <c r="AF113" s="239" t="s">
        <v>609</v>
      </c>
    </row>
    <row r="114" spans="2:32" x14ac:dyDescent="0.2">
      <c r="B114" s="209" t="s">
        <v>21</v>
      </c>
      <c r="C114">
        <v>980</v>
      </c>
      <c r="D114" s="105"/>
      <c r="E114"/>
      <c r="F114"/>
      <c r="G114"/>
      <c r="H114"/>
      <c r="I114" s="105"/>
      <c r="J114" s="105"/>
      <c r="K114" s="105"/>
      <c r="L114" s="105"/>
      <c r="M114" s="105"/>
      <c r="N114" s="105"/>
      <c r="O114" s="105"/>
      <c r="P114" s="105"/>
      <c r="Q114" s="105"/>
      <c r="R114" s="105"/>
      <c r="S114" s="105"/>
      <c r="T114" s="105"/>
      <c r="U114" s="105"/>
      <c r="V114" s="105"/>
      <c r="W114" s="213"/>
      <c r="X114" s="104"/>
      <c r="Y114" s="105"/>
      <c r="Z114" s="105"/>
      <c r="AA114" s="104"/>
      <c r="AB114" s="239">
        <v>45197</v>
      </c>
      <c r="AC114" s="291">
        <v>2023</v>
      </c>
      <c r="AD114" s="280" t="s">
        <v>662</v>
      </c>
      <c r="AE114" s="280">
        <v>17</v>
      </c>
      <c r="AF114" s="239" t="s">
        <v>609</v>
      </c>
    </row>
    <row r="115" spans="2:32" ht="15.75" x14ac:dyDescent="0.25">
      <c r="B115" s="220">
        <v>2023</v>
      </c>
      <c r="C115" s="221">
        <v>16080</v>
      </c>
      <c r="D115" s="105"/>
      <c r="E115"/>
      <c r="F115"/>
      <c r="G115"/>
      <c r="H115"/>
      <c r="I115" s="105"/>
      <c r="J115" s="105"/>
      <c r="K115" s="105"/>
      <c r="L115" s="105"/>
      <c r="M115" s="105"/>
      <c r="N115" s="105"/>
      <c r="O115" s="105"/>
      <c r="P115" s="105"/>
      <c r="Q115" s="105"/>
      <c r="R115" s="105"/>
      <c r="S115" s="105"/>
      <c r="T115" s="105"/>
      <c r="U115" s="105"/>
      <c r="V115" s="105"/>
      <c r="W115" s="213"/>
      <c r="X115" s="104"/>
      <c r="Y115" s="105"/>
      <c r="Z115" s="105"/>
      <c r="AA115" s="104"/>
      <c r="AB115" s="104"/>
      <c r="AC115"/>
      <c r="AD115"/>
      <c r="AE115" s="104"/>
      <c r="AF115" s="104"/>
    </row>
    <row r="116" spans="2:32" ht="15.75" x14ac:dyDescent="0.25">
      <c r="B116" s="222" t="s">
        <v>52</v>
      </c>
      <c r="C116" s="223">
        <v>4550</v>
      </c>
      <c r="D116" s="105"/>
      <c r="E116"/>
      <c r="F116"/>
      <c r="G116"/>
      <c r="H116"/>
      <c r="I116" s="105"/>
      <c r="J116" s="105"/>
      <c r="K116" s="105"/>
      <c r="L116" s="105"/>
      <c r="M116" s="105"/>
      <c r="N116" s="105"/>
      <c r="O116" s="105"/>
      <c r="P116" s="105"/>
      <c r="Q116" s="105"/>
      <c r="R116" s="105"/>
      <c r="S116" s="105"/>
      <c r="T116" s="105"/>
      <c r="U116" s="105"/>
      <c r="V116" s="105"/>
      <c r="W116" s="213"/>
      <c r="X116" s="104"/>
      <c r="Y116" s="105"/>
      <c r="Z116" s="105"/>
      <c r="AA116" s="104"/>
      <c r="AB116" s="104"/>
      <c r="AC116"/>
      <c r="AD116"/>
      <c r="AE116" s="104"/>
      <c r="AF116" s="104"/>
    </row>
    <row r="117" spans="2:32" x14ac:dyDescent="0.2">
      <c r="B117" s="209" t="s">
        <v>555</v>
      </c>
      <c r="C117">
        <v>770</v>
      </c>
      <c r="D117" s="105"/>
      <c r="E117"/>
      <c r="F117"/>
      <c r="G117"/>
      <c r="H117"/>
      <c r="I117" s="105"/>
      <c r="J117" s="105"/>
      <c r="K117" s="105"/>
      <c r="L117" s="105"/>
      <c r="M117" s="105"/>
      <c r="N117" s="105"/>
      <c r="O117" s="105"/>
      <c r="P117" s="105"/>
      <c r="Q117" s="105"/>
      <c r="R117" s="105"/>
      <c r="S117" s="105"/>
      <c r="T117" s="105"/>
      <c r="U117" s="105"/>
      <c r="V117" s="105"/>
      <c r="W117" s="213"/>
      <c r="X117" s="104"/>
      <c r="Y117" s="105"/>
      <c r="Z117" s="105"/>
      <c r="AA117" s="104"/>
      <c r="AB117" s="104"/>
      <c r="AC117"/>
      <c r="AD117"/>
      <c r="AE117" s="104"/>
      <c r="AF117" s="104"/>
    </row>
    <row r="118" spans="2:32" x14ac:dyDescent="0.2">
      <c r="B118" s="209" t="s">
        <v>26</v>
      </c>
      <c r="C118">
        <v>280</v>
      </c>
      <c r="D118" s="105"/>
      <c r="E118"/>
      <c r="F118"/>
      <c r="G118"/>
      <c r="H118"/>
      <c r="I118" s="105"/>
      <c r="J118" s="105"/>
      <c r="K118" s="105"/>
      <c r="L118" s="105"/>
      <c r="M118" s="105"/>
      <c r="N118" s="105"/>
      <c r="O118" s="105"/>
      <c r="P118" s="105"/>
      <c r="Q118" s="105"/>
      <c r="R118" s="105"/>
      <c r="S118" s="105"/>
      <c r="T118" s="105"/>
      <c r="U118" s="105"/>
      <c r="V118" s="105"/>
      <c r="W118" s="213"/>
      <c r="X118" s="104"/>
      <c r="Y118" s="105"/>
      <c r="Z118" s="105"/>
      <c r="AA118" s="105"/>
      <c r="AB118" s="104"/>
      <c r="AC118"/>
      <c r="AD118"/>
      <c r="AE118" s="104"/>
      <c r="AF118" s="104"/>
    </row>
    <row r="119" spans="2:32" x14ac:dyDescent="0.2">
      <c r="B119" s="209" t="s">
        <v>70</v>
      </c>
      <c r="C119">
        <v>2030</v>
      </c>
      <c r="D119" s="105"/>
      <c r="E119"/>
      <c r="F119"/>
      <c r="G119"/>
      <c r="H119"/>
      <c r="I119" s="105"/>
      <c r="J119" s="105"/>
      <c r="K119" s="105"/>
      <c r="L119" s="105"/>
      <c r="M119" s="105"/>
      <c r="N119" s="105"/>
      <c r="O119" s="105"/>
      <c r="P119" s="105"/>
      <c r="Q119" s="105"/>
      <c r="R119" s="105"/>
      <c r="S119" s="105"/>
      <c r="T119" s="105"/>
      <c r="U119" s="105"/>
      <c r="V119" s="105"/>
      <c r="W119" s="213"/>
      <c r="X119" s="104"/>
      <c r="Y119" s="105"/>
      <c r="Z119" s="105"/>
      <c r="AA119" s="105"/>
      <c r="AB119" s="104"/>
      <c r="AC119"/>
      <c r="AD119"/>
      <c r="AE119" s="104"/>
      <c r="AF119" s="104"/>
    </row>
    <row r="120" spans="2:32" x14ac:dyDescent="0.2">
      <c r="B120" s="209" t="s">
        <v>473</v>
      </c>
      <c r="C120">
        <v>1190</v>
      </c>
      <c r="D120" s="105"/>
      <c r="E120"/>
      <c r="F120"/>
      <c r="G120"/>
      <c r="H120"/>
      <c r="I120" s="105"/>
      <c r="J120" s="105"/>
      <c r="K120" s="105"/>
      <c r="L120" s="105"/>
      <c r="M120" s="105"/>
      <c r="N120" s="105"/>
      <c r="O120" s="105"/>
      <c r="P120" s="105"/>
      <c r="Q120" s="105"/>
      <c r="R120" s="105"/>
      <c r="S120" s="105"/>
      <c r="T120" s="105"/>
      <c r="U120" s="105"/>
      <c r="V120" s="105"/>
      <c r="W120" s="213"/>
      <c r="X120" s="104"/>
      <c r="Y120" s="105"/>
      <c r="Z120" s="105"/>
      <c r="AA120" s="105"/>
      <c r="AB120" s="104"/>
      <c r="AC120"/>
      <c r="AD120"/>
      <c r="AE120" s="104"/>
      <c r="AF120" s="104"/>
    </row>
    <row r="121" spans="2:32" x14ac:dyDescent="0.2">
      <c r="B121" s="209" t="s">
        <v>663</v>
      </c>
      <c r="C121">
        <v>280</v>
      </c>
      <c r="D121" s="105"/>
      <c r="E121"/>
      <c r="F121"/>
      <c r="G121"/>
      <c r="H121"/>
      <c r="I121" s="105"/>
      <c r="J121" s="105"/>
      <c r="K121" s="105"/>
      <c r="L121" s="105"/>
      <c r="M121" s="105"/>
      <c r="N121" s="105"/>
      <c r="O121" s="105"/>
      <c r="P121" s="105"/>
      <c r="Q121" s="105"/>
      <c r="R121" s="105"/>
      <c r="S121" s="105"/>
      <c r="T121" s="105"/>
      <c r="U121" s="105"/>
      <c r="V121" s="105"/>
      <c r="W121" s="213"/>
      <c r="X121" s="104"/>
      <c r="Y121" s="105"/>
      <c r="Z121" s="105"/>
      <c r="AA121" s="105"/>
      <c r="AB121" s="104"/>
      <c r="AC121"/>
      <c r="AD121"/>
      <c r="AE121" s="104"/>
      <c r="AF121" s="104"/>
    </row>
    <row r="122" spans="2:32" ht="15.75" x14ac:dyDescent="0.25">
      <c r="B122" s="222" t="s">
        <v>664</v>
      </c>
      <c r="C122" s="223">
        <v>11530</v>
      </c>
      <c r="D122" s="105"/>
      <c r="E122"/>
      <c r="F122" s="105"/>
      <c r="G122" s="105"/>
      <c r="H122" s="105"/>
      <c r="I122" s="105"/>
      <c r="J122" s="105"/>
      <c r="K122" s="105"/>
      <c r="L122" s="105"/>
      <c r="M122" s="105"/>
      <c r="N122" s="105"/>
      <c r="O122" s="105"/>
      <c r="P122" s="105"/>
      <c r="Q122" s="105"/>
      <c r="R122" s="105"/>
      <c r="S122" s="105"/>
      <c r="T122" s="105"/>
      <c r="U122" s="105"/>
      <c r="V122" s="105"/>
      <c r="W122" s="213"/>
      <c r="X122" s="105"/>
      <c r="Y122" s="105"/>
      <c r="Z122" s="105"/>
      <c r="AA122" s="105"/>
      <c r="AB122" s="104"/>
      <c r="AC122"/>
      <c r="AD122"/>
      <c r="AE122" s="104"/>
      <c r="AF122" s="104"/>
    </row>
    <row r="123" spans="2:32" x14ac:dyDescent="0.2">
      <c r="B123" s="209" t="s">
        <v>25</v>
      </c>
      <c r="C123">
        <v>2945</v>
      </c>
      <c r="D123" s="105"/>
      <c r="E123"/>
      <c r="F123" s="105"/>
      <c r="G123" s="105"/>
      <c r="H123" s="105"/>
      <c r="I123" s="105"/>
      <c r="J123" s="105"/>
      <c r="K123" s="105"/>
      <c r="L123" s="105"/>
      <c r="M123" s="105"/>
      <c r="N123" s="105"/>
      <c r="O123" s="105"/>
      <c r="P123" s="105"/>
      <c r="Q123" s="105"/>
      <c r="R123" s="105"/>
      <c r="S123" s="105"/>
      <c r="T123" s="105"/>
      <c r="U123" s="105"/>
      <c r="V123" s="105"/>
      <c r="W123" s="213"/>
      <c r="X123" s="105"/>
      <c r="Y123" s="105"/>
      <c r="Z123" s="105"/>
      <c r="AA123" s="105"/>
      <c r="AB123" s="104"/>
      <c r="AC123"/>
      <c r="AD123"/>
      <c r="AE123" s="104"/>
      <c r="AF123" s="104"/>
    </row>
    <row r="124" spans="2:32" x14ac:dyDescent="0.2">
      <c r="B124" s="209" t="s">
        <v>31</v>
      </c>
      <c r="C124">
        <v>1455</v>
      </c>
      <c r="D124" s="105"/>
      <c r="E124"/>
      <c r="F124" s="105"/>
      <c r="G124" s="105"/>
      <c r="H124" s="105"/>
      <c r="I124" s="105"/>
      <c r="J124" s="105"/>
      <c r="K124" s="105"/>
      <c r="L124" s="105"/>
      <c r="M124" s="105"/>
      <c r="N124" s="105"/>
      <c r="O124" s="105"/>
      <c r="P124" s="105"/>
      <c r="Q124" s="105"/>
      <c r="R124" s="105"/>
      <c r="S124" s="105"/>
      <c r="T124" s="105"/>
      <c r="U124" s="105"/>
      <c r="V124" s="105"/>
      <c r="W124" s="213"/>
      <c r="X124" s="105"/>
      <c r="Y124" s="105"/>
      <c r="Z124" s="105"/>
      <c r="AA124" s="105"/>
      <c r="AB124" s="104"/>
      <c r="AC124"/>
      <c r="AD124"/>
      <c r="AE124" s="104"/>
      <c r="AF124" s="104"/>
    </row>
    <row r="125" spans="2:32" x14ac:dyDescent="0.2">
      <c r="B125" s="209" t="s">
        <v>665</v>
      </c>
      <c r="C125">
        <v>2505</v>
      </c>
      <c r="D125" s="105"/>
      <c r="E125"/>
      <c r="F125" s="105"/>
      <c r="G125" s="105"/>
      <c r="H125" s="105"/>
      <c r="I125" s="105"/>
      <c r="J125" s="105"/>
      <c r="K125" s="105"/>
      <c r="L125" s="105"/>
      <c r="M125" s="105"/>
      <c r="N125" s="105"/>
      <c r="O125" s="105"/>
      <c r="P125" s="105"/>
      <c r="Q125" s="105"/>
      <c r="R125" s="105"/>
      <c r="S125" s="105"/>
      <c r="T125" s="105"/>
      <c r="U125" s="105"/>
      <c r="V125" s="105"/>
      <c r="W125" s="213"/>
      <c r="X125" s="105"/>
      <c r="Y125" s="105"/>
      <c r="Z125" s="105"/>
      <c r="AA125" s="105"/>
      <c r="AB125" s="104"/>
      <c r="AC125"/>
      <c r="AD125"/>
      <c r="AE125" s="104"/>
      <c r="AF125" s="104"/>
    </row>
    <row r="126" spans="2:32" x14ac:dyDescent="0.2">
      <c r="B126" s="209" t="s">
        <v>46</v>
      </c>
      <c r="C126">
        <v>2370</v>
      </c>
      <c r="D126" s="105"/>
      <c r="E126"/>
      <c r="F126" s="105"/>
      <c r="G126" s="105"/>
      <c r="H126" s="105"/>
      <c r="I126" s="105"/>
      <c r="J126" s="105"/>
      <c r="K126" s="105"/>
      <c r="L126" s="105"/>
      <c r="M126" s="105"/>
      <c r="N126" s="105"/>
      <c r="O126" s="105"/>
      <c r="P126" s="105"/>
      <c r="Q126" s="105"/>
      <c r="R126" s="105"/>
      <c r="S126" s="105"/>
      <c r="T126" s="105"/>
      <c r="U126" s="105"/>
      <c r="V126" s="105"/>
      <c r="W126" s="213"/>
      <c r="X126" s="105"/>
      <c r="Y126" s="105"/>
      <c r="Z126" s="105"/>
      <c r="AA126" s="105"/>
      <c r="AB126" s="104"/>
      <c r="AC126"/>
      <c r="AD126"/>
      <c r="AE126" s="104"/>
      <c r="AF126" s="104"/>
    </row>
    <row r="127" spans="2:32" x14ac:dyDescent="0.2">
      <c r="B127" s="209" t="s">
        <v>205</v>
      </c>
      <c r="C127">
        <v>715</v>
      </c>
      <c r="D127" s="105"/>
      <c r="E127"/>
      <c r="F127" s="105"/>
      <c r="G127" s="105"/>
      <c r="H127" s="105"/>
      <c r="I127" s="105"/>
      <c r="J127" s="105"/>
      <c r="K127" s="105"/>
      <c r="L127" s="105"/>
      <c r="M127" s="105"/>
      <c r="N127" s="105"/>
      <c r="O127" s="105"/>
      <c r="P127" s="105"/>
      <c r="Q127" s="105"/>
      <c r="R127" s="105"/>
      <c r="S127" s="105"/>
      <c r="T127" s="105"/>
      <c r="U127" s="105"/>
      <c r="V127" s="105"/>
      <c r="W127" s="213"/>
      <c r="X127" s="105"/>
      <c r="Y127" s="105"/>
      <c r="Z127" s="105"/>
      <c r="AA127" s="105"/>
      <c r="AB127" s="104"/>
      <c r="AC127"/>
      <c r="AD127"/>
      <c r="AE127" s="104"/>
      <c r="AF127" s="104"/>
    </row>
    <row r="128" spans="2:32" x14ac:dyDescent="0.2">
      <c r="B128" s="209" t="s">
        <v>107</v>
      </c>
      <c r="C128">
        <v>660</v>
      </c>
      <c r="D128" s="105"/>
      <c r="E128"/>
      <c r="F128" s="105"/>
      <c r="G128" s="105"/>
      <c r="H128" s="105"/>
      <c r="I128" s="105"/>
      <c r="J128" s="105"/>
      <c r="K128" s="105"/>
      <c r="L128" s="105"/>
      <c r="M128" s="105"/>
      <c r="N128" s="105"/>
      <c r="O128" s="105"/>
      <c r="P128" s="105"/>
      <c r="Q128" s="105"/>
      <c r="R128" s="105"/>
      <c r="S128" s="105"/>
      <c r="T128" s="105"/>
      <c r="U128" s="105"/>
      <c r="V128" s="105"/>
      <c r="W128" s="213"/>
      <c r="X128" s="105"/>
      <c r="Y128" s="105"/>
      <c r="Z128" s="105"/>
      <c r="AA128" s="105"/>
      <c r="AB128" s="104"/>
      <c r="AC128"/>
      <c r="AD128"/>
      <c r="AE128" s="104"/>
      <c r="AF128" s="104"/>
    </row>
    <row r="129" spans="2:30" x14ac:dyDescent="0.2">
      <c r="B129" s="209" t="s">
        <v>666</v>
      </c>
      <c r="C129">
        <v>330</v>
      </c>
      <c r="D129" s="105"/>
      <c r="E129"/>
      <c r="F129" s="105"/>
      <c r="G129" s="105"/>
      <c r="H129" s="105"/>
      <c r="I129" s="105"/>
      <c r="J129" s="105"/>
      <c r="K129" s="105"/>
      <c r="L129" s="105"/>
      <c r="M129" s="105"/>
      <c r="N129" s="105"/>
      <c r="O129" s="105"/>
      <c r="P129" s="105"/>
      <c r="Q129" s="105"/>
      <c r="R129" s="105"/>
      <c r="S129" s="105"/>
      <c r="T129" s="105"/>
      <c r="U129" s="105"/>
      <c r="V129" s="105"/>
      <c r="W129" s="213"/>
      <c r="X129" s="105"/>
      <c r="Y129" s="105"/>
      <c r="Z129" s="105"/>
      <c r="AA129" s="105"/>
      <c r="AB129" s="104"/>
      <c r="AC129"/>
      <c r="AD129"/>
    </row>
    <row r="130" spans="2:30" x14ac:dyDescent="0.2">
      <c r="B130" s="209" t="s">
        <v>564</v>
      </c>
      <c r="C130">
        <v>275</v>
      </c>
      <c r="D130" s="105"/>
      <c r="E130"/>
      <c r="F130" s="105"/>
      <c r="G130" s="105"/>
      <c r="H130" s="105"/>
      <c r="I130" s="105"/>
      <c r="J130" s="105"/>
      <c r="K130" s="105"/>
      <c r="L130" s="105"/>
      <c r="M130" s="105"/>
      <c r="N130" s="105"/>
      <c r="O130" s="105"/>
      <c r="P130" s="105"/>
      <c r="Q130" s="105"/>
      <c r="R130" s="105"/>
      <c r="S130" s="105"/>
      <c r="T130" s="105"/>
      <c r="U130" s="105"/>
      <c r="V130" s="105"/>
      <c r="W130" s="213"/>
      <c r="X130" s="105"/>
      <c r="Y130" s="105"/>
      <c r="Z130" s="105"/>
      <c r="AA130" s="105"/>
      <c r="AB130" s="104"/>
      <c r="AC130" s="104"/>
      <c r="AD130" s="104"/>
    </row>
    <row r="131" spans="2:30" x14ac:dyDescent="0.2">
      <c r="B131" s="209" t="s">
        <v>667</v>
      </c>
      <c r="C131">
        <v>275</v>
      </c>
      <c r="D131" s="105"/>
      <c r="E131" s="105"/>
      <c r="F131"/>
      <c r="G131" s="105"/>
      <c r="H131" s="105"/>
      <c r="I131" s="105"/>
      <c r="J131" s="105"/>
      <c r="K131" s="105"/>
      <c r="L131" s="105"/>
      <c r="M131" s="105"/>
      <c r="N131" s="105"/>
      <c r="O131" s="105"/>
      <c r="P131" s="105"/>
      <c r="Q131" s="105"/>
      <c r="R131" s="105"/>
      <c r="S131" s="105"/>
      <c r="T131" s="105"/>
      <c r="U131" s="105"/>
      <c r="V131" s="105"/>
      <c r="W131" s="104"/>
      <c r="X131" s="213"/>
      <c r="Y131" s="105"/>
      <c r="Z131" s="105"/>
      <c r="AA131" s="105"/>
      <c r="AB131" s="104"/>
      <c r="AC131" s="104"/>
      <c r="AD131" s="104"/>
    </row>
    <row r="132" spans="2:30" x14ac:dyDescent="0.2">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4"/>
      <c r="X132" s="213"/>
      <c r="Y132" s="105"/>
      <c r="Z132" s="105"/>
      <c r="AA132" s="105"/>
      <c r="AB132" s="104"/>
      <c r="AC132" s="104"/>
      <c r="AD132" s="104"/>
    </row>
    <row r="133" spans="2:30" x14ac:dyDescent="0.2">
      <c r="B133" s="105"/>
      <c r="C133" s="104"/>
      <c r="D133" s="105"/>
      <c r="E133" s="105"/>
      <c r="F133" s="105"/>
      <c r="G133" s="105"/>
      <c r="H133" s="105"/>
      <c r="I133" s="105"/>
      <c r="J133" s="105"/>
      <c r="K133" s="105"/>
      <c r="L133" s="105"/>
      <c r="M133" s="105"/>
      <c r="N133" s="105"/>
      <c r="O133" s="105"/>
      <c r="P133" s="105"/>
      <c r="Q133" s="105"/>
      <c r="R133" s="105"/>
      <c r="S133" s="105"/>
      <c r="T133" s="105"/>
      <c r="U133" s="105"/>
      <c r="V133" s="105"/>
      <c r="W133" s="104"/>
      <c r="X133" s="213"/>
      <c r="Y133" s="105"/>
      <c r="Z133" s="105"/>
      <c r="AA133" s="105"/>
      <c r="AB133" s="104"/>
      <c r="AC133" s="104"/>
      <c r="AD133" s="104"/>
    </row>
    <row r="134" spans="2:30" x14ac:dyDescent="0.2">
      <c r="B134" s="105"/>
      <c r="C134" s="104"/>
      <c r="D134" s="105"/>
      <c r="E134" s="105"/>
      <c r="F134" s="105"/>
      <c r="G134" s="105"/>
      <c r="H134" s="105"/>
      <c r="I134" s="105"/>
      <c r="J134" s="105"/>
      <c r="K134" s="105"/>
      <c r="L134" s="105"/>
      <c r="M134" s="105"/>
      <c r="N134" s="105"/>
      <c r="O134" s="105"/>
      <c r="P134" s="105"/>
      <c r="Q134" s="105"/>
      <c r="R134" s="105"/>
      <c r="S134" s="105"/>
      <c r="T134" s="105"/>
      <c r="U134" s="105"/>
      <c r="V134" s="105"/>
      <c r="W134" s="104"/>
      <c r="X134" s="213"/>
      <c r="Y134" s="105"/>
      <c r="Z134" s="105"/>
      <c r="AA134" s="105"/>
      <c r="AB134" s="104"/>
      <c r="AC134" s="104"/>
      <c r="AD134" s="104"/>
    </row>
    <row r="135" spans="2:30" x14ac:dyDescent="0.2">
      <c r="B135" s="105"/>
      <c r="C135" s="104"/>
      <c r="D135" s="105"/>
      <c r="E135" s="105"/>
      <c r="F135" s="105"/>
      <c r="G135" s="105"/>
      <c r="H135" s="105"/>
      <c r="I135" s="105"/>
      <c r="J135" s="105"/>
      <c r="K135" s="105"/>
      <c r="L135" s="105"/>
      <c r="M135" s="105"/>
      <c r="N135" s="105"/>
      <c r="O135" s="105"/>
      <c r="P135" s="105"/>
      <c r="Q135" s="105"/>
      <c r="R135" s="105"/>
      <c r="S135" s="105"/>
      <c r="T135" s="105"/>
      <c r="U135" s="105"/>
      <c r="V135" s="105"/>
      <c r="W135" s="104"/>
      <c r="X135" s="213"/>
      <c r="Y135" s="105"/>
      <c r="Z135" s="105"/>
      <c r="AA135" s="105"/>
      <c r="AB135" s="104"/>
      <c r="AC135" s="104"/>
      <c r="AD135" s="104"/>
    </row>
    <row r="136" spans="2:30" x14ac:dyDescent="0.2">
      <c r="B136" s="105"/>
      <c r="C136" s="104"/>
      <c r="D136" s="105"/>
      <c r="E136" s="105"/>
      <c r="F136" s="105"/>
      <c r="G136" s="105"/>
      <c r="H136" s="105"/>
      <c r="I136" s="105"/>
      <c r="J136" s="105"/>
      <c r="K136" s="105"/>
      <c r="L136" s="105"/>
      <c r="M136" s="105"/>
      <c r="N136" s="105"/>
      <c r="O136" s="105"/>
      <c r="P136" s="105"/>
      <c r="Q136" s="105"/>
      <c r="R136" s="105"/>
      <c r="S136" s="105"/>
      <c r="T136" s="105"/>
      <c r="U136" s="105"/>
      <c r="V136" s="105"/>
      <c r="W136" s="104"/>
      <c r="X136" s="213"/>
      <c r="Y136" s="105"/>
      <c r="Z136" s="105"/>
      <c r="AA136" s="105"/>
      <c r="AB136" s="104"/>
      <c r="AC136" s="104"/>
      <c r="AD136" s="104"/>
    </row>
    <row r="137" spans="2:30" x14ac:dyDescent="0.2">
      <c r="B137" s="105"/>
      <c r="C137" s="104"/>
      <c r="D137" s="105"/>
      <c r="E137" s="105"/>
      <c r="F137" s="105"/>
      <c r="G137" s="105"/>
      <c r="H137" s="105"/>
      <c r="I137" s="105"/>
      <c r="J137" s="105"/>
      <c r="K137" s="105"/>
      <c r="L137" s="105"/>
      <c r="M137" s="105"/>
      <c r="N137" s="105"/>
      <c r="O137" s="105"/>
      <c r="P137" s="105"/>
      <c r="Q137" s="105"/>
      <c r="R137" s="105"/>
      <c r="S137" s="105"/>
      <c r="T137" s="105"/>
      <c r="U137" s="105"/>
      <c r="V137" s="105"/>
      <c r="W137" s="104"/>
      <c r="X137" s="213"/>
      <c r="Y137" s="105"/>
      <c r="Z137" s="105"/>
      <c r="AA137" s="105"/>
      <c r="AB137" s="104"/>
      <c r="AC137" s="104"/>
      <c r="AD137" s="104"/>
    </row>
    <row r="138" spans="2:30" x14ac:dyDescent="0.2">
      <c r="B138" s="105"/>
      <c r="C138" s="104"/>
      <c r="D138" s="105"/>
      <c r="E138" s="105"/>
      <c r="F138" s="105"/>
      <c r="G138" s="105"/>
      <c r="H138" s="105"/>
      <c r="I138" s="105"/>
      <c r="J138" s="105"/>
      <c r="K138" s="105"/>
      <c r="L138" s="105"/>
      <c r="M138" s="105"/>
      <c r="N138" s="105"/>
      <c r="O138" s="105"/>
      <c r="P138" s="105"/>
      <c r="Q138" s="105"/>
      <c r="R138" s="105"/>
      <c r="S138" s="105"/>
      <c r="T138" s="105"/>
      <c r="U138" s="105"/>
      <c r="V138" s="105"/>
      <c r="W138" s="104"/>
      <c r="X138" s="213"/>
      <c r="Y138" s="105"/>
      <c r="Z138" s="105"/>
      <c r="AA138" s="105"/>
      <c r="AB138" s="104"/>
      <c r="AC138" s="104"/>
      <c r="AD138" s="104"/>
    </row>
    <row r="139" spans="2:30" x14ac:dyDescent="0.2">
      <c r="B139" s="105"/>
      <c r="C139" s="104"/>
      <c r="D139" s="105"/>
      <c r="E139" s="105"/>
      <c r="F139" s="105"/>
      <c r="G139" s="105"/>
      <c r="H139" s="105"/>
      <c r="I139" s="105"/>
      <c r="J139" s="105"/>
      <c r="K139" s="105"/>
      <c r="L139" s="105"/>
      <c r="M139" s="105"/>
      <c r="N139" s="105"/>
      <c r="O139" s="105"/>
      <c r="P139" s="105"/>
      <c r="Q139" s="105"/>
      <c r="R139" s="105"/>
      <c r="S139" s="105"/>
      <c r="T139" s="105"/>
      <c r="U139" s="105"/>
      <c r="V139" s="105"/>
      <c r="W139" s="104"/>
      <c r="X139" s="213"/>
      <c r="Y139" s="105"/>
      <c r="Z139" s="105"/>
      <c r="AA139" s="105"/>
      <c r="AB139" s="104"/>
      <c r="AC139" s="104"/>
      <c r="AD139" s="104"/>
    </row>
    <row r="140" spans="2:30" x14ac:dyDescent="0.2">
      <c r="B140" s="105"/>
      <c r="C140" s="104"/>
      <c r="D140" s="105"/>
      <c r="E140" s="105"/>
      <c r="F140" s="105"/>
      <c r="G140" s="105"/>
      <c r="H140" s="105"/>
      <c r="I140" s="105"/>
      <c r="J140" s="105"/>
      <c r="K140" s="105"/>
      <c r="L140" s="105"/>
      <c r="M140" s="105"/>
      <c r="N140" s="105"/>
      <c r="O140" s="105"/>
      <c r="P140" s="105"/>
      <c r="Q140" s="105"/>
      <c r="R140" s="105"/>
      <c r="S140" s="105"/>
      <c r="T140" s="105"/>
      <c r="U140" s="105"/>
      <c r="V140" s="105"/>
      <c r="W140" s="104"/>
      <c r="X140" s="213"/>
      <c r="Y140" s="105"/>
      <c r="Z140" s="105"/>
      <c r="AA140" s="105"/>
      <c r="AB140" s="104"/>
      <c r="AC140" s="104"/>
      <c r="AD140" s="104"/>
    </row>
    <row r="141" spans="2:30" x14ac:dyDescent="0.2">
      <c r="B141" s="105"/>
      <c r="C141" s="104"/>
      <c r="D141" s="105"/>
      <c r="E141" s="105"/>
      <c r="F141" s="105"/>
      <c r="G141" s="105"/>
      <c r="H141" s="105"/>
      <c r="I141" s="105"/>
      <c r="J141" s="105"/>
      <c r="K141" s="105"/>
      <c r="L141" s="105"/>
      <c r="M141" s="105"/>
      <c r="N141" s="105"/>
      <c r="O141" s="105"/>
      <c r="P141" s="105"/>
      <c r="Q141" s="105"/>
      <c r="R141" s="105"/>
      <c r="S141" s="105"/>
      <c r="T141" s="105"/>
      <c r="U141" s="105"/>
      <c r="V141" s="105"/>
      <c r="W141" s="104"/>
      <c r="X141" s="213"/>
      <c r="Y141" s="105"/>
      <c r="Z141" s="105"/>
      <c r="AA141" s="105"/>
      <c r="AB141" s="104"/>
      <c r="AC141" s="104"/>
      <c r="AD141" s="104"/>
    </row>
    <row r="142" spans="2:30" x14ac:dyDescent="0.2">
      <c r="B142" s="105"/>
      <c r="C142" s="104"/>
      <c r="D142" s="105"/>
      <c r="E142" s="105"/>
      <c r="F142" s="105"/>
      <c r="G142" s="105"/>
      <c r="H142" s="105"/>
      <c r="I142" s="105"/>
      <c r="J142" s="105"/>
      <c r="K142" s="105"/>
      <c r="L142" s="105"/>
      <c r="M142" s="105"/>
      <c r="N142" s="105"/>
      <c r="O142" s="105"/>
      <c r="P142" s="105"/>
      <c r="Q142" s="105"/>
      <c r="R142" s="105"/>
      <c r="S142" s="105"/>
      <c r="T142" s="105"/>
      <c r="U142" s="105"/>
      <c r="V142" s="105"/>
      <c r="W142" s="104"/>
      <c r="X142" s="213"/>
      <c r="Y142" s="105"/>
      <c r="Z142" s="105"/>
      <c r="AA142" s="105"/>
      <c r="AB142" s="104"/>
      <c r="AC142" s="104"/>
      <c r="AD142" s="104"/>
    </row>
    <row r="143" spans="2:30" x14ac:dyDescent="0.2">
      <c r="B143" s="105"/>
      <c r="C143" s="104"/>
      <c r="D143" s="105"/>
      <c r="E143" s="105"/>
      <c r="F143" s="105"/>
      <c r="G143" s="105"/>
      <c r="H143" s="105"/>
      <c r="I143" s="105"/>
      <c r="J143" s="105"/>
      <c r="K143" s="105"/>
      <c r="L143" s="105"/>
      <c r="M143" s="105"/>
      <c r="N143" s="105"/>
      <c r="O143" s="105"/>
      <c r="P143" s="105"/>
      <c r="Q143" s="105"/>
      <c r="R143" s="105"/>
      <c r="S143" s="105"/>
      <c r="T143" s="105"/>
      <c r="U143" s="105"/>
      <c r="V143" s="105"/>
      <c r="W143" s="104"/>
      <c r="X143" s="213"/>
      <c r="Y143" s="105"/>
      <c r="Z143" s="105"/>
      <c r="AA143" s="105"/>
      <c r="AB143" s="104"/>
      <c r="AC143" s="104"/>
      <c r="AD143" s="104"/>
    </row>
    <row r="144" spans="2:30" x14ac:dyDescent="0.2">
      <c r="B144" s="105"/>
      <c r="C144" s="104"/>
      <c r="D144" s="105"/>
      <c r="E144" s="105"/>
      <c r="F144" s="105"/>
      <c r="G144" s="105"/>
      <c r="H144" s="105"/>
      <c r="I144" s="105"/>
      <c r="J144" s="105"/>
      <c r="K144" s="105"/>
      <c r="L144" s="105"/>
      <c r="M144" s="105"/>
      <c r="N144" s="105"/>
      <c r="O144" s="105"/>
      <c r="P144" s="105"/>
      <c r="Q144" s="105"/>
      <c r="R144" s="105"/>
      <c r="S144" s="105"/>
      <c r="T144" s="105"/>
      <c r="U144" s="105"/>
      <c r="V144" s="105"/>
      <c r="W144" s="104"/>
      <c r="X144" s="213"/>
      <c r="Y144" s="105"/>
      <c r="Z144" s="105"/>
      <c r="AA144" s="105"/>
      <c r="AB144" s="104"/>
      <c r="AC144" s="104"/>
      <c r="AD144" s="104"/>
    </row>
    <row r="145" spans="28:28" x14ac:dyDescent="0.2">
      <c r="AB145" s="104"/>
    </row>
    <row r="146" spans="28:28" x14ac:dyDescent="0.2">
      <c r="AB146" s="104"/>
    </row>
    <row r="147" spans="28:28" x14ac:dyDescent="0.2">
      <c r="AB147" s="104"/>
    </row>
    <row r="148" spans="28:28" x14ac:dyDescent="0.2">
      <c r="AB148" s="104"/>
    </row>
    <row r="149" spans="28:28" x14ac:dyDescent="0.2">
      <c r="AB149" s="104"/>
    </row>
    <row r="150" spans="28:28" x14ac:dyDescent="0.2">
      <c r="AB150" s="104"/>
    </row>
  </sheetData>
  <mergeCells count="3">
    <mergeCell ref="AB7:AF7"/>
    <mergeCell ref="AB41:AF41"/>
    <mergeCell ref="AB82:AF82"/>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0DEA2-B7F7-4EA4-A403-DDB643158456}">
  <sheetPr>
    <pageSetUpPr fitToPage="1"/>
  </sheetPr>
  <dimension ref="A1:CH183"/>
  <sheetViews>
    <sheetView topLeftCell="A2" zoomScale="76" zoomScaleNormal="56" workbookViewId="0">
      <selection activeCell="C53" sqref="C53"/>
    </sheetView>
  </sheetViews>
  <sheetFormatPr defaultColWidth="9.42578125" defaultRowHeight="15" x14ac:dyDescent="0.2"/>
  <cols>
    <col min="1" max="1" width="11.42578125" style="140" customWidth="1"/>
    <col min="2" max="2" width="17.140625" style="141" customWidth="1"/>
    <col min="3" max="3" width="24.42578125" style="140" customWidth="1"/>
    <col min="4" max="4" width="10.42578125" style="141" customWidth="1"/>
    <col min="5" max="5" width="12.7109375" style="141" customWidth="1"/>
    <col min="6" max="6" width="10.42578125" style="141" customWidth="1"/>
    <col min="7" max="7" width="7.42578125" style="141" customWidth="1"/>
    <col min="8" max="8" width="8.42578125" style="141" customWidth="1"/>
    <col min="9" max="10" width="7.42578125" style="141" customWidth="1"/>
    <col min="11" max="11" width="8.42578125" style="141" customWidth="1"/>
    <col min="12" max="12" width="6.5703125" style="141" customWidth="1"/>
    <col min="13" max="13" width="8.42578125" style="141" customWidth="1"/>
    <col min="14" max="18" width="8.5703125" style="141" customWidth="1"/>
    <col min="19" max="19" width="10.42578125" style="141" customWidth="1"/>
    <col min="20" max="20" width="13" style="141" customWidth="1"/>
    <col min="21" max="21" width="12.42578125" style="141" customWidth="1"/>
    <col min="22" max="22" width="15" style="141" customWidth="1"/>
    <col min="23" max="23" width="14.28515625" style="140" customWidth="1"/>
    <col min="24" max="24" width="22.85546875" style="212" customWidth="1"/>
    <col min="25" max="25" width="19.140625" style="141" customWidth="1"/>
    <col min="26" max="27" width="10.42578125" style="141" customWidth="1"/>
    <col min="28" max="28" width="15.5703125" style="141" customWidth="1"/>
    <col min="29" max="29" width="12.28515625" style="140" customWidth="1"/>
    <col min="30" max="30" width="54.5703125" style="140" customWidth="1"/>
    <col min="31" max="31" width="47" style="140" customWidth="1"/>
    <col min="32" max="32" width="24.42578125" style="140" customWidth="1"/>
    <col min="33" max="86" width="9.42578125" style="140" customWidth="1"/>
    <col min="87" max="16384" width="9.42578125" style="140"/>
  </cols>
  <sheetData>
    <row r="1" spans="1:86" x14ac:dyDescent="0.2">
      <c r="A1" s="104"/>
      <c r="B1" s="105"/>
      <c r="C1" s="104"/>
      <c r="D1" s="105"/>
      <c r="E1" s="105"/>
      <c r="F1" s="105"/>
      <c r="G1" s="155"/>
      <c r="H1" s="105"/>
      <c r="I1" s="105"/>
      <c r="J1" s="105"/>
      <c r="K1" s="105"/>
      <c r="L1" s="105"/>
      <c r="M1" s="105"/>
      <c r="N1" s="105"/>
      <c r="O1" s="105"/>
      <c r="P1" s="105"/>
      <c r="Q1" s="105"/>
      <c r="R1" s="105"/>
      <c r="S1" s="105"/>
      <c r="T1" s="105"/>
      <c r="U1" s="105"/>
      <c r="V1" s="105"/>
      <c r="W1" s="105"/>
      <c r="X1" s="213"/>
      <c r="Y1" s="104"/>
      <c r="Z1" s="105"/>
      <c r="AA1" s="105"/>
      <c r="AB1" s="105"/>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row>
    <row r="2" spans="1:86" x14ac:dyDescent="0.2">
      <c r="A2" s="104"/>
      <c r="B2" s="105"/>
      <c r="C2" s="155" t="s">
        <v>35</v>
      </c>
      <c r="D2" s="105"/>
      <c r="E2" s="105"/>
      <c r="F2" s="105"/>
      <c r="G2" s="105"/>
      <c r="H2" s="105"/>
      <c r="I2" s="105"/>
      <c r="J2" s="105"/>
      <c r="K2" s="105"/>
      <c r="L2" s="105"/>
      <c r="M2" s="105"/>
      <c r="N2" s="105"/>
      <c r="O2" s="105"/>
      <c r="P2" s="105"/>
      <c r="Q2" s="105"/>
      <c r="R2" s="105"/>
      <c r="S2" s="105"/>
      <c r="T2" s="105"/>
      <c r="U2" s="105"/>
      <c r="V2" s="105"/>
      <c r="W2" s="105"/>
      <c r="X2" s="213"/>
      <c r="Y2" s="104"/>
      <c r="Z2" s="105"/>
      <c r="AA2" s="105"/>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row>
    <row r="3" spans="1:86" x14ac:dyDescent="0.2">
      <c r="A3" s="104"/>
      <c r="B3" s="105"/>
      <c r="C3" s="105"/>
      <c r="D3" s="105"/>
      <c r="E3" s="105"/>
      <c r="F3" s="105"/>
      <c r="G3" s="105"/>
      <c r="H3" s="105"/>
      <c r="I3" s="105"/>
      <c r="J3" s="105"/>
      <c r="K3" s="105"/>
      <c r="L3" s="105"/>
      <c r="M3" s="105"/>
      <c r="N3" s="105"/>
      <c r="O3" s="105"/>
      <c r="P3" s="105"/>
      <c r="Q3" s="105"/>
      <c r="R3" s="105"/>
      <c r="S3" s="105"/>
      <c r="T3" s="105"/>
      <c r="U3" s="105"/>
      <c r="V3" s="105"/>
      <c r="W3" s="105"/>
      <c r="X3" s="213"/>
      <c r="Y3" s="104"/>
      <c r="Z3" s="105"/>
      <c r="AA3" s="105"/>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row>
    <row r="4" spans="1:86" x14ac:dyDescent="0.2">
      <c r="A4" s="104"/>
      <c r="B4" s="105"/>
      <c r="C4" s="104"/>
      <c r="D4" s="105"/>
      <c r="E4" s="105"/>
      <c r="F4" s="105"/>
      <c r="G4" s="105"/>
      <c r="H4" s="105"/>
      <c r="I4" s="105"/>
      <c r="J4" s="105"/>
      <c r="K4" s="105"/>
      <c r="L4" s="105"/>
      <c r="M4" s="105"/>
      <c r="N4" s="105"/>
      <c r="O4" s="105"/>
      <c r="P4" s="105"/>
      <c r="Q4" s="105"/>
      <c r="R4" s="105"/>
      <c r="S4" s="105"/>
      <c r="T4" s="105"/>
      <c r="U4" s="105"/>
      <c r="V4" s="105"/>
      <c r="W4" s="105"/>
      <c r="X4" s="213"/>
      <c r="Y4" s="104"/>
      <c r="Z4" s="105"/>
      <c r="AA4" s="105"/>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row>
    <row r="5" spans="1:86" x14ac:dyDescent="0.2">
      <c r="A5" s="104"/>
      <c r="B5" s="105"/>
      <c r="C5" s="104"/>
      <c r="D5" s="105"/>
      <c r="E5" s="105"/>
      <c r="F5" s="105"/>
      <c r="G5" s="105"/>
      <c r="H5" s="105"/>
      <c r="I5" s="105"/>
      <c r="J5" s="105"/>
      <c r="K5" s="105"/>
      <c r="L5" s="105"/>
      <c r="M5" s="105"/>
      <c r="N5" s="105"/>
      <c r="O5" s="105"/>
      <c r="P5" s="105"/>
      <c r="Q5" s="105"/>
      <c r="R5" s="105"/>
      <c r="S5" s="105"/>
      <c r="T5" s="105"/>
      <c r="U5" s="105"/>
      <c r="V5" s="105"/>
      <c r="W5" s="105"/>
      <c r="X5" s="213"/>
      <c r="Y5" s="104"/>
      <c r="Z5" s="105"/>
      <c r="AA5" s="105"/>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row>
    <row r="6" spans="1:86" ht="15.75" x14ac:dyDescent="0.25">
      <c r="A6" s="106"/>
      <c r="B6" s="217" t="s">
        <v>0</v>
      </c>
      <c r="C6" s="108"/>
      <c r="D6" s="108"/>
      <c r="E6" s="170"/>
      <c r="F6" s="170"/>
      <c r="G6" s="170"/>
      <c r="H6" s="170"/>
      <c r="I6" s="170"/>
      <c r="J6" s="170"/>
      <c r="K6" s="170"/>
      <c r="L6" s="170"/>
      <c r="M6" s="170"/>
      <c r="N6" s="170"/>
      <c r="O6" s="170"/>
      <c r="P6" s="170"/>
      <c r="Q6" s="170"/>
      <c r="R6" s="170"/>
      <c r="S6" s="170"/>
      <c r="T6" s="170"/>
      <c r="U6" s="170"/>
      <c r="V6" s="170"/>
      <c r="W6" s="151"/>
      <c r="X6" s="214" t="s">
        <v>0</v>
      </c>
      <c r="Y6" s="108"/>
      <c r="Z6" s="105"/>
      <c r="AA6" s="105"/>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row>
    <row r="7" spans="1:86" ht="47.25" x14ac:dyDescent="0.25">
      <c r="A7" s="248" t="s">
        <v>60</v>
      </c>
      <c r="B7" s="83" t="s">
        <v>3</v>
      </c>
      <c r="C7" s="55" t="s">
        <v>2</v>
      </c>
      <c r="D7" s="56" t="s">
        <v>668</v>
      </c>
      <c r="E7" s="57" t="s">
        <v>566</v>
      </c>
      <c r="F7" s="57" t="s">
        <v>669</v>
      </c>
      <c r="G7" s="103" t="s">
        <v>4</v>
      </c>
      <c r="H7" s="58" t="s">
        <v>5</v>
      </c>
      <c r="I7" s="58" t="s">
        <v>6</v>
      </c>
      <c r="J7" s="58" t="s">
        <v>7</v>
      </c>
      <c r="K7" s="58" t="s">
        <v>8</v>
      </c>
      <c r="L7" s="58" t="s">
        <v>9</v>
      </c>
      <c r="M7" s="58" t="s">
        <v>10</v>
      </c>
      <c r="N7" s="58" t="s">
        <v>11</v>
      </c>
      <c r="O7" s="58" t="s">
        <v>12</v>
      </c>
      <c r="P7" s="58" t="s">
        <v>13</v>
      </c>
      <c r="Q7" s="58" t="s">
        <v>14</v>
      </c>
      <c r="R7" s="58" t="s">
        <v>15</v>
      </c>
      <c r="S7" s="59" t="s">
        <v>16</v>
      </c>
      <c r="T7" s="60" t="s">
        <v>670</v>
      </c>
      <c r="U7" s="57" t="s">
        <v>19</v>
      </c>
      <c r="V7" s="61" t="s">
        <v>41</v>
      </c>
      <c r="W7" s="211" t="s">
        <v>3</v>
      </c>
      <c r="X7" s="55" t="s">
        <v>2</v>
      </c>
      <c r="Y7" s="105"/>
      <c r="Z7" s="105"/>
      <c r="AA7" s="104"/>
      <c r="AB7" s="579" t="s">
        <v>671</v>
      </c>
      <c r="AC7" s="579"/>
      <c r="AD7" s="579"/>
      <c r="AE7" s="579"/>
      <c r="AF7" s="579"/>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row>
    <row r="8" spans="1:86" x14ac:dyDescent="0.2">
      <c r="A8" s="249"/>
      <c r="B8" s="251"/>
      <c r="C8" s="249"/>
      <c r="D8" s="250"/>
      <c r="E8" s="251"/>
      <c r="F8" s="251"/>
      <c r="G8" s="251"/>
      <c r="H8" s="251"/>
      <c r="I8" s="251"/>
      <c r="J8" s="251"/>
      <c r="K8" s="251"/>
      <c r="L8" s="251"/>
      <c r="M8" s="251"/>
      <c r="N8" s="251"/>
      <c r="O8" s="251"/>
      <c r="P8" s="251"/>
      <c r="Q8" s="251"/>
      <c r="R8" s="251"/>
      <c r="S8" s="509"/>
      <c r="T8" s="510"/>
      <c r="U8" s="511"/>
      <c r="V8" s="462"/>
      <c r="W8" s="264"/>
      <c r="X8" s="249"/>
      <c r="Y8" s="105"/>
      <c r="Z8" s="105"/>
      <c r="AA8" s="104"/>
      <c r="AB8" s="244" t="s">
        <v>144</v>
      </c>
      <c r="AC8" s="245" t="s">
        <v>147</v>
      </c>
      <c r="AD8" s="246" t="s">
        <v>2</v>
      </c>
      <c r="AE8" s="247" t="s">
        <v>570</v>
      </c>
      <c r="AF8" s="246" t="s">
        <v>571</v>
      </c>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row>
    <row r="9" spans="1:86" x14ac:dyDescent="0.2">
      <c r="A9" s="252">
        <v>30306</v>
      </c>
      <c r="B9" s="287">
        <v>2015</v>
      </c>
      <c r="C9" s="252" t="s">
        <v>244</v>
      </c>
      <c r="D9" s="512">
        <v>2.5</v>
      </c>
      <c r="E9" s="241">
        <v>61</v>
      </c>
      <c r="F9" s="241">
        <v>0</v>
      </c>
      <c r="G9" s="241">
        <v>0</v>
      </c>
      <c r="H9" s="241">
        <v>0</v>
      </c>
      <c r="I9" s="241">
        <v>0</v>
      </c>
      <c r="J9" s="241">
        <v>1</v>
      </c>
      <c r="K9" s="241">
        <v>0</v>
      </c>
      <c r="L9" s="241">
        <v>0</v>
      </c>
      <c r="M9" s="241">
        <v>2</v>
      </c>
      <c r="N9" s="241">
        <v>0</v>
      </c>
      <c r="O9" s="241">
        <v>0</v>
      </c>
      <c r="P9" s="241">
        <v>1</v>
      </c>
      <c r="Q9" s="241">
        <v>0</v>
      </c>
      <c r="R9" s="241">
        <v>0</v>
      </c>
      <c r="S9" s="256">
        <f>SUM(G9:R9)</f>
        <v>4</v>
      </c>
      <c r="T9" s="512">
        <f>IFERROR((AVERAGE(G9:R9)),0)</f>
        <v>0.33333333333333331</v>
      </c>
      <c r="U9" s="513">
        <f>IFERROR((V9/T9),0)</f>
        <v>171</v>
      </c>
      <c r="V9" s="461">
        <f>E9+F9-S9</f>
        <v>57</v>
      </c>
      <c r="W9" s="288">
        <v>2015</v>
      </c>
      <c r="X9" s="252" t="s">
        <v>73</v>
      </c>
      <c r="Y9" s="105"/>
      <c r="Z9" s="105"/>
      <c r="AA9" s="104"/>
      <c r="AB9" s="244">
        <v>45351</v>
      </c>
      <c r="AC9" s="245">
        <v>2023</v>
      </c>
      <c r="AD9" s="246" t="s">
        <v>672</v>
      </c>
      <c r="AE9" s="247">
        <v>113</v>
      </c>
      <c r="AF9" s="246" t="s">
        <v>102</v>
      </c>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4"/>
      <c r="CH9" s="104"/>
    </row>
    <row r="10" spans="1:86" x14ac:dyDescent="0.2">
      <c r="A10" s="249"/>
      <c r="B10" s="251"/>
      <c r="C10" s="249"/>
      <c r="D10" s="251"/>
      <c r="E10" s="251">
        <v>0</v>
      </c>
      <c r="F10" s="251"/>
      <c r="G10" s="251"/>
      <c r="H10" s="251"/>
      <c r="I10" s="251"/>
      <c r="J10" s="251"/>
      <c r="K10" s="251"/>
      <c r="L10" s="251"/>
      <c r="M10" s="251"/>
      <c r="N10" s="251"/>
      <c r="O10" s="251"/>
      <c r="P10" s="251"/>
      <c r="Q10" s="251"/>
      <c r="R10" s="251"/>
      <c r="S10" s="251"/>
      <c r="T10" s="251"/>
      <c r="U10" s="251"/>
      <c r="V10" s="462"/>
      <c r="W10" s="264"/>
      <c r="X10" s="249"/>
      <c r="Y10" s="105"/>
      <c r="Z10" s="105"/>
      <c r="AA10" s="104"/>
      <c r="AB10" s="244">
        <v>45351</v>
      </c>
      <c r="AC10" s="245">
        <v>2023</v>
      </c>
      <c r="AD10" s="246" t="s">
        <v>572</v>
      </c>
      <c r="AE10" s="247">
        <v>119</v>
      </c>
      <c r="AF10" s="246" t="s">
        <v>102</v>
      </c>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row>
    <row r="11" spans="1:86" ht="15" customHeight="1" x14ac:dyDescent="0.2">
      <c r="A11" s="252">
        <v>57630</v>
      </c>
      <c r="B11" s="116">
        <v>2019</v>
      </c>
      <c r="C11" s="252" t="s">
        <v>25</v>
      </c>
      <c r="D11" s="512">
        <v>27</v>
      </c>
      <c r="E11" s="241">
        <v>100</v>
      </c>
      <c r="F11" s="241">
        <v>0</v>
      </c>
      <c r="G11" s="241">
        <v>21</v>
      </c>
      <c r="H11" s="241">
        <v>29</v>
      </c>
      <c r="I11" s="241">
        <v>12</v>
      </c>
      <c r="J11" s="241">
        <v>19</v>
      </c>
      <c r="K11" s="241">
        <v>19</v>
      </c>
      <c r="L11" s="281"/>
      <c r="M11" s="281"/>
      <c r="N11" s="281"/>
      <c r="O11" s="281"/>
      <c r="P11" s="281"/>
      <c r="Q11" s="281"/>
      <c r="R11" s="281"/>
      <c r="S11" s="256">
        <f t="shared" ref="S11:S14" si="0">SUM(G11:R11)</f>
        <v>100</v>
      </c>
      <c r="T11" s="512">
        <f t="shared" ref="T11:T14" si="1">IFERROR((AVERAGE(G11:R11)),0)</f>
        <v>20</v>
      </c>
      <c r="U11" s="513">
        <f t="shared" ref="U11:U14" si="2">IFERROR((V11/T11),0)</f>
        <v>0</v>
      </c>
      <c r="V11" s="461">
        <f t="shared" ref="V11:V14" si="3">E11+F11-S11</f>
        <v>0</v>
      </c>
      <c r="W11" s="314">
        <v>2019</v>
      </c>
      <c r="X11" s="252" t="s">
        <v>25</v>
      </c>
      <c r="Y11" s="105"/>
      <c r="Z11" s="105"/>
      <c r="AA11" s="104"/>
      <c r="AB11" s="244">
        <v>45351</v>
      </c>
      <c r="AC11" s="245">
        <v>2023</v>
      </c>
      <c r="AD11" s="246" t="s">
        <v>673</v>
      </c>
      <c r="AE11" s="247">
        <v>117</v>
      </c>
      <c r="AF11" s="246" t="s">
        <v>102</v>
      </c>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row>
    <row r="12" spans="1:86" ht="15" customHeight="1" x14ac:dyDescent="0.2">
      <c r="A12" s="252">
        <v>133688</v>
      </c>
      <c r="B12" s="116">
        <v>2019</v>
      </c>
      <c r="C12" s="252" t="s">
        <v>23</v>
      </c>
      <c r="D12" s="512">
        <v>30</v>
      </c>
      <c r="E12" s="241">
        <v>162</v>
      </c>
      <c r="F12" s="241">
        <v>0</v>
      </c>
      <c r="G12" s="241">
        <v>20</v>
      </c>
      <c r="H12" s="241">
        <v>84</v>
      </c>
      <c r="I12" s="241">
        <v>28</v>
      </c>
      <c r="J12" s="241">
        <v>23</v>
      </c>
      <c r="K12" s="241">
        <v>7</v>
      </c>
      <c r="L12" s="281"/>
      <c r="M12" s="281"/>
      <c r="N12" s="281"/>
      <c r="O12" s="281"/>
      <c r="P12" s="281"/>
      <c r="Q12" s="281"/>
      <c r="R12" s="281"/>
      <c r="S12" s="256">
        <f t="shared" si="0"/>
        <v>162</v>
      </c>
      <c r="T12" s="512">
        <f t="shared" si="1"/>
        <v>32.4</v>
      </c>
      <c r="U12" s="513">
        <f t="shared" si="2"/>
        <v>0</v>
      </c>
      <c r="V12" s="461">
        <f t="shared" si="3"/>
        <v>0</v>
      </c>
      <c r="W12" s="314">
        <v>2019</v>
      </c>
      <c r="X12" s="252" t="s">
        <v>23</v>
      </c>
      <c r="Y12" s="105"/>
      <c r="Z12" s="105"/>
      <c r="AA12" s="104"/>
      <c r="AB12" s="244">
        <v>45351</v>
      </c>
      <c r="AC12" s="245">
        <v>2023</v>
      </c>
      <c r="AD12" s="246" t="s">
        <v>574</v>
      </c>
      <c r="AE12" s="247">
        <v>138</v>
      </c>
      <c r="AF12" s="246" t="s">
        <v>102</v>
      </c>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row>
    <row r="13" spans="1:86" ht="15" customHeight="1" x14ac:dyDescent="0.2">
      <c r="A13" s="252"/>
      <c r="B13" s="116">
        <v>2019</v>
      </c>
      <c r="C13" s="252" t="s">
        <v>556</v>
      </c>
      <c r="D13" s="477"/>
      <c r="E13" s="241">
        <v>1</v>
      </c>
      <c r="F13" s="241">
        <v>0</v>
      </c>
      <c r="G13" s="283">
        <v>1</v>
      </c>
      <c r="H13" s="289" t="s">
        <v>35</v>
      </c>
      <c r="I13" s="289" t="s">
        <v>35</v>
      </c>
      <c r="J13" s="289" t="s">
        <v>35</v>
      </c>
      <c r="K13" s="289" t="s">
        <v>35</v>
      </c>
      <c r="L13" s="289" t="s">
        <v>35</v>
      </c>
      <c r="M13" s="281"/>
      <c r="N13" s="281"/>
      <c r="O13" s="281"/>
      <c r="P13" s="281"/>
      <c r="Q13" s="281"/>
      <c r="R13" s="281"/>
      <c r="S13" s="256">
        <f t="shared" ref="S13" si="4">SUM(G13:R13)</f>
        <v>1</v>
      </c>
      <c r="T13" s="512">
        <f t="shared" si="1"/>
        <v>1</v>
      </c>
      <c r="U13" s="513">
        <f t="shared" si="2"/>
        <v>0</v>
      </c>
      <c r="V13" s="461">
        <f t="shared" si="3"/>
        <v>0</v>
      </c>
      <c r="W13" s="116">
        <v>2019</v>
      </c>
      <c r="X13" s="252" t="s">
        <v>556</v>
      </c>
      <c r="Y13" s="105"/>
      <c r="Z13" s="105"/>
      <c r="AA13" s="104"/>
      <c r="AB13" s="244">
        <v>45351</v>
      </c>
      <c r="AC13" s="245">
        <v>2023</v>
      </c>
      <c r="AD13" s="246" t="s">
        <v>573</v>
      </c>
      <c r="AE13" s="247">
        <v>382</v>
      </c>
      <c r="AF13" s="246" t="s">
        <v>102</v>
      </c>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row>
    <row r="14" spans="1:86" x14ac:dyDescent="0.2">
      <c r="A14" s="252">
        <v>22921</v>
      </c>
      <c r="B14" s="116">
        <v>2019</v>
      </c>
      <c r="C14" s="252" t="s">
        <v>278</v>
      </c>
      <c r="D14" s="512">
        <v>30</v>
      </c>
      <c r="E14" s="241">
        <v>192</v>
      </c>
      <c r="F14" s="241">
        <v>0</v>
      </c>
      <c r="G14" s="241">
        <v>20</v>
      </c>
      <c r="H14" s="241">
        <v>42</v>
      </c>
      <c r="I14" s="241">
        <v>16</v>
      </c>
      <c r="J14" s="241">
        <v>30</v>
      </c>
      <c r="K14" s="241">
        <v>20</v>
      </c>
      <c r="L14" s="241">
        <v>28</v>
      </c>
      <c r="M14" s="241">
        <v>8</v>
      </c>
      <c r="N14" s="241">
        <v>28</v>
      </c>
      <c r="O14" s="281"/>
      <c r="P14" s="281"/>
      <c r="Q14" s="281"/>
      <c r="R14" s="281"/>
      <c r="S14" s="256">
        <f t="shared" si="0"/>
        <v>192</v>
      </c>
      <c r="T14" s="512">
        <f t="shared" si="1"/>
        <v>24</v>
      </c>
      <c r="U14" s="513">
        <f t="shared" si="2"/>
        <v>0</v>
      </c>
      <c r="V14" s="461">
        <f t="shared" si="3"/>
        <v>0</v>
      </c>
      <c r="W14" s="314">
        <v>2019</v>
      </c>
      <c r="X14" s="252" t="s">
        <v>278</v>
      </c>
      <c r="Y14" s="105"/>
      <c r="Z14" s="105"/>
      <c r="AA14" s="104"/>
      <c r="AB14" s="244">
        <v>45351</v>
      </c>
      <c r="AC14" s="245">
        <v>2023</v>
      </c>
      <c r="AD14" s="246" t="s">
        <v>170</v>
      </c>
      <c r="AE14" s="247">
        <v>327</v>
      </c>
      <c r="AF14" s="246" t="s">
        <v>102</v>
      </c>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row>
    <row r="15" spans="1:86" ht="15" customHeight="1" x14ac:dyDescent="0.2">
      <c r="A15" s="249"/>
      <c r="B15" s="315"/>
      <c r="C15" s="249"/>
      <c r="D15" s="510"/>
      <c r="E15" s="251">
        <v>0</v>
      </c>
      <c r="F15" s="251"/>
      <c r="G15" s="251"/>
      <c r="H15" s="251"/>
      <c r="I15" s="251"/>
      <c r="J15" s="251"/>
      <c r="K15" s="251"/>
      <c r="L15" s="251"/>
      <c r="M15" s="251"/>
      <c r="N15" s="251"/>
      <c r="O15" s="251"/>
      <c r="P15" s="251"/>
      <c r="Q15" s="251"/>
      <c r="R15" s="251"/>
      <c r="S15" s="251"/>
      <c r="T15" s="510"/>
      <c r="U15" s="511"/>
      <c r="V15" s="462"/>
      <c r="W15" s="316"/>
      <c r="X15" s="249"/>
      <c r="Y15" s="105"/>
      <c r="Z15" s="105"/>
      <c r="AA15" s="104"/>
      <c r="AB15" s="244">
        <v>45390</v>
      </c>
      <c r="AC15" s="245">
        <v>2023</v>
      </c>
      <c r="AD15" s="246" t="s">
        <v>254</v>
      </c>
      <c r="AE15" s="247">
        <v>356</v>
      </c>
      <c r="AF15" s="246" t="s">
        <v>102</v>
      </c>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row>
    <row r="16" spans="1:86" ht="15" customHeight="1" x14ac:dyDescent="0.2">
      <c r="A16" s="252">
        <v>57632</v>
      </c>
      <c r="B16" s="116">
        <v>2020</v>
      </c>
      <c r="C16" s="252" t="s">
        <v>31</v>
      </c>
      <c r="D16" s="512">
        <v>23.875</v>
      </c>
      <c r="E16" s="241">
        <v>226</v>
      </c>
      <c r="F16" s="241">
        <v>0</v>
      </c>
      <c r="G16" s="241">
        <v>12</v>
      </c>
      <c r="H16" s="241">
        <v>22</v>
      </c>
      <c r="I16" s="241">
        <v>9</v>
      </c>
      <c r="J16" s="241">
        <v>20</v>
      </c>
      <c r="K16" s="241">
        <v>16</v>
      </c>
      <c r="L16" s="241">
        <v>15</v>
      </c>
      <c r="M16" s="241">
        <v>17</v>
      </c>
      <c r="N16" s="241">
        <v>34</v>
      </c>
      <c r="O16" s="241">
        <v>21</v>
      </c>
      <c r="P16" s="241">
        <v>44</v>
      </c>
      <c r="Q16" s="241">
        <v>16</v>
      </c>
      <c r="R16" s="281"/>
      <c r="S16" s="256">
        <f t="shared" ref="S16:S19" si="5">SUM(G16:R16)</f>
        <v>226</v>
      </c>
      <c r="T16" s="512">
        <f t="shared" ref="T16:T25" si="6">IFERROR((AVERAGE(G16:R16)),0)</f>
        <v>20.545454545454547</v>
      </c>
      <c r="U16" s="513">
        <f t="shared" ref="U16:U25" si="7">IFERROR((V16/T16),0)</f>
        <v>0</v>
      </c>
      <c r="V16" s="486">
        <f t="shared" ref="V16:V25" si="8">E16+F16-S16</f>
        <v>0</v>
      </c>
      <c r="W16" s="314">
        <v>2020</v>
      </c>
      <c r="X16" s="252" t="s">
        <v>31</v>
      </c>
      <c r="Y16" s="105"/>
      <c r="Z16" s="105"/>
      <c r="AA16" s="104"/>
      <c r="AB16" s="244">
        <v>45390</v>
      </c>
      <c r="AC16" s="245">
        <v>2023</v>
      </c>
      <c r="AD16" s="246" t="s">
        <v>530</v>
      </c>
      <c r="AE16" s="247">
        <v>480</v>
      </c>
      <c r="AF16" s="246" t="s">
        <v>102</v>
      </c>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row>
    <row r="17" spans="1:86" ht="15" customHeight="1" x14ac:dyDescent="0.25">
      <c r="A17" s="522">
        <v>34641</v>
      </c>
      <c r="B17" s="116">
        <v>2020</v>
      </c>
      <c r="C17" s="252" t="s">
        <v>118</v>
      </c>
      <c r="D17" s="512">
        <v>17.666666666666668</v>
      </c>
      <c r="E17" s="241">
        <v>103</v>
      </c>
      <c r="F17" s="241">
        <v>0</v>
      </c>
      <c r="G17" s="241">
        <v>11</v>
      </c>
      <c r="H17" s="241">
        <v>13</v>
      </c>
      <c r="I17" s="241">
        <v>7</v>
      </c>
      <c r="J17" s="241">
        <v>11</v>
      </c>
      <c r="K17" s="241">
        <v>7</v>
      </c>
      <c r="L17" s="241">
        <v>11</v>
      </c>
      <c r="M17" s="241">
        <v>7</v>
      </c>
      <c r="N17" s="241">
        <v>8</v>
      </c>
      <c r="O17" s="241">
        <v>6</v>
      </c>
      <c r="P17" s="241">
        <v>9</v>
      </c>
      <c r="Q17" s="241">
        <v>13</v>
      </c>
      <c r="R17" s="281"/>
      <c r="S17" s="256">
        <f t="shared" si="5"/>
        <v>103</v>
      </c>
      <c r="T17" s="512">
        <f t="shared" si="6"/>
        <v>9.3636363636363633</v>
      </c>
      <c r="U17" s="513">
        <f t="shared" si="7"/>
        <v>0</v>
      </c>
      <c r="V17" s="461">
        <f t="shared" si="8"/>
        <v>0</v>
      </c>
      <c r="W17" s="314">
        <v>2020</v>
      </c>
      <c r="X17" s="252" t="s">
        <v>118</v>
      </c>
      <c r="Y17" s="105"/>
      <c r="Z17" s="105"/>
      <c r="AA17" s="104"/>
      <c r="AB17" s="244">
        <v>45390</v>
      </c>
      <c r="AC17" s="245">
        <v>2023</v>
      </c>
      <c r="AD17" s="246" t="s">
        <v>674</v>
      </c>
      <c r="AE17" s="247">
        <v>137</v>
      </c>
      <c r="AF17" s="246" t="s">
        <v>102</v>
      </c>
      <c r="AG17" s="104"/>
      <c r="AH17" s="238" t="s">
        <v>35</v>
      </c>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c r="CH17" s="104"/>
    </row>
    <row r="18" spans="1:86" ht="15" customHeight="1" x14ac:dyDescent="0.25">
      <c r="A18" s="252">
        <v>133688</v>
      </c>
      <c r="B18" s="116">
        <v>2020</v>
      </c>
      <c r="C18" s="252" t="s">
        <v>23</v>
      </c>
      <c r="D18" s="512">
        <v>30</v>
      </c>
      <c r="E18" s="241">
        <v>384</v>
      </c>
      <c r="F18" s="241">
        <v>0</v>
      </c>
      <c r="G18" s="293"/>
      <c r="H18" s="293"/>
      <c r="I18" s="293"/>
      <c r="J18" s="293"/>
      <c r="K18" s="241">
        <v>27</v>
      </c>
      <c r="L18" s="241">
        <v>24</v>
      </c>
      <c r="M18" s="241">
        <v>12</v>
      </c>
      <c r="N18" s="241">
        <v>30</v>
      </c>
      <c r="O18" s="241">
        <v>24</v>
      </c>
      <c r="P18" s="241">
        <v>24</v>
      </c>
      <c r="Q18" s="241">
        <v>30</v>
      </c>
      <c r="R18" s="241">
        <v>25</v>
      </c>
      <c r="S18" s="256">
        <f t="shared" si="5"/>
        <v>196</v>
      </c>
      <c r="T18" s="512">
        <f t="shared" si="6"/>
        <v>24.5</v>
      </c>
      <c r="U18" s="513">
        <f t="shared" si="7"/>
        <v>7.6734693877551017</v>
      </c>
      <c r="V18" s="461">
        <f t="shared" si="8"/>
        <v>188</v>
      </c>
      <c r="W18" s="314">
        <v>2020</v>
      </c>
      <c r="X18" s="252" t="s">
        <v>23</v>
      </c>
      <c r="Y18" s="105"/>
      <c r="Z18" s="105"/>
      <c r="AA18" s="104"/>
      <c r="AB18" s="244">
        <v>45390</v>
      </c>
      <c r="AC18" s="245">
        <v>2023</v>
      </c>
      <c r="AD18" s="246" t="s">
        <v>468</v>
      </c>
      <c r="AE18" s="247">
        <v>232</v>
      </c>
      <c r="AF18" s="246" t="s">
        <v>102</v>
      </c>
      <c r="AG18" s="104"/>
      <c r="AH18" s="238" t="s">
        <v>35</v>
      </c>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c r="CH18" s="104"/>
    </row>
    <row r="19" spans="1:86" ht="15" customHeight="1" x14ac:dyDescent="0.25">
      <c r="A19" s="252">
        <v>133687</v>
      </c>
      <c r="B19" s="116">
        <v>2020</v>
      </c>
      <c r="C19" s="252" t="s">
        <v>93</v>
      </c>
      <c r="D19" s="512">
        <v>15</v>
      </c>
      <c r="E19" s="241">
        <v>208</v>
      </c>
      <c r="F19" s="241">
        <v>0</v>
      </c>
      <c r="G19" s="241">
        <v>9</v>
      </c>
      <c r="H19" s="241">
        <v>13</v>
      </c>
      <c r="I19" s="241">
        <v>6</v>
      </c>
      <c r="J19" s="241">
        <v>6</v>
      </c>
      <c r="K19" s="241">
        <v>8</v>
      </c>
      <c r="L19" s="241">
        <v>7</v>
      </c>
      <c r="M19" s="241">
        <v>6</v>
      </c>
      <c r="N19" s="241">
        <v>10</v>
      </c>
      <c r="O19" s="241">
        <v>13</v>
      </c>
      <c r="P19" s="241">
        <v>34</v>
      </c>
      <c r="Q19" s="241">
        <v>59</v>
      </c>
      <c r="R19" s="241">
        <v>17</v>
      </c>
      <c r="S19" s="256">
        <f t="shared" si="5"/>
        <v>188</v>
      </c>
      <c r="T19" s="512">
        <f t="shared" si="6"/>
        <v>15.666666666666666</v>
      </c>
      <c r="U19" s="513">
        <f t="shared" si="7"/>
        <v>1.2765957446808511</v>
      </c>
      <c r="V19" s="461">
        <f t="shared" si="8"/>
        <v>20</v>
      </c>
      <c r="W19" s="314">
        <v>2020</v>
      </c>
      <c r="X19" s="252" t="s">
        <v>393</v>
      </c>
      <c r="Y19" s="105"/>
      <c r="Z19" s="105"/>
      <c r="AA19" s="104"/>
      <c r="AB19" s="244">
        <v>45390</v>
      </c>
      <c r="AC19" s="245">
        <v>2023</v>
      </c>
      <c r="AD19" s="246" t="s">
        <v>295</v>
      </c>
      <c r="AE19" s="247">
        <v>108</v>
      </c>
      <c r="AF19" s="246" t="s">
        <v>102</v>
      </c>
      <c r="AG19" s="104"/>
      <c r="AH19" s="238" t="s">
        <v>35</v>
      </c>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c r="CH19" s="104"/>
    </row>
    <row r="20" spans="1:86" ht="15.75" x14ac:dyDescent="0.25">
      <c r="A20" s="252">
        <v>0</v>
      </c>
      <c r="B20" s="116">
        <v>2020</v>
      </c>
      <c r="C20" s="252" t="s">
        <v>70</v>
      </c>
      <c r="D20" s="512">
        <v>21</v>
      </c>
      <c r="E20" s="241">
        <v>77</v>
      </c>
      <c r="F20" s="241">
        <v>0</v>
      </c>
      <c r="G20" s="241">
        <v>19</v>
      </c>
      <c r="H20" s="241">
        <v>25</v>
      </c>
      <c r="I20" s="241">
        <v>12</v>
      </c>
      <c r="J20" s="241">
        <v>9</v>
      </c>
      <c r="K20" s="281">
        <v>12</v>
      </c>
      <c r="L20" s="281"/>
      <c r="M20" s="281"/>
      <c r="N20" s="281"/>
      <c r="O20" s="281"/>
      <c r="P20" s="281"/>
      <c r="Q20" s="281"/>
      <c r="R20" s="281"/>
      <c r="S20" s="256">
        <f t="shared" ref="S20:S89" si="9">SUM(G20:R20)</f>
        <v>77</v>
      </c>
      <c r="T20" s="512">
        <f t="shared" si="6"/>
        <v>15.4</v>
      </c>
      <c r="U20" s="513">
        <f t="shared" si="7"/>
        <v>0</v>
      </c>
      <c r="V20" s="461">
        <f t="shared" si="8"/>
        <v>0</v>
      </c>
      <c r="W20" s="314">
        <v>2020</v>
      </c>
      <c r="X20" s="252" t="s">
        <v>70</v>
      </c>
      <c r="Y20" s="105"/>
      <c r="Z20" s="105"/>
      <c r="AA20" s="104"/>
      <c r="AB20" s="244">
        <v>45390</v>
      </c>
      <c r="AC20" s="245">
        <v>2023</v>
      </c>
      <c r="AD20" s="246" t="s">
        <v>528</v>
      </c>
      <c r="AE20" s="247">
        <v>415</v>
      </c>
      <c r="AF20" s="246" t="s">
        <v>102</v>
      </c>
      <c r="AG20" s="104"/>
      <c r="AH20" s="238" t="s">
        <v>35</v>
      </c>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row>
    <row r="21" spans="1:86" ht="15.75" customHeight="1" x14ac:dyDescent="0.25">
      <c r="A21" s="252">
        <v>135370</v>
      </c>
      <c r="B21" s="116">
        <v>2020</v>
      </c>
      <c r="C21" s="252" t="s">
        <v>217</v>
      </c>
      <c r="D21" s="512">
        <v>14</v>
      </c>
      <c r="E21" s="241">
        <v>173</v>
      </c>
      <c r="F21" s="241">
        <v>0</v>
      </c>
      <c r="G21" s="241">
        <v>1</v>
      </c>
      <c r="H21" s="241">
        <v>11</v>
      </c>
      <c r="I21" s="241">
        <v>4</v>
      </c>
      <c r="J21" s="241">
        <v>7</v>
      </c>
      <c r="K21" s="241">
        <v>8</v>
      </c>
      <c r="L21" s="241">
        <v>5</v>
      </c>
      <c r="M21" s="241">
        <v>11</v>
      </c>
      <c r="N21" s="241">
        <v>0</v>
      </c>
      <c r="O21" s="241">
        <v>8</v>
      </c>
      <c r="P21" s="241">
        <v>9</v>
      </c>
      <c r="Q21" s="241">
        <v>16</v>
      </c>
      <c r="R21" s="241">
        <v>7</v>
      </c>
      <c r="S21" s="256">
        <f t="shared" si="9"/>
        <v>87</v>
      </c>
      <c r="T21" s="512">
        <f t="shared" si="6"/>
        <v>7.25</v>
      </c>
      <c r="U21" s="513">
        <f t="shared" si="7"/>
        <v>11.862068965517242</v>
      </c>
      <c r="V21" s="461">
        <f t="shared" si="8"/>
        <v>86</v>
      </c>
      <c r="W21" s="314">
        <v>2020</v>
      </c>
      <c r="X21" s="252" t="s">
        <v>505</v>
      </c>
      <c r="Y21" s="105"/>
      <c r="Z21" s="105"/>
      <c r="AA21" s="104"/>
      <c r="AB21" s="244">
        <v>45391</v>
      </c>
      <c r="AC21" s="245">
        <v>2022</v>
      </c>
      <c r="AD21" s="246" t="s">
        <v>675</v>
      </c>
      <c r="AE21" s="247">
        <v>535</v>
      </c>
      <c r="AF21" s="246" t="s">
        <v>102</v>
      </c>
      <c r="AG21" s="104"/>
      <c r="AH21" s="238" t="s">
        <v>35</v>
      </c>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row>
    <row r="22" spans="1:86" ht="15.75" customHeight="1" x14ac:dyDescent="0.25">
      <c r="A22" s="252">
        <v>135371</v>
      </c>
      <c r="B22" s="116">
        <v>2020</v>
      </c>
      <c r="C22" s="252" t="s">
        <v>307</v>
      </c>
      <c r="D22" s="512">
        <v>26</v>
      </c>
      <c r="E22" s="241">
        <v>87</v>
      </c>
      <c r="F22" s="241">
        <v>0</v>
      </c>
      <c r="G22" s="241">
        <v>10</v>
      </c>
      <c r="H22" s="241">
        <v>19</v>
      </c>
      <c r="I22" s="241">
        <v>9</v>
      </c>
      <c r="J22" s="241">
        <v>19</v>
      </c>
      <c r="K22" s="241">
        <v>6</v>
      </c>
      <c r="L22" s="241">
        <v>7</v>
      </c>
      <c r="M22" s="241">
        <v>7</v>
      </c>
      <c r="N22" s="241">
        <v>10</v>
      </c>
      <c r="O22" s="281"/>
      <c r="P22" s="281"/>
      <c r="Q22" s="281"/>
      <c r="R22" s="281"/>
      <c r="S22" s="256">
        <f t="shared" si="9"/>
        <v>87</v>
      </c>
      <c r="T22" s="512">
        <f t="shared" si="6"/>
        <v>10.875</v>
      </c>
      <c r="U22" s="513">
        <f t="shared" si="7"/>
        <v>0</v>
      </c>
      <c r="V22" s="461">
        <f t="shared" si="8"/>
        <v>0</v>
      </c>
      <c r="W22" s="314">
        <v>2020</v>
      </c>
      <c r="X22" s="252" t="s">
        <v>307</v>
      </c>
      <c r="Y22" s="105"/>
      <c r="Z22" s="105"/>
      <c r="AA22" s="104"/>
      <c r="AB22" s="244">
        <v>45391</v>
      </c>
      <c r="AC22" s="245">
        <v>2022</v>
      </c>
      <c r="AD22" s="246" t="s">
        <v>676</v>
      </c>
      <c r="AE22" s="247">
        <v>353</v>
      </c>
      <c r="AF22" s="246" t="s">
        <v>102</v>
      </c>
      <c r="AG22" s="104"/>
      <c r="AH22" s="238" t="s">
        <v>35</v>
      </c>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04"/>
      <c r="BZ22" s="104"/>
      <c r="CA22" s="104"/>
      <c r="CB22" s="104"/>
      <c r="CC22" s="104"/>
      <c r="CD22" s="104"/>
      <c r="CE22" s="104"/>
      <c r="CF22" s="104"/>
      <c r="CG22" s="104"/>
      <c r="CH22" s="104"/>
    </row>
    <row r="23" spans="1:86" ht="15.75" customHeight="1" x14ac:dyDescent="0.2">
      <c r="A23" s="252">
        <v>133687</v>
      </c>
      <c r="B23" s="116">
        <v>2020</v>
      </c>
      <c r="C23" s="252" t="s">
        <v>278</v>
      </c>
      <c r="D23" s="512">
        <v>30</v>
      </c>
      <c r="E23" s="241">
        <v>662</v>
      </c>
      <c r="F23" s="241">
        <v>0</v>
      </c>
      <c r="G23" s="293"/>
      <c r="H23" s="293"/>
      <c r="I23" s="293"/>
      <c r="J23" s="293"/>
      <c r="K23" s="293">
        <v>5</v>
      </c>
      <c r="L23" s="293"/>
      <c r="M23" s="293"/>
      <c r="N23" s="241">
        <v>9</v>
      </c>
      <c r="O23" s="241">
        <v>12</v>
      </c>
      <c r="P23" s="241">
        <v>117</v>
      </c>
      <c r="Q23" s="241">
        <v>5</v>
      </c>
      <c r="R23" s="241">
        <v>33</v>
      </c>
      <c r="S23" s="256">
        <f t="shared" si="9"/>
        <v>181</v>
      </c>
      <c r="T23" s="512">
        <f t="shared" si="6"/>
        <v>30.166666666666668</v>
      </c>
      <c r="U23" s="513">
        <f t="shared" si="7"/>
        <v>15.944751381215468</v>
      </c>
      <c r="V23" s="461">
        <f t="shared" si="8"/>
        <v>481</v>
      </c>
      <c r="W23" s="314">
        <v>2020</v>
      </c>
      <c r="X23" s="252" t="s">
        <v>278</v>
      </c>
      <c r="Y23" s="105"/>
      <c r="Z23" s="105"/>
      <c r="AA23" s="104"/>
      <c r="AB23" s="244">
        <v>45391</v>
      </c>
      <c r="AC23" s="245">
        <v>2022</v>
      </c>
      <c r="AD23" s="246" t="s">
        <v>677</v>
      </c>
      <c r="AE23" s="247">
        <v>423</v>
      </c>
      <c r="AF23" s="246" t="s">
        <v>102</v>
      </c>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4"/>
      <c r="CD23" s="104"/>
      <c r="CE23" s="104"/>
      <c r="CF23" s="104"/>
      <c r="CG23" s="104"/>
      <c r="CH23" s="104"/>
    </row>
    <row r="24" spans="1:86" ht="15.75" customHeight="1" x14ac:dyDescent="0.2">
      <c r="A24" s="252">
        <v>168932</v>
      </c>
      <c r="B24" s="116" t="s">
        <v>508</v>
      </c>
      <c r="C24" s="252" t="s">
        <v>94</v>
      </c>
      <c r="D24" s="512">
        <v>51</v>
      </c>
      <c r="E24" s="241">
        <v>511</v>
      </c>
      <c r="F24" s="241">
        <v>0</v>
      </c>
      <c r="G24" s="241">
        <v>38</v>
      </c>
      <c r="H24" s="241">
        <v>46</v>
      </c>
      <c r="I24" s="241">
        <v>23</v>
      </c>
      <c r="J24" s="241">
        <v>55</v>
      </c>
      <c r="K24" s="241">
        <v>88</v>
      </c>
      <c r="L24" s="241">
        <v>51</v>
      </c>
      <c r="M24" s="241">
        <v>15</v>
      </c>
      <c r="N24" s="241">
        <v>41</v>
      </c>
      <c r="O24" s="241">
        <v>39</v>
      </c>
      <c r="P24" s="241">
        <v>51</v>
      </c>
      <c r="Q24" s="241">
        <v>64</v>
      </c>
      <c r="R24" s="281"/>
      <c r="S24" s="256">
        <f t="shared" si="9"/>
        <v>511</v>
      </c>
      <c r="T24" s="512">
        <f t="shared" si="6"/>
        <v>46.454545454545453</v>
      </c>
      <c r="U24" s="513">
        <f t="shared" si="7"/>
        <v>0</v>
      </c>
      <c r="V24" s="461">
        <f t="shared" si="8"/>
        <v>0</v>
      </c>
      <c r="W24" s="314" t="s">
        <v>508</v>
      </c>
      <c r="X24" s="252" t="s">
        <v>94</v>
      </c>
      <c r="Y24" s="105"/>
      <c r="Z24" s="105"/>
      <c r="AA24" s="104"/>
      <c r="AB24" s="244">
        <v>45510</v>
      </c>
      <c r="AC24" s="245">
        <v>2023</v>
      </c>
      <c r="AD24" s="246" t="s">
        <v>194</v>
      </c>
      <c r="AE24" s="247">
        <v>221</v>
      </c>
      <c r="AF24" s="246" t="s">
        <v>102</v>
      </c>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4"/>
      <c r="CD24" s="104"/>
      <c r="CE24" s="104"/>
      <c r="CF24" s="104"/>
      <c r="CG24" s="104"/>
      <c r="CH24" s="104"/>
    </row>
    <row r="25" spans="1:86" ht="15.75" customHeight="1" x14ac:dyDescent="0.2">
      <c r="A25" s="252">
        <v>115264</v>
      </c>
      <c r="B25" s="116">
        <v>2020</v>
      </c>
      <c r="C25" s="252" t="s">
        <v>589</v>
      </c>
      <c r="D25" s="512">
        <v>3.1666666666666665</v>
      </c>
      <c r="E25" s="241">
        <v>38</v>
      </c>
      <c r="F25" s="241">
        <v>0</v>
      </c>
      <c r="G25" s="241">
        <v>2</v>
      </c>
      <c r="H25" s="241">
        <v>4</v>
      </c>
      <c r="I25" s="241">
        <v>0</v>
      </c>
      <c r="J25" s="241">
        <v>1</v>
      </c>
      <c r="K25" s="241">
        <v>3</v>
      </c>
      <c r="L25" s="241">
        <v>4</v>
      </c>
      <c r="M25" s="241">
        <v>1</v>
      </c>
      <c r="N25" s="241">
        <v>2</v>
      </c>
      <c r="O25" s="241">
        <v>0</v>
      </c>
      <c r="P25" s="241">
        <v>3</v>
      </c>
      <c r="Q25" s="241">
        <v>3</v>
      </c>
      <c r="R25" s="241">
        <v>1</v>
      </c>
      <c r="S25" s="256">
        <f t="shared" si="9"/>
        <v>24</v>
      </c>
      <c r="T25" s="512">
        <f t="shared" si="6"/>
        <v>2</v>
      </c>
      <c r="U25" s="513">
        <f t="shared" si="7"/>
        <v>7</v>
      </c>
      <c r="V25" s="461">
        <f t="shared" si="8"/>
        <v>14</v>
      </c>
      <c r="W25" s="314">
        <v>2020</v>
      </c>
      <c r="X25" s="252" t="s">
        <v>590</v>
      </c>
      <c r="Y25" s="105"/>
      <c r="Z25" s="105"/>
      <c r="AA25" s="104"/>
      <c r="AB25" s="244">
        <v>45510</v>
      </c>
      <c r="AC25" s="245">
        <v>2023</v>
      </c>
      <c r="AD25" s="246" t="s">
        <v>302</v>
      </c>
      <c r="AE25" s="247">
        <v>90</v>
      </c>
      <c r="AF25" s="246" t="s">
        <v>102</v>
      </c>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104"/>
      <c r="CG25" s="104"/>
      <c r="CH25" s="104"/>
    </row>
    <row r="26" spans="1:86" ht="15.75" customHeight="1" x14ac:dyDescent="0.2">
      <c r="A26" s="252"/>
      <c r="B26" s="116">
        <v>2020</v>
      </c>
      <c r="C26" s="252" t="s">
        <v>678</v>
      </c>
      <c r="D26" s="512"/>
      <c r="E26" s="528">
        <v>0</v>
      </c>
      <c r="F26" s="528">
        <v>111</v>
      </c>
      <c r="G26" s="293"/>
      <c r="H26" s="293"/>
      <c r="I26" s="293"/>
      <c r="J26" s="293"/>
      <c r="K26" s="293"/>
      <c r="L26" s="293"/>
      <c r="M26" s="293"/>
      <c r="N26" s="293"/>
      <c r="O26" s="293"/>
      <c r="P26" s="293"/>
      <c r="Q26" s="293"/>
      <c r="R26" s="293"/>
      <c r="S26" s="256"/>
      <c r="T26" s="512">
        <f t="shared" ref="T26" si="10">IFERROR((AVERAGE(G26:R26)),0)</f>
        <v>0</v>
      </c>
      <c r="U26" s="513">
        <f t="shared" ref="U26" si="11">IFERROR((V26/T26),0)</f>
        <v>0</v>
      </c>
      <c r="V26" s="461">
        <f t="shared" ref="V26" si="12">E26+F26-S26</f>
        <v>111</v>
      </c>
      <c r="W26" s="314">
        <v>2020</v>
      </c>
      <c r="X26" s="252" t="s">
        <v>678</v>
      </c>
      <c r="Y26" s="105"/>
      <c r="Z26" s="105"/>
      <c r="AA26" s="104"/>
      <c r="AB26" s="244">
        <v>45027</v>
      </c>
      <c r="AC26" s="245">
        <v>2023</v>
      </c>
      <c r="AD26" s="246" t="s">
        <v>254</v>
      </c>
      <c r="AE26" s="247">
        <v>53</v>
      </c>
      <c r="AF26" s="246" t="s">
        <v>679</v>
      </c>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row>
    <row r="27" spans="1:86" ht="15.75" customHeight="1" x14ac:dyDescent="0.2">
      <c r="A27" s="249"/>
      <c r="B27" s="315"/>
      <c r="C27" s="249"/>
      <c r="D27" s="510"/>
      <c r="E27" s="509">
        <v>0</v>
      </c>
      <c r="F27" s="509"/>
      <c r="G27" s="251"/>
      <c r="H27" s="251"/>
      <c r="I27" s="251"/>
      <c r="J27" s="251"/>
      <c r="K27" s="251"/>
      <c r="L27" s="251"/>
      <c r="M27" s="251"/>
      <c r="N27" s="251"/>
      <c r="O27" s="251"/>
      <c r="P27" s="251"/>
      <c r="Q27" s="251"/>
      <c r="R27" s="251"/>
      <c r="S27" s="251">
        <f t="shared" si="9"/>
        <v>0</v>
      </c>
      <c r="T27" s="510"/>
      <c r="U27" s="511"/>
      <c r="V27" s="462"/>
      <c r="W27" s="316"/>
      <c r="X27" s="249"/>
      <c r="Y27" s="105"/>
      <c r="Z27" s="105"/>
      <c r="AA27" s="104"/>
      <c r="AB27" s="244">
        <v>45027</v>
      </c>
      <c r="AC27" s="245">
        <v>2023</v>
      </c>
      <c r="AD27" s="246" t="s">
        <v>676</v>
      </c>
      <c r="AE27" s="247">
        <v>15</v>
      </c>
      <c r="AF27" s="246" t="s">
        <v>679</v>
      </c>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c r="BU27" s="104"/>
      <c r="BV27" s="104"/>
      <c r="BW27" s="104"/>
      <c r="BX27" s="104"/>
      <c r="BY27" s="104"/>
      <c r="BZ27" s="104"/>
      <c r="CA27" s="104"/>
      <c r="CB27" s="104"/>
      <c r="CC27" s="104"/>
      <c r="CD27" s="104"/>
      <c r="CE27" s="104"/>
      <c r="CF27" s="104"/>
      <c r="CG27" s="104"/>
      <c r="CH27" s="104"/>
    </row>
    <row r="28" spans="1:86" ht="15.75" customHeight="1" x14ac:dyDescent="0.2">
      <c r="A28" s="252">
        <v>57632</v>
      </c>
      <c r="B28" s="116">
        <v>2021</v>
      </c>
      <c r="C28" s="252" t="s">
        <v>31</v>
      </c>
      <c r="D28" s="512">
        <v>24</v>
      </c>
      <c r="E28" s="241">
        <v>240</v>
      </c>
      <c r="F28" s="241">
        <v>0</v>
      </c>
      <c r="G28" s="293"/>
      <c r="H28" s="293"/>
      <c r="I28" s="293"/>
      <c r="J28" s="293"/>
      <c r="K28" s="293">
        <v>4</v>
      </c>
      <c r="L28" s="293"/>
      <c r="M28" s="293"/>
      <c r="N28" s="293"/>
      <c r="O28" s="293"/>
      <c r="P28" s="293"/>
      <c r="Q28" s="293"/>
      <c r="R28" s="293">
        <v>4</v>
      </c>
      <c r="S28" s="256">
        <f t="shared" si="9"/>
        <v>8</v>
      </c>
      <c r="T28" s="512">
        <f t="shared" ref="T28:T40" si="13">IFERROR((AVERAGE(G28:R28)),0)</f>
        <v>4</v>
      </c>
      <c r="U28" s="513">
        <f t="shared" ref="U28:U40" si="14">IFERROR((V28/T28),0)</f>
        <v>58</v>
      </c>
      <c r="V28" s="461">
        <f t="shared" ref="V28:V40" si="15">E28+F28-S28</f>
        <v>232</v>
      </c>
      <c r="W28" s="314">
        <v>2021</v>
      </c>
      <c r="X28" s="252" t="s">
        <v>31</v>
      </c>
      <c r="Y28" s="105"/>
      <c r="Z28" s="105"/>
      <c r="AA28" s="104"/>
      <c r="AB28" s="244"/>
      <c r="AC28" s="245"/>
      <c r="AD28" s="246"/>
      <c r="AE28" s="247"/>
      <c r="AF28" s="246"/>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c r="BP28" s="104"/>
      <c r="BQ28" s="104"/>
      <c r="BR28" s="104"/>
      <c r="BS28" s="104"/>
      <c r="BT28" s="104"/>
      <c r="BU28" s="104"/>
      <c r="BV28" s="104"/>
      <c r="BW28" s="104"/>
      <c r="BX28" s="104"/>
      <c r="BY28" s="104"/>
      <c r="BZ28" s="104"/>
      <c r="CA28" s="104"/>
      <c r="CB28" s="104"/>
      <c r="CC28" s="104"/>
      <c r="CD28" s="104"/>
      <c r="CE28" s="104"/>
      <c r="CF28" s="104"/>
      <c r="CG28" s="104"/>
      <c r="CH28" s="104"/>
    </row>
    <row r="29" spans="1:86" ht="15.75" customHeight="1" x14ac:dyDescent="0.2">
      <c r="A29" s="252">
        <v>57630</v>
      </c>
      <c r="B29" s="116">
        <v>2021</v>
      </c>
      <c r="C29" s="252" t="s">
        <v>25</v>
      </c>
      <c r="D29" s="512">
        <v>27</v>
      </c>
      <c r="E29" s="241">
        <v>290</v>
      </c>
      <c r="F29" s="241">
        <v>0</v>
      </c>
      <c r="G29" s="293"/>
      <c r="H29" s="293"/>
      <c r="I29" s="293"/>
      <c r="J29" s="293"/>
      <c r="K29" s="293">
        <v>7</v>
      </c>
      <c r="L29" s="241">
        <v>39</v>
      </c>
      <c r="M29" s="241">
        <v>20</v>
      </c>
      <c r="N29" s="241">
        <v>77</v>
      </c>
      <c r="O29" s="241">
        <v>21</v>
      </c>
      <c r="P29" s="241">
        <v>26</v>
      </c>
      <c r="Q29" s="241">
        <v>35</v>
      </c>
      <c r="R29" s="241">
        <v>23</v>
      </c>
      <c r="S29" s="256">
        <f t="shared" si="9"/>
        <v>248</v>
      </c>
      <c r="T29" s="512">
        <f t="shared" si="13"/>
        <v>31</v>
      </c>
      <c r="U29" s="513">
        <f t="shared" si="14"/>
        <v>1.3548387096774193</v>
      </c>
      <c r="V29" s="461">
        <f t="shared" si="15"/>
        <v>42</v>
      </c>
      <c r="W29" s="314">
        <v>2021</v>
      </c>
      <c r="X29" s="252" t="s">
        <v>25</v>
      </c>
      <c r="Y29" s="105"/>
      <c r="Z29" s="105"/>
      <c r="AA29" s="104"/>
      <c r="AB29" s="244">
        <v>45510</v>
      </c>
      <c r="AC29" s="245">
        <v>2023</v>
      </c>
      <c r="AD29" s="246" t="s">
        <v>680</v>
      </c>
      <c r="AE29" s="247">
        <v>262</v>
      </c>
      <c r="AF29" s="246" t="s">
        <v>102</v>
      </c>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row>
    <row r="30" spans="1:86" ht="15.75" customHeight="1" x14ac:dyDescent="0.2">
      <c r="A30" s="252">
        <v>111575</v>
      </c>
      <c r="B30" s="116">
        <v>2021</v>
      </c>
      <c r="C30" s="252" t="s">
        <v>110</v>
      </c>
      <c r="D30" s="512">
        <v>22.583333333333332</v>
      </c>
      <c r="E30" s="241">
        <v>78</v>
      </c>
      <c r="F30" s="241">
        <v>0</v>
      </c>
      <c r="G30" s="241">
        <v>17</v>
      </c>
      <c r="H30" s="241">
        <v>60</v>
      </c>
      <c r="I30" s="241">
        <v>1</v>
      </c>
      <c r="J30" s="281"/>
      <c r="K30" s="281"/>
      <c r="L30" s="281"/>
      <c r="M30" s="281"/>
      <c r="N30" s="281"/>
      <c r="O30" s="281"/>
      <c r="P30" s="281"/>
      <c r="Q30" s="281"/>
      <c r="R30" s="281"/>
      <c r="S30" s="256">
        <f t="shared" si="9"/>
        <v>78</v>
      </c>
      <c r="T30" s="512">
        <f t="shared" si="13"/>
        <v>26</v>
      </c>
      <c r="U30" s="513">
        <f t="shared" si="14"/>
        <v>0</v>
      </c>
      <c r="V30" s="461">
        <f t="shared" si="15"/>
        <v>0</v>
      </c>
      <c r="W30" s="314">
        <v>2021</v>
      </c>
      <c r="X30" s="252" t="s">
        <v>110</v>
      </c>
      <c r="Y30" s="105"/>
      <c r="Z30" s="105"/>
      <c r="AA30" s="104"/>
      <c r="AB30" s="244">
        <v>45510</v>
      </c>
      <c r="AC30" s="245">
        <v>2023</v>
      </c>
      <c r="AD30" s="246" t="s">
        <v>198</v>
      </c>
      <c r="AE30" s="247">
        <v>361</v>
      </c>
      <c r="AF30" s="246" t="s">
        <v>102</v>
      </c>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row>
    <row r="31" spans="1:86" ht="15.75" customHeight="1" x14ac:dyDescent="0.2">
      <c r="A31" s="252">
        <v>133688</v>
      </c>
      <c r="B31" s="116">
        <v>2021</v>
      </c>
      <c r="C31" s="252" t="s">
        <v>23</v>
      </c>
      <c r="D31" s="512">
        <v>30</v>
      </c>
      <c r="E31" s="241">
        <v>286</v>
      </c>
      <c r="F31" s="241">
        <v>0</v>
      </c>
      <c r="G31" s="293"/>
      <c r="H31" s="293"/>
      <c r="I31" s="293"/>
      <c r="J31" s="293"/>
      <c r="K31" s="293">
        <v>0</v>
      </c>
      <c r="L31" s="293"/>
      <c r="M31" s="293"/>
      <c r="N31" s="293"/>
      <c r="O31" s="293"/>
      <c r="P31" s="293"/>
      <c r="Q31" s="293"/>
      <c r="R31" s="293"/>
      <c r="S31" s="256">
        <f t="shared" si="9"/>
        <v>0</v>
      </c>
      <c r="T31" s="512">
        <f t="shared" si="13"/>
        <v>0</v>
      </c>
      <c r="U31" s="513">
        <f t="shared" si="14"/>
        <v>0</v>
      </c>
      <c r="V31" s="461">
        <f t="shared" si="15"/>
        <v>286</v>
      </c>
      <c r="W31" s="314">
        <v>2021</v>
      </c>
      <c r="X31" s="252" t="s">
        <v>23</v>
      </c>
      <c r="Y31" s="105"/>
      <c r="Z31" s="105"/>
      <c r="AA31" s="104"/>
      <c r="AB31" s="244">
        <v>45510</v>
      </c>
      <c r="AC31" s="245">
        <v>2023</v>
      </c>
      <c r="AD31" s="246" t="s">
        <v>392</v>
      </c>
      <c r="AE31" s="247">
        <v>80</v>
      </c>
      <c r="AF31" s="246" t="s">
        <v>102</v>
      </c>
      <c r="AG31" s="104"/>
      <c r="AH31" s="104" t="s">
        <v>35</v>
      </c>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104"/>
      <c r="CG31" s="104"/>
      <c r="CH31" s="104"/>
    </row>
    <row r="32" spans="1:86" ht="15.75" customHeight="1" x14ac:dyDescent="0.2">
      <c r="A32" s="252">
        <v>133687</v>
      </c>
      <c r="B32" s="116">
        <v>2021</v>
      </c>
      <c r="C32" s="252" t="s">
        <v>93</v>
      </c>
      <c r="D32" s="512">
        <v>15</v>
      </c>
      <c r="E32" s="241">
        <v>329</v>
      </c>
      <c r="F32" s="241">
        <v>0</v>
      </c>
      <c r="G32" s="293"/>
      <c r="H32" s="293"/>
      <c r="I32" s="293"/>
      <c r="J32" s="293"/>
      <c r="K32" s="293">
        <v>4</v>
      </c>
      <c r="L32" s="293"/>
      <c r="M32" s="293"/>
      <c r="N32" s="293"/>
      <c r="O32" s="293"/>
      <c r="P32" s="293"/>
      <c r="Q32" s="293"/>
      <c r="R32" s="293"/>
      <c r="S32" s="256">
        <f t="shared" si="9"/>
        <v>4</v>
      </c>
      <c r="T32" s="512">
        <f t="shared" si="13"/>
        <v>4</v>
      </c>
      <c r="U32" s="513">
        <f t="shared" si="14"/>
        <v>81.25</v>
      </c>
      <c r="V32" s="461">
        <f t="shared" si="15"/>
        <v>325</v>
      </c>
      <c r="W32" s="314">
        <v>2021</v>
      </c>
      <c r="X32" s="252" t="s">
        <v>93</v>
      </c>
      <c r="Y32" s="105"/>
      <c r="Z32" s="105"/>
      <c r="AA32" s="104"/>
      <c r="AB32" s="244">
        <v>45510</v>
      </c>
      <c r="AC32" s="245">
        <v>2023</v>
      </c>
      <c r="AD32" s="246" t="s">
        <v>195</v>
      </c>
      <c r="AE32" s="247">
        <v>350</v>
      </c>
      <c r="AF32" s="246" t="s">
        <v>102</v>
      </c>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c r="BY32" s="104"/>
      <c r="BZ32" s="104"/>
      <c r="CA32" s="104"/>
      <c r="CB32" s="104"/>
      <c r="CC32" s="104"/>
      <c r="CD32" s="104"/>
      <c r="CE32" s="104"/>
      <c r="CF32" s="104"/>
      <c r="CG32" s="104"/>
      <c r="CH32" s="104"/>
    </row>
    <row r="33" spans="1:86" ht="15.75" customHeight="1" x14ac:dyDescent="0.2">
      <c r="A33" s="252">
        <v>135370</v>
      </c>
      <c r="B33" s="116">
        <v>2021</v>
      </c>
      <c r="C33" s="252" t="s">
        <v>217</v>
      </c>
      <c r="D33" s="512">
        <v>14</v>
      </c>
      <c r="E33" s="241">
        <v>132</v>
      </c>
      <c r="F33" s="241">
        <v>0</v>
      </c>
      <c r="G33" s="293"/>
      <c r="H33" s="293"/>
      <c r="I33" s="293"/>
      <c r="J33" s="293"/>
      <c r="K33" s="293">
        <v>0</v>
      </c>
      <c r="L33" s="293"/>
      <c r="M33" s="293"/>
      <c r="N33" s="293"/>
      <c r="O33" s="293"/>
      <c r="P33" s="293"/>
      <c r="Q33" s="293"/>
      <c r="R33" s="293"/>
      <c r="S33" s="256">
        <f t="shared" si="9"/>
        <v>0</v>
      </c>
      <c r="T33" s="512">
        <f t="shared" si="13"/>
        <v>0</v>
      </c>
      <c r="U33" s="513">
        <f t="shared" si="14"/>
        <v>0</v>
      </c>
      <c r="V33" s="461">
        <f t="shared" si="15"/>
        <v>132</v>
      </c>
      <c r="W33" s="314">
        <v>2021</v>
      </c>
      <c r="X33" s="252" t="s">
        <v>505</v>
      </c>
      <c r="Y33" s="105"/>
      <c r="Z33" s="105"/>
      <c r="AA33" s="104"/>
      <c r="AB33" s="244">
        <v>45510</v>
      </c>
      <c r="AC33" s="245">
        <v>2023</v>
      </c>
      <c r="AD33" s="246" t="s">
        <v>391</v>
      </c>
      <c r="AE33" s="247">
        <v>108</v>
      </c>
      <c r="AF33" s="246" t="s">
        <v>102</v>
      </c>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4"/>
      <c r="CD33" s="104"/>
      <c r="CE33" s="104"/>
      <c r="CF33" s="104"/>
      <c r="CG33" s="104"/>
      <c r="CH33" s="104"/>
    </row>
    <row r="34" spans="1:86" ht="15.75" customHeight="1" x14ac:dyDescent="0.2">
      <c r="A34" s="104">
        <v>27736</v>
      </c>
      <c r="B34" s="116">
        <v>2021</v>
      </c>
      <c r="C34" s="252" t="s">
        <v>70</v>
      </c>
      <c r="D34" s="512">
        <v>21</v>
      </c>
      <c r="E34" s="241">
        <v>341</v>
      </c>
      <c r="F34" s="241">
        <v>0</v>
      </c>
      <c r="G34" s="293"/>
      <c r="H34" s="293"/>
      <c r="I34" s="293"/>
      <c r="J34" s="293"/>
      <c r="K34" s="241">
        <v>23</v>
      </c>
      <c r="L34" s="241">
        <v>9</v>
      </c>
      <c r="M34" s="241">
        <v>15</v>
      </c>
      <c r="N34" s="241">
        <v>59</v>
      </c>
      <c r="O34" s="241">
        <v>11</v>
      </c>
      <c r="P34" s="241">
        <v>15</v>
      </c>
      <c r="Q34" s="241">
        <v>17</v>
      </c>
      <c r="R34" s="241">
        <v>14</v>
      </c>
      <c r="S34" s="256">
        <f t="shared" si="9"/>
        <v>163</v>
      </c>
      <c r="T34" s="512">
        <f t="shared" si="13"/>
        <v>20.375</v>
      </c>
      <c r="U34" s="513">
        <f t="shared" si="14"/>
        <v>8.7361963190184042</v>
      </c>
      <c r="V34" s="461">
        <f t="shared" si="15"/>
        <v>178</v>
      </c>
      <c r="W34" s="314">
        <v>2021</v>
      </c>
      <c r="X34" s="252" t="s">
        <v>70</v>
      </c>
      <c r="Y34" s="105"/>
      <c r="Z34" s="105"/>
      <c r="AA34" s="104"/>
      <c r="AB34" s="244">
        <v>45636</v>
      </c>
      <c r="AC34" s="245">
        <v>2023</v>
      </c>
      <c r="AD34" s="246" t="s">
        <v>681</v>
      </c>
      <c r="AE34" s="247">
        <v>128</v>
      </c>
      <c r="AF34" s="246" t="s">
        <v>102</v>
      </c>
      <c r="AG34" s="104"/>
      <c r="AH34" s="104"/>
      <c r="AI34" s="104" t="s">
        <v>682</v>
      </c>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4"/>
      <c r="CG34" s="104"/>
      <c r="CH34" s="104"/>
    </row>
    <row r="35" spans="1:86" ht="15.75" customHeight="1" x14ac:dyDescent="0.2">
      <c r="A35" s="522">
        <v>34641</v>
      </c>
      <c r="B35" s="116">
        <v>2021</v>
      </c>
      <c r="C35" s="252" t="s">
        <v>118</v>
      </c>
      <c r="D35" s="512">
        <v>18</v>
      </c>
      <c r="E35" s="241">
        <v>564</v>
      </c>
      <c r="F35" s="241">
        <v>0</v>
      </c>
      <c r="G35" s="293"/>
      <c r="H35" s="293"/>
      <c r="I35" s="293"/>
      <c r="J35" s="293"/>
      <c r="K35" s="293">
        <v>0</v>
      </c>
      <c r="L35" s="293"/>
      <c r="M35" s="293"/>
      <c r="N35" s="293"/>
      <c r="O35" s="293"/>
      <c r="P35" s="293"/>
      <c r="Q35" s="241">
        <v>23</v>
      </c>
      <c r="R35" s="241">
        <v>10</v>
      </c>
      <c r="S35" s="256">
        <f t="shared" si="9"/>
        <v>33</v>
      </c>
      <c r="T35" s="512">
        <f t="shared" si="13"/>
        <v>11</v>
      </c>
      <c r="U35" s="513">
        <f t="shared" si="14"/>
        <v>48.272727272727273</v>
      </c>
      <c r="V35" s="461">
        <f t="shared" si="15"/>
        <v>531</v>
      </c>
      <c r="W35" s="314">
        <v>2021</v>
      </c>
      <c r="X35" s="252" t="s">
        <v>118</v>
      </c>
      <c r="Y35"/>
      <c r="Z35"/>
      <c r="AA35" s="104"/>
      <c r="AB35" s="244">
        <v>45636</v>
      </c>
      <c r="AC35" s="245">
        <v>2023</v>
      </c>
      <c r="AD35" s="246" t="s">
        <v>585</v>
      </c>
      <c r="AE35" s="247">
        <v>140</v>
      </c>
      <c r="AF35" s="246" t="s">
        <v>102</v>
      </c>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4"/>
      <c r="CG35" s="104"/>
      <c r="CH35" s="104"/>
    </row>
    <row r="36" spans="1:86" ht="15.75" customHeight="1" x14ac:dyDescent="0.2">
      <c r="A36" s="104"/>
      <c r="B36" s="116">
        <v>2021</v>
      </c>
      <c r="C36" s="252" t="s">
        <v>547</v>
      </c>
      <c r="D36" s="512" t="s">
        <v>35</v>
      </c>
      <c r="E36" s="241">
        <v>16</v>
      </c>
      <c r="F36" s="241">
        <v>0</v>
      </c>
      <c r="G36" s="241">
        <v>4</v>
      </c>
      <c r="H36" s="241">
        <v>2</v>
      </c>
      <c r="I36" s="241">
        <v>5</v>
      </c>
      <c r="J36" s="241">
        <v>5</v>
      </c>
      <c r="K36" s="281"/>
      <c r="L36" s="281"/>
      <c r="M36" s="281"/>
      <c r="N36" s="281"/>
      <c r="O36" s="281"/>
      <c r="P36" s="281"/>
      <c r="Q36" s="281"/>
      <c r="R36" s="281"/>
      <c r="S36" s="256">
        <f t="shared" si="9"/>
        <v>16</v>
      </c>
      <c r="T36" s="512">
        <f t="shared" si="13"/>
        <v>4</v>
      </c>
      <c r="U36" s="513">
        <f t="shared" si="14"/>
        <v>0</v>
      </c>
      <c r="V36" s="461">
        <f t="shared" si="15"/>
        <v>0</v>
      </c>
      <c r="W36" s="314">
        <v>2021</v>
      </c>
      <c r="X36" s="252" t="s">
        <v>548</v>
      </c>
      <c r="Y36"/>
      <c r="Z36"/>
      <c r="AA36" s="104"/>
      <c r="AB36" s="244">
        <v>45636</v>
      </c>
      <c r="AC36" s="245">
        <v>2023</v>
      </c>
      <c r="AD36" s="246" t="s">
        <v>683</v>
      </c>
      <c r="AE36" s="247">
        <v>324</v>
      </c>
      <c r="AF36" s="246" t="s">
        <v>102</v>
      </c>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row>
    <row r="37" spans="1:86" ht="15.75" customHeight="1" x14ac:dyDescent="0.2">
      <c r="A37" s="252">
        <v>135371</v>
      </c>
      <c r="B37" s="116">
        <v>2021</v>
      </c>
      <c r="C37" s="252" t="s">
        <v>307</v>
      </c>
      <c r="D37" s="512">
        <v>10</v>
      </c>
      <c r="E37" s="241">
        <v>132</v>
      </c>
      <c r="F37" s="241">
        <v>0</v>
      </c>
      <c r="G37" s="293"/>
      <c r="H37" s="293">
        <v>6</v>
      </c>
      <c r="I37" s="293"/>
      <c r="J37" s="293"/>
      <c r="K37" s="293">
        <v>10</v>
      </c>
      <c r="L37" s="293"/>
      <c r="M37" s="293"/>
      <c r="N37" s="293"/>
      <c r="O37" s="241">
        <v>22</v>
      </c>
      <c r="P37" s="241">
        <v>17</v>
      </c>
      <c r="Q37" s="241">
        <v>32</v>
      </c>
      <c r="R37" s="241">
        <v>17</v>
      </c>
      <c r="S37" s="256">
        <f t="shared" si="9"/>
        <v>104</v>
      </c>
      <c r="T37" s="512">
        <f t="shared" si="13"/>
        <v>17.333333333333332</v>
      </c>
      <c r="U37" s="513">
        <f t="shared" si="14"/>
        <v>1.6153846153846154</v>
      </c>
      <c r="V37" s="461">
        <f t="shared" si="15"/>
        <v>28</v>
      </c>
      <c r="W37" s="314">
        <v>2021</v>
      </c>
      <c r="X37" s="252" t="s">
        <v>307</v>
      </c>
      <c r="Y37"/>
      <c r="Z37"/>
      <c r="AA37" s="104"/>
      <c r="AB37" s="244">
        <v>45636</v>
      </c>
      <c r="AC37" s="245">
        <v>2023</v>
      </c>
      <c r="AD37" s="246" t="s">
        <v>220</v>
      </c>
      <c r="AE37" s="247">
        <v>422</v>
      </c>
      <c r="AF37" s="246" t="s">
        <v>102</v>
      </c>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04"/>
      <c r="BZ37" s="104"/>
      <c r="CA37" s="104"/>
      <c r="CB37" s="104"/>
      <c r="CC37" s="104"/>
      <c r="CD37" s="104"/>
      <c r="CE37" s="104"/>
      <c r="CF37" s="104"/>
      <c r="CG37" s="104"/>
      <c r="CH37" s="104"/>
    </row>
    <row r="38" spans="1:86" ht="15.75" customHeight="1" x14ac:dyDescent="0.2">
      <c r="A38" s="252">
        <v>133687</v>
      </c>
      <c r="B38" s="116">
        <v>2021</v>
      </c>
      <c r="C38" s="252" t="s">
        <v>278</v>
      </c>
      <c r="D38" s="512">
        <v>30</v>
      </c>
      <c r="E38" s="241">
        <v>556</v>
      </c>
      <c r="F38" s="241">
        <v>0</v>
      </c>
      <c r="G38" s="293"/>
      <c r="H38" s="293"/>
      <c r="I38" s="293"/>
      <c r="J38" s="293"/>
      <c r="K38" s="293"/>
      <c r="L38" s="293"/>
      <c r="M38" s="293"/>
      <c r="N38" s="293"/>
      <c r="O38" s="293"/>
      <c r="P38" s="293"/>
      <c r="Q38" s="293"/>
      <c r="R38" s="293"/>
      <c r="S38" s="256">
        <f t="shared" si="9"/>
        <v>0</v>
      </c>
      <c r="T38" s="512">
        <f t="shared" si="13"/>
        <v>0</v>
      </c>
      <c r="U38" s="513">
        <f t="shared" si="14"/>
        <v>0</v>
      </c>
      <c r="V38" s="461">
        <f t="shared" si="15"/>
        <v>556</v>
      </c>
      <c r="W38" s="314">
        <v>2021</v>
      </c>
      <c r="X38" s="252" t="s">
        <v>278</v>
      </c>
      <c r="Y38"/>
      <c r="Z38"/>
      <c r="AA38" s="104"/>
      <c r="AB38" s="244">
        <v>45636</v>
      </c>
      <c r="AC38" s="245">
        <v>2023</v>
      </c>
      <c r="AD38" s="246" t="s">
        <v>214</v>
      </c>
      <c r="AE38" s="247">
        <v>319</v>
      </c>
      <c r="AF38" s="246" t="s">
        <v>102</v>
      </c>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4"/>
      <c r="CG38" s="104"/>
      <c r="CH38" s="104"/>
    </row>
    <row r="39" spans="1:86" x14ac:dyDescent="0.2">
      <c r="A39" s="252">
        <v>168932</v>
      </c>
      <c r="B39" s="116" t="s">
        <v>35</v>
      </c>
      <c r="C39" s="252" t="s">
        <v>549</v>
      </c>
      <c r="D39" s="512">
        <v>51</v>
      </c>
      <c r="E39" s="241">
        <v>440</v>
      </c>
      <c r="F39" s="241">
        <v>0</v>
      </c>
      <c r="G39" s="293"/>
      <c r="H39" s="293"/>
      <c r="I39" s="293"/>
      <c r="J39" s="293"/>
      <c r="K39" s="293" t="s">
        <v>35</v>
      </c>
      <c r="L39" s="293"/>
      <c r="M39" s="293"/>
      <c r="N39" s="293"/>
      <c r="O39" s="293"/>
      <c r="P39" s="293"/>
      <c r="Q39" s="241">
        <v>67</v>
      </c>
      <c r="R39" s="241">
        <v>35</v>
      </c>
      <c r="S39" s="256">
        <f t="shared" si="9"/>
        <v>102</v>
      </c>
      <c r="T39" s="512">
        <f t="shared" si="13"/>
        <v>51</v>
      </c>
      <c r="U39" s="513">
        <f t="shared" si="14"/>
        <v>6.6274509803921573</v>
      </c>
      <c r="V39" s="461">
        <f t="shared" si="15"/>
        <v>338</v>
      </c>
      <c r="W39" s="314" t="s">
        <v>550</v>
      </c>
      <c r="X39" s="252"/>
      <c r="Y39"/>
      <c r="Z39"/>
      <c r="AA39" s="104"/>
      <c r="AB39" s="244">
        <v>45636</v>
      </c>
      <c r="AC39" s="245">
        <v>2023</v>
      </c>
      <c r="AD39" s="246" t="s">
        <v>684</v>
      </c>
      <c r="AE39" s="247">
        <v>230</v>
      </c>
      <c r="AF39" s="246" t="s">
        <v>102</v>
      </c>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4"/>
      <c r="CH39" s="104"/>
    </row>
    <row r="40" spans="1:86" ht="15.75" customHeight="1" x14ac:dyDescent="0.2">
      <c r="A40" s="252">
        <v>211507</v>
      </c>
      <c r="B40" s="116">
        <v>2021</v>
      </c>
      <c r="C40" s="252" t="s">
        <v>607</v>
      </c>
      <c r="D40" s="512">
        <v>0</v>
      </c>
      <c r="E40" s="241">
        <v>137</v>
      </c>
      <c r="F40" s="241">
        <v>0</v>
      </c>
      <c r="G40" s="241">
        <v>5</v>
      </c>
      <c r="H40" s="241">
        <v>55</v>
      </c>
      <c r="I40" s="241">
        <v>15</v>
      </c>
      <c r="J40" s="241">
        <v>6</v>
      </c>
      <c r="K40" s="241">
        <v>10</v>
      </c>
      <c r="L40" s="241">
        <v>5</v>
      </c>
      <c r="M40" s="241">
        <v>4</v>
      </c>
      <c r="N40" s="241">
        <v>17</v>
      </c>
      <c r="O40" s="241">
        <v>4</v>
      </c>
      <c r="P40" s="241">
        <v>7</v>
      </c>
      <c r="Q40" s="241">
        <v>9</v>
      </c>
      <c r="R40" s="281"/>
      <c r="S40" s="256">
        <f t="shared" si="9"/>
        <v>137</v>
      </c>
      <c r="T40" s="512">
        <f t="shared" si="13"/>
        <v>12.454545454545455</v>
      </c>
      <c r="U40" s="513">
        <f t="shared" si="14"/>
        <v>0</v>
      </c>
      <c r="V40" s="461">
        <f t="shared" si="15"/>
        <v>0</v>
      </c>
      <c r="W40" s="314">
        <v>2021</v>
      </c>
      <c r="X40" s="252" t="s">
        <v>607</v>
      </c>
      <c r="Y40"/>
      <c r="Z40" s="124"/>
      <c r="AA40" s="104"/>
      <c r="AB40" s="244">
        <v>45637</v>
      </c>
      <c r="AC40" s="245">
        <v>2023</v>
      </c>
      <c r="AD40" s="246" t="s">
        <v>685</v>
      </c>
      <c r="AE40" s="247">
        <v>135</v>
      </c>
      <c r="AF40" s="246" t="s">
        <v>102</v>
      </c>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4"/>
      <c r="CH40" s="104"/>
    </row>
    <row r="41" spans="1:86" ht="15.75" customHeight="1" x14ac:dyDescent="0.2">
      <c r="A41" s="249"/>
      <c r="B41" s="315"/>
      <c r="C41" s="249"/>
      <c r="D41" s="510"/>
      <c r="E41" s="530">
        <v>0</v>
      </c>
      <c r="F41" s="530"/>
      <c r="G41" s="294"/>
      <c r="H41" s="294"/>
      <c r="I41" s="294"/>
      <c r="J41" s="294"/>
      <c r="K41" s="294"/>
      <c r="L41" s="294"/>
      <c r="M41" s="294"/>
      <c r="N41" s="294"/>
      <c r="O41" s="294"/>
      <c r="P41" s="294"/>
      <c r="Q41" s="294"/>
      <c r="R41" s="294"/>
      <c r="S41" s="251"/>
      <c r="T41" s="510"/>
      <c r="U41" s="511"/>
      <c r="V41" s="462"/>
      <c r="W41" s="316"/>
      <c r="X41" s="249"/>
      <c r="Y41"/>
      <c r="Z41" s="124"/>
      <c r="AA41" s="105"/>
      <c r="AB41" s="244">
        <v>45637</v>
      </c>
      <c r="AC41" s="245">
        <v>2023</v>
      </c>
      <c r="AD41" s="246" t="s">
        <v>686</v>
      </c>
      <c r="AE41" s="247">
        <v>224</v>
      </c>
      <c r="AF41" s="246" t="s">
        <v>102</v>
      </c>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row>
    <row r="42" spans="1:86" ht="15.75" customHeight="1" x14ac:dyDescent="0.2">
      <c r="A42" s="487">
        <v>11198</v>
      </c>
      <c r="B42" s="255">
        <v>2022</v>
      </c>
      <c r="C42" s="252" t="s">
        <v>46</v>
      </c>
      <c r="D42" s="512">
        <v>31.5</v>
      </c>
      <c r="E42" s="241">
        <v>386</v>
      </c>
      <c r="F42" s="241">
        <v>0</v>
      </c>
      <c r="G42" s="241">
        <v>12</v>
      </c>
      <c r="H42" s="241">
        <v>26</v>
      </c>
      <c r="I42" s="241">
        <v>21</v>
      </c>
      <c r="J42" s="241">
        <v>45</v>
      </c>
      <c r="K42" s="241">
        <v>60</v>
      </c>
      <c r="L42" s="241">
        <v>31</v>
      </c>
      <c r="M42" s="241">
        <v>17</v>
      </c>
      <c r="N42" s="241">
        <v>27</v>
      </c>
      <c r="O42" s="241">
        <v>19</v>
      </c>
      <c r="P42" s="241">
        <v>30</v>
      </c>
      <c r="Q42" s="241">
        <v>20</v>
      </c>
      <c r="R42" s="241">
        <v>7</v>
      </c>
      <c r="S42" s="256">
        <f t="shared" ref="S42" si="16">SUM(G42:R42)</f>
        <v>315</v>
      </c>
      <c r="T42" s="512">
        <f t="shared" ref="T42:T93" si="17">IFERROR((AVERAGE(G42:R42)),0)</f>
        <v>26.25</v>
      </c>
      <c r="U42" s="513">
        <f t="shared" ref="U42:U93" si="18">IFERROR((V42/T42),0)</f>
        <v>2.7047619047619049</v>
      </c>
      <c r="V42" s="461">
        <f t="shared" ref="V42:V63" si="19">E42+F42-S42</f>
        <v>71</v>
      </c>
      <c r="W42" s="314">
        <v>2022</v>
      </c>
      <c r="X42" s="252" t="s">
        <v>46</v>
      </c>
      <c r="Y42"/>
      <c r="Z42" s="124"/>
      <c r="AA42" s="105"/>
      <c r="AB42" s="244">
        <v>45637</v>
      </c>
      <c r="AC42" s="245">
        <v>2023</v>
      </c>
      <c r="AD42" s="246" t="s">
        <v>687</v>
      </c>
      <c r="AE42" s="247">
        <v>221</v>
      </c>
      <c r="AF42" s="246" t="s">
        <v>102</v>
      </c>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4"/>
      <c r="CA42" s="104"/>
      <c r="CB42" s="104"/>
      <c r="CC42" s="104"/>
      <c r="CD42" s="104"/>
      <c r="CE42" s="104"/>
      <c r="CF42" s="104"/>
      <c r="CG42" s="104"/>
      <c r="CH42" s="104"/>
    </row>
    <row r="43" spans="1:86" ht="15.75" customHeight="1" x14ac:dyDescent="0.2">
      <c r="A43" s="487">
        <v>168933</v>
      </c>
      <c r="B43" s="255">
        <v>2022</v>
      </c>
      <c r="C43" s="252" t="s">
        <v>468</v>
      </c>
      <c r="D43" s="512">
        <v>18.222222222222221</v>
      </c>
      <c r="E43" s="241">
        <v>186</v>
      </c>
      <c r="F43" s="241">
        <v>0</v>
      </c>
      <c r="G43" s="241">
        <v>11</v>
      </c>
      <c r="H43" s="241">
        <v>11</v>
      </c>
      <c r="I43" s="241">
        <v>8</v>
      </c>
      <c r="J43" s="241">
        <v>19</v>
      </c>
      <c r="K43" s="241">
        <v>19</v>
      </c>
      <c r="L43" s="241">
        <v>21</v>
      </c>
      <c r="M43" s="241">
        <v>19</v>
      </c>
      <c r="N43" s="241">
        <v>52</v>
      </c>
      <c r="O43" s="241">
        <v>14</v>
      </c>
      <c r="P43" s="241">
        <v>12</v>
      </c>
      <c r="Q43" s="281"/>
      <c r="R43" s="281"/>
      <c r="S43" s="256">
        <f t="shared" ref="S43:S47" si="20">SUM(G43:R43)</f>
        <v>186</v>
      </c>
      <c r="T43" s="512">
        <f t="shared" si="17"/>
        <v>18.600000000000001</v>
      </c>
      <c r="U43" s="513">
        <f t="shared" si="18"/>
        <v>0</v>
      </c>
      <c r="V43" s="461">
        <f t="shared" si="19"/>
        <v>0</v>
      </c>
      <c r="W43" s="314">
        <v>2022</v>
      </c>
      <c r="X43" s="252" t="s">
        <v>468</v>
      </c>
      <c r="Y43"/>
      <c r="Z43" s="124"/>
      <c r="AA43" s="105"/>
      <c r="AB43" s="244">
        <v>45637</v>
      </c>
      <c r="AC43" s="245">
        <v>2023</v>
      </c>
      <c r="AD43" s="246" t="s">
        <v>228</v>
      </c>
      <c r="AE43" s="247">
        <v>411</v>
      </c>
      <c r="AF43" s="246" t="s">
        <v>102</v>
      </c>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row>
    <row r="44" spans="1:86" ht="15.75" customHeight="1" x14ac:dyDescent="0.2">
      <c r="A44" s="487">
        <v>57632</v>
      </c>
      <c r="B44" s="255">
        <v>2022</v>
      </c>
      <c r="C44" s="252" t="s">
        <v>31</v>
      </c>
      <c r="D44" s="512">
        <v>24</v>
      </c>
      <c r="E44" s="241">
        <v>215</v>
      </c>
      <c r="F44" s="241">
        <v>0</v>
      </c>
      <c r="G44" s="293"/>
      <c r="H44" s="293"/>
      <c r="I44" s="293"/>
      <c r="J44" s="293"/>
      <c r="K44" s="293"/>
      <c r="L44" s="293"/>
      <c r="M44" s="293"/>
      <c r="N44" s="293"/>
      <c r="O44" s="293"/>
      <c r="P44" s="293"/>
      <c r="Q44" s="293"/>
      <c r="R44" s="293"/>
      <c r="S44" s="256">
        <f t="shared" si="20"/>
        <v>0</v>
      </c>
      <c r="T44" s="512">
        <f t="shared" si="17"/>
        <v>0</v>
      </c>
      <c r="U44" s="513">
        <f t="shared" si="18"/>
        <v>0</v>
      </c>
      <c r="V44" s="461">
        <f t="shared" si="19"/>
        <v>215</v>
      </c>
      <c r="W44" s="314">
        <v>2022</v>
      </c>
      <c r="X44" s="252" t="s">
        <v>31</v>
      </c>
      <c r="Y44"/>
      <c r="Z44" s="124"/>
      <c r="AA44" s="124"/>
      <c r="AB44" s="244">
        <v>45637</v>
      </c>
      <c r="AC44" s="245">
        <v>2023</v>
      </c>
      <c r="AD44" s="246" t="s">
        <v>688</v>
      </c>
      <c r="AE44" s="247">
        <v>599</v>
      </c>
      <c r="AF44" s="246" t="s">
        <v>102</v>
      </c>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row>
    <row r="45" spans="1:86" ht="15.75" customHeight="1" x14ac:dyDescent="0.2">
      <c r="A45" s="487">
        <v>203804</v>
      </c>
      <c r="B45" s="255">
        <v>2022</v>
      </c>
      <c r="C45" s="252" t="s">
        <v>614</v>
      </c>
      <c r="D45" s="512" t="s">
        <v>35</v>
      </c>
      <c r="E45" s="241">
        <v>112</v>
      </c>
      <c r="F45" s="241">
        <v>0</v>
      </c>
      <c r="G45" s="293"/>
      <c r="H45" s="293"/>
      <c r="I45" s="293"/>
      <c r="J45" s="293"/>
      <c r="K45" s="293">
        <v>76</v>
      </c>
      <c r="L45" s="293">
        <v>8</v>
      </c>
      <c r="M45" s="281"/>
      <c r="N45" s="281"/>
      <c r="O45" s="281"/>
      <c r="P45" s="281"/>
      <c r="Q45" s="281"/>
      <c r="R45" s="281"/>
      <c r="S45" s="256">
        <f t="shared" ref="S45:S46" si="21">SUM(G45:R45)</f>
        <v>84</v>
      </c>
      <c r="T45" s="512">
        <f t="shared" si="17"/>
        <v>42</v>
      </c>
      <c r="U45" s="513">
        <f t="shared" si="18"/>
        <v>0.66666666666666663</v>
      </c>
      <c r="V45" s="461">
        <f t="shared" si="19"/>
        <v>28</v>
      </c>
      <c r="W45" s="314">
        <v>2022</v>
      </c>
      <c r="X45" s="252" t="s">
        <v>31</v>
      </c>
      <c r="Y45"/>
      <c r="Z45" s="124"/>
      <c r="AA45" s="104"/>
      <c r="AB45" s="244"/>
      <c r="AC45" s="245"/>
      <c r="AD45" s="246"/>
      <c r="AE45" s="247"/>
      <c r="AF45" s="246" t="s">
        <v>35</v>
      </c>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row>
    <row r="46" spans="1:86" ht="15.75" customHeight="1" x14ac:dyDescent="0.2">
      <c r="A46" s="487">
        <v>57632</v>
      </c>
      <c r="B46" s="255">
        <v>2022</v>
      </c>
      <c r="C46" s="252" t="s">
        <v>615</v>
      </c>
      <c r="D46" s="512" t="s">
        <v>35</v>
      </c>
      <c r="E46" s="241">
        <v>42</v>
      </c>
      <c r="F46" s="241">
        <v>0</v>
      </c>
      <c r="G46" s="293"/>
      <c r="H46" s="293"/>
      <c r="I46" s="293"/>
      <c r="J46" s="293">
        <v>6</v>
      </c>
      <c r="K46" s="293">
        <v>5</v>
      </c>
      <c r="L46" s="293">
        <v>9</v>
      </c>
      <c r="M46" s="293">
        <v>2</v>
      </c>
      <c r="N46" s="293">
        <v>2</v>
      </c>
      <c r="O46" s="293">
        <v>2</v>
      </c>
      <c r="P46" s="293">
        <v>5</v>
      </c>
      <c r="Q46" s="293">
        <v>0</v>
      </c>
      <c r="R46" s="293">
        <v>0</v>
      </c>
      <c r="S46" s="256">
        <f t="shared" si="21"/>
        <v>31</v>
      </c>
      <c r="T46" s="512">
        <f t="shared" si="17"/>
        <v>3.4444444444444446</v>
      </c>
      <c r="U46" s="513">
        <f t="shared" si="18"/>
        <v>3.193548387096774</v>
      </c>
      <c r="V46" s="461">
        <f t="shared" si="19"/>
        <v>11</v>
      </c>
      <c r="W46" s="314">
        <v>2022</v>
      </c>
      <c r="X46" s="252" t="s">
        <v>31</v>
      </c>
      <c r="Y46"/>
      <c r="Z46" s="124"/>
      <c r="AA46" s="104"/>
      <c r="AB46" s="150"/>
      <c r="AC46" s="104"/>
      <c r="AD46" s="104"/>
      <c r="AE46" s="104" t="s">
        <v>35</v>
      </c>
      <c r="AF46" s="104"/>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04"/>
      <c r="BU46" s="104"/>
      <c r="BV46" s="104"/>
      <c r="BW46" s="104"/>
      <c r="BX46" s="104"/>
      <c r="BY46" s="104"/>
      <c r="BZ46" s="104"/>
      <c r="CA46" s="104"/>
      <c r="CB46" s="104"/>
      <c r="CC46" s="104"/>
      <c r="CD46" s="104"/>
      <c r="CE46" s="104"/>
      <c r="CF46" s="104"/>
      <c r="CG46" s="104"/>
      <c r="CH46" s="104"/>
    </row>
    <row r="47" spans="1:86" ht="15.75" customHeight="1" x14ac:dyDescent="0.2">
      <c r="A47" s="487">
        <v>57630</v>
      </c>
      <c r="B47" s="255">
        <v>2022</v>
      </c>
      <c r="C47" s="252" t="s">
        <v>25</v>
      </c>
      <c r="D47" s="512">
        <v>27</v>
      </c>
      <c r="E47" s="241">
        <v>342</v>
      </c>
      <c r="F47" s="241">
        <v>0</v>
      </c>
      <c r="G47" s="293"/>
      <c r="H47" s="293"/>
      <c r="I47" s="293"/>
      <c r="J47" s="293"/>
      <c r="K47" s="293">
        <v>4</v>
      </c>
      <c r="L47" s="293"/>
      <c r="M47" s="293"/>
      <c r="N47" s="293"/>
      <c r="O47" s="293"/>
      <c r="P47" s="293"/>
      <c r="Q47" s="293"/>
      <c r="R47" s="293"/>
      <c r="S47" s="256">
        <f t="shared" si="20"/>
        <v>4</v>
      </c>
      <c r="T47" s="512">
        <f t="shared" si="17"/>
        <v>4</v>
      </c>
      <c r="U47" s="513">
        <f t="shared" si="18"/>
        <v>84.5</v>
      </c>
      <c r="V47" s="461">
        <f t="shared" si="19"/>
        <v>338</v>
      </c>
      <c r="W47" s="314">
        <v>2022</v>
      </c>
      <c r="X47" s="252" t="s">
        <v>25</v>
      </c>
      <c r="Y47"/>
      <c r="Z47" s="124"/>
      <c r="AA47" s="104"/>
      <c r="AB47" s="150"/>
      <c r="AC47" s="104"/>
      <c r="AD47" s="104"/>
      <c r="AE47" s="104" t="s">
        <v>35</v>
      </c>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04"/>
      <c r="BU47" s="104"/>
      <c r="BV47" s="104"/>
      <c r="BW47" s="104"/>
      <c r="BX47" s="104"/>
      <c r="BY47" s="104"/>
      <c r="BZ47" s="104"/>
      <c r="CA47" s="104"/>
      <c r="CB47" s="104"/>
      <c r="CC47" s="104"/>
      <c r="CD47" s="104"/>
      <c r="CE47" s="104"/>
      <c r="CF47" s="104"/>
      <c r="CG47" s="104"/>
      <c r="CH47" s="104"/>
    </row>
    <row r="48" spans="1:86" ht="15.75" customHeight="1" x14ac:dyDescent="0.2">
      <c r="A48" s="487">
        <v>57630</v>
      </c>
      <c r="B48" s="255">
        <v>2022</v>
      </c>
      <c r="C48" s="252" t="s">
        <v>391</v>
      </c>
      <c r="D48" s="512" t="s">
        <v>35</v>
      </c>
      <c r="E48" s="241">
        <v>23</v>
      </c>
      <c r="F48" s="241">
        <v>0</v>
      </c>
      <c r="G48" s="241">
        <v>2</v>
      </c>
      <c r="H48" s="241">
        <v>0</v>
      </c>
      <c r="I48" s="241">
        <v>21</v>
      </c>
      <c r="J48" s="281"/>
      <c r="K48" s="281"/>
      <c r="L48" s="281"/>
      <c r="M48" s="281"/>
      <c r="N48" s="281"/>
      <c r="O48" s="281"/>
      <c r="P48" s="281"/>
      <c r="Q48" s="281"/>
      <c r="R48" s="281"/>
      <c r="S48" s="256">
        <f t="shared" ref="S48:S52" si="22">SUM(G48:R48)</f>
        <v>23</v>
      </c>
      <c r="T48" s="512">
        <f t="shared" si="17"/>
        <v>7.666666666666667</v>
      </c>
      <c r="U48" s="513">
        <f t="shared" si="18"/>
        <v>0</v>
      </c>
      <c r="V48" s="461">
        <f t="shared" si="19"/>
        <v>0</v>
      </c>
      <c r="W48" s="314">
        <v>2022</v>
      </c>
      <c r="X48" s="252" t="s">
        <v>391</v>
      </c>
      <c r="Y48"/>
      <c r="Z48" s="124"/>
      <c r="AA48" s="104"/>
      <c r="AB48"/>
      <c r="AC48"/>
      <c r="AD48"/>
      <c r="AE48" s="71" t="s">
        <v>35</v>
      </c>
      <c r="AF48"/>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c r="CH48" s="104"/>
    </row>
    <row r="49" spans="1:86" ht="15.75" customHeight="1" x14ac:dyDescent="0.25">
      <c r="A49" s="487">
        <v>111575</v>
      </c>
      <c r="B49" s="255">
        <v>2022</v>
      </c>
      <c r="C49" s="252" t="s">
        <v>110</v>
      </c>
      <c r="D49" s="512">
        <v>23</v>
      </c>
      <c r="E49" s="241">
        <v>330</v>
      </c>
      <c r="F49" s="241">
        <v>0</v>
      </c>
      <c r="G49" s="293"/>
      <c r="H49" s="293"/>
      <c r="I49" s="241">
        <v>17</v>
      </c>
      <c r="J49" s="241">
        <v>27</v>
      </c>
      <c r="K49" s="241">
        <v>38</v>
      </c>
      <c r="L49" s="241">
        <v>28</v>
      </c>
      <c r="M49" s="241">
        <v>22</v>
      </c>
      <c r="N49" s="241">
        <v>31</v>
      </c>
      <c r="O49" s="241">
        <v>17</v>
      </c>
      <c r="P49" s="241">
        <v>23</v>
      </c>
      <c r="Q49" s="241">
        <v>34</v>
      </c>
      <c r="R49" s="241">
        <v>3</v>
      </c>
      <c r="S49" s="256">
        <f t="shared" si="22"/>
        <v>240</v>
      </c>
      <c r="T49" s="512">
        <f t="shared" si="17"/>
        <v>24</v>
      </c>
      <c r="U49" s="513">
        <f t="shared" si="18"/>
        <v>3.75</v>
      </c>
      <c r="V49" s="461">
        <f t="shared" si="19"/>
        <v>90</v>
      </c>
      <c r="W49" s="314">
        <v>2022</v>
      </c>
      <c r="X49" s="252" t="s">
        <v>110</v>
      </c>
      <c r="Y49"/>
      <c r="Z49" s="124"/>
      <c r="AA49" s="104"/>
      <c r="AB49" s="580" t="s">
        <v>689</v>
      </c>
      <c r="AC49" s="580"/>
      <c r="AD49" s="580"/>
      <c r="AE49" s="580"/>
      <c r="AF49" s="580"/>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row>
    <row r="50" spans="1:86" ht="15.75" customHeight="1" x14ac:dyDescent="0.2">
      <c r="A50" s="487">
        <v>178211</v>
      </c>
      <c r="B50" s="255">
        <v>2022</v>
      </c>
      <c r="C50" s="252" t="s">
        <v>544</v>
      </c>
      <c r="D50" s="512" t="s">
        <v>35</v>
      </c>
      <c r="E50" s="241">
        <v>65</v>
      </c>
      <c r="F50" s="241">
        <v>0</v>
      </c>
      <c r="G50" s="241">
        <v>10</v>
      </c>
      <c r="H50" s="241">
        <v>6</v>
      </c>
      <c r="I50" s="241">
        <v>3</v>
      </c>
      <c r="J50" s="241">
        <v>4</v>
      </c>
      <c r="K50" s="241">
        <v>6</v>
      </c>
      <c r="L50" s="241">
        <v>2</v>
      </c>
      <c r="M50" s="241">
        <v>6</v>
      </c>
      <c r="N50" s="241">
        <v>8</v>
      </c>
      <c r="O50" s="241">
        <v>8</v>
      </c>
      <c r="P50" s="241">
        <v>6</v>
      </c>
      <c r="Q50" s="241">
        <v>6</v>
      </c>
      <c r="R50" s="281"/>
      <c r="S50" s="256">
        <f t="shared" si="22"/>
        <v>65</v>
      </c>
      <c r="T50" s="512">
        <f t="shared" si="17"/>
        <v>5.9090909090909092</v>
      </c>
      <c r="U50" s="513">
        <f>IFERROR((V50/T50),0)</f>
        <v>0</v>
      </c>
      <c r="V50" s="461">
        <f t="shared" si="19"/>
        <v>0</v>
      </c>
      <c r="W50" s="314">
        <v>2022</v>
      </c>
      <c r="X50" s="252" t="s">
        <v>544</v>
      </c>
      <c r="Y50"/>
      <c r="Z50"/>
      <c r="AA50" s="104"/>
      <c r="AB50" s="266" t="s">
        <v>395</v>
      </c>
      <c r="AC50" s="267" t="s">
        <v>396</v>
      </c>
      <c r="AD50" s="267" t="s">
        <v>397</v>
      </c>
      <c r="AE50" s="267" t="s">
        <v>398</v>
      </c>
      <c r="AF50" s="267" t="s">
        <v>399</v>
      </c>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4"/>
      <c r="CD50" s="104"/>
      <c r="CE50" s="104"/>
      <c r="CF50" s="104"/>
      <c r="CG50" s="104"/>
      <c r="CH50" s="104"/>
    </row>
    <row r="51" spans="1:86" ht="15.75" customHeight="1" x14ac:dyDescent="0.2">
      <c r="A51" s="487">
        <v>179588</v>
      </c>
      <c r="B51" s="255">
        <v>2022</v>
      </c>
      <c r="C51" s="252" t="s">
        <v>545</v>
      </c>
      <c r="D51" s="512" t="s">
        <v>35</v>
      </c>
      <c r="E51" s="241">
        <v>67</v>
      </c>
      <c r="F51" s="241">
        <v>0</v>
      </c>
      <c r="G51" s="241">
        <v>9</v>
      </c>
      <c r="H51" s="241">
        <v>4</v>
      </c>
      <c r="I51" s="241">
        <v>10</v>
      </c>
      <c r="J51" s="241">
        <v>5</v>
      </c>
      <c r="K51" s="241">
        <v>15</v>
      </c>
      <c r="L51" s="241">
        <v>0</v>
      </c>
      <c r="M51" s="241">
        <v>5</v>
      </c>
      <c r="N51" s="241">
        <v>10</v>
      </c>
      <c r="O51" s="241">
        <v>8</v>
      </c>
      <c r="P51" s="241">
        <v>1</v>
      </c>
      <c r="Q51" s="281"/>
      <c r="R51" s="281"/>
      <c r="S51" s="256">
        <f t="shared" si="22"/>
        <v>67</v>
      </c>
      <c r="T51" s="512">
        <f t="shared" si="17"/>
        <v>6.7</v>
      </c>
      <c r="U51" s="513">
        <f t="shared" si="18"/>
        <v>0</v>
      </c>
      <c r="V51" s="461">
        <f t="shared" si="19"/>
        <v>0</v>
      </c>
      <c r="W51" s="314">
        <v>2022</v>
      </c>
      <c r="X51" s="252" t="s">
        <v>545</v>
      </c>
      <c r="Y51"/>
      <c r="Z51"/>
      <c r="AA51" s="104"/>
      <c r="AB51" s="265">
        <v>45351</v>
      </c>
      <c r="AC51" s="266">
        <v>2023</v>
      </c>
      <c r="AD51" s="267" t="s">
        <v>690</v>
      </c>
      <c r="AE51" s="267">
        <v>119</v>
      </c>
      <c r="AF51" s="267" t="s">
        <v>102</v>
      </c>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4"/>
      <c r="BU51" s="104"/>
      <c r="BV51" s="104"/>
      <c r="BW51" s="104"/>
      <c r="BX51" s="104"/>
      <c r="BY51" s="104"/>
      <c r="BZ51" s="104"/>
      <c r="CA51" s="104"/>
      <c r="CB51" s="104"/>
      <c r="CC51" s="104"/>
      <c r="CD51" s="104"/>
      <c r="CE51" s="104"/>
      <c r="CF51" s="104"/>
      <c r="CG51" s="104"/>
      <c r="CH51" s="104"/>
    </row>
    <row r="52" spans="1:86" ht="15.75" customHeight="1" x14ac:dyDescent="0.2">
      <c r="A52" s="487"/>
      <c r="B52" s="255">
        <v>2022</v>
      </c>
      <c r="C52" s="252" t="s">
        <v>546</v>
      </c>
      <c r="D52" s="512" t="s">
        <v>35</v>
      </c>
      <c r="E52" s="241">
        <v>58</v>
      </c>
      <c r="F52" s="241">
        <v>0</v>
      </c>
      <c r="G52" s="241">
        <v>6</v>
      </c>
      <c r="H52" s="241">
        <v>3</v>
      </c>
      <c r="I52" s="241">
        <v>9</v>
      </c>
      <c r="J52" s="241">
        <v>6</v>
      </c>
      <c r="K52" s="241">
        <v>7</v>
      </c>
      <c r="L52" s="241">
        <v>6</v>
      </c>
      <c r="M52" s="241">
        <v>5</v>
      </c>
      <c r="N52" s="241">
        <v>5</v>
      </c>
      <c r="O52" s="241">
        <v>8</v>
      </c>
      <c r="P52" s="241">
        <v>2</v>
      </c>
      <c r="Q52" s="241">
        <v>1</v>
      </c>
      <c r="R52" s="281"/>
      <c r="S52" s="256">
        <f t="shared" si="22"/>
        <v>58</v>
      </c>
      <c r="T52" s="512">
        <f t="shared" si="17"/>
        <v>5.2727272727272725</v>
      </c>
      <c r="U52" s="513">
        <f t="shared" si="18"/>
        <v>0</v>
      </c>
      <c r="V52" s="461">
        <f t="shared" si="19"/>
        <v>0</v>
      </c>
      <c r="W52" s="314">
        <v>2022</v>
      </c>
      <c r="X52" s="252" t="s">
        <v>546</v>
      </c>
      <c r="Y52"/>
      <c r="Z52"/>
      <c r="AA52" s="104"/>
      <c r="AB52" s="265">
        <v>45351</v>
      </c>
      <c r="AC52" s="266">
        <v>2023</v>
      </c>
      <c r="AD52" s="267" t="s">
        <v>691</v>
      </c>
      <c r="AE52" s="267">
        <v>117</v>
      </c>
      <c r="AF52" s="267" t="s">
        <v>102</v>
      </c>
      <c r="AG52" s="104"/>
      <c r="AH52" s="104"/>
      <c r="AI52" s="104"/>
      <c r="AJ52" s="104"/>
      <c r="AK52" s="104"/>
      <c r="AL52" s="104"/>
      <c r="AM52" s="104"/>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4"/>
      <c r="BR52" s="104"/>
      <c r="BS52" s="104"/>
      <c r="BT52" s="104"/>
      <c r="BU52" s="104"/>
      <c r="BV52" s="104"/>
      <c r="BW52" s="104"/>
      <c r="BX52" s="104"/>
      <c r="BY52" s="104"/>
      <c r="BZ52" s="104"/>
      <c r="CA52" s="104"/>
      <c r="CB52" s="104"/>
      <c r="CC52" s="104"/>
      <c r="CD52" s="104"/>
      <c r="CE52" s="104"/>
      <c r="CF52" s="104"/>
      <c r="CG52" s="104"/>
      <c r="CH52" s="104"/>
    </row>
    <row r="53" spans="1:86" ht="15.75" customHeight="1" x14ac:dyDescent="0.2">
      <c r="A53" s="487">
        <v>133688</v>
      </c>
      <c r="B53" s="255">
        <v>2022</v>
      </c>
      <c r="C53" s="252" t="s">
        <v>23</v>
      </c>
      <c r="D53" s="512">
        <v>30</v>
      </c>
      <c r="E53" s="241">
        <v>220</v>
      </c>
      <c r="F53" s="241">
        <v>0</v>
      </c>
      <c r="G53" s="293"/>
      <c r="H53" s="293"/>
      <c r="I53" s="293"/>
      <c r="J53" s="293"/>
      <c r="K53" s="293">
        <v>18</v>
      </c>
      <c r="L53" s="293"/>
      <c r="M53" s="293"/>
      <c r="N53" s="293"/>
      <c r="O53" s="293"/>
      <c r="P53" s="293"/>
      <c r="Q53" s="293"/>
      <c r="R53" s="293"/>
      <c r="S53" s="256">
        <f t="shared" ref="S53:S63" si="23">SUM(G53:R53)</f>
        <v>18</v>
      </c>
      <c r="T53" s="512">
        <f t="shared" si="17"/>
        <v>18</v>
      </c>
      <c r="U53" s="513">
        <f t="shared" si="18"/>
        <v>11.222222222222221</v>
      </c>
      <c r="V53" s="461">
        <f t="shared" si="19"/>
        <v>202</v>
      </c>
      <c r="W53" s="314">
        <v>2022</v>
      </c>
      <c r="X53" s="252" t="s">
        <v>23</v>
      </c>
      <c r="Y53"/>
      <c r="Z53"/>
      <c r="AA53" s="104"/>
      <c r="AB53" s="265">
        <v>45351</v>
      </c>
      <c r="AC53" s="266">
        <v>2023</v>
      </c>
      <c r="AD53" s="267" t="s">
        <v>692</v>
      </c>
      <c r="AE53" s="267">
        <v>138</v>
      </c>
      <c r="AF53" s="267" t="s">
        <v>102</v>
      </c>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4"/>
      <c r="CH53" s="104"/>
    </row>
    <row r="54" spans="1:86" ht="15.75" customHeight="1" x14ac:dyDescent="0.2">
      <c r="A54" s="487">
        <v>133687</v>
      </c>
      <c r="B54" s="255">
        <v>2022</v>
      </c>
      <c r="C54" s="252" t="s">
        <v>93</v>
      </c>
      <c r="D54" s="512">
        <v>15</v>
      </c>
      <c r="E54" s="241">
        <v>98</v>
      </c>
      <c r="F54" s="241">
        <v>0</v>
      </c>
      <c r="G54" s="293"/>
      <c r="H54" s="293">
        <v>8</v>
      </c>
      <c r="I54" s="293"/>
      <c r="J54" s="293"/>
      <c r="K54" s="293" t="s">
        <v>35</v>
      </c>
      <c r="L54" s="293"/>
      <c r="M54" s="293"/>
      <c r="N54" s="293"/>
      <c r="O54" s="293"/>
      <c r="P54" s="293"/>
      <c r="Q54" s="293"/>
      <c r="R54" s="293"/>
      <c r="S54" s="256">
        <f t="shared" si="23"/>
        <v>8</v>
      </c>
      <c r="T54" s="512">
        <f t="shared" si="17"/>
        <v>8</v>
      </c>
      <c r="U54" s="513">
        <f t="shared" si="18"/>
        <v>11.25</v>
      </c>
      <c r="V54" s="461">
        <f t="shared" si="19"/>
        <v>90</v>
      </c>
      <c r="W54" s="314">
        <v>2022</v>
      </c>
      <c r="X54" s="252" t="s">
        <v>393</v>
      </c>
      <c r="Y54"/>
      <c r="Z54"/>
      <c r="AA54" s="104"/>
      <c r="AB54" s="265">
        <v>45351</v>
      </c>
      <c r="AC54" s="266">
        <v>2023</v>
      </c>
      <c r="AD54" s="267" t="s">
        <v>573</v>
      </c>
      <c r="AE54" s="267">
        <v>382</v>
      </c>
      <c r="AF54" s="267" t="s">
        <v>102</v>
      </c>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4"/>
      <c r="CB54" s="104"/>
      <c r="CC54" s="104"/>
      <c r="CD54" s="104"/>
      <c r="CE54" s="104"/>
      <c r="CF54" s="104"/>
      <c r="CG54" s="104"/>
      <c r="CH54" s="104"/>
    </row>
    <row r="55" spans="1:86" ht="15.75" customHeight="1" x14ac:dyDescent="0.2">
      <c r="A55" s="104">
        <v>27736</v>
      </c>
      <c r="B55" s="255">
        <v>2022</v>
      </c>
      <c r="C55" s="252" t="s">
        <v>70</v>
      </c>
      <c r="D55" s="512">
        <v>21</v>
      </c>
      <c r="E55" s="241">
        <v>307</v>
      </c>
      <c r="F55" s="241">
        <v>0</v>
      </c>
      <c r="G55" s="293"/>
      <c r="H55" s="293"/>
      <c r="I55" s="293"/>
      <c r="J55" s="293"/>
      <c r="K55" s="293">
        <v>13</v>
      </c>
      <c r="L55" s="293"/>
      <c r="M55" s="293"/>
      <c r="N55" s="293"/>
      <c r="O55" s="293"/>
      <c r="P55" s="293"/>
      <c r="Q55" s="293"/>
      <c r="R55" s="293"/>
      <c r="S55" s="256">
        <f t="shared" si="23"/>
        <v>13</v>
      </c>
      <c r="T55" s="512">
        <f t="shared" si="17"/>
        <v>13</v>
      </c>
      <c r="U55" s="513">
        <f t="shared" si="18"/>
        <v>22.615384615384617</v>
      </c>
      <c r="V55" s="461">
        <f t="shared" si="19"/>
        <v>294</v>
      </c>
      <c r="W55" s="314">
        <v>2022</v>
      </c>
      <c r="X55" s="252" t="s">
        <v>116</v>
      </c>
      <c r="Y55"/>
      <c r="Z55"/>
      <c r="AA55" s="104"/>
      <c r="AB55" s="265">
        <v>45358</v>
      </c>
      <c r="AC55" s="266">
        <v>2022</v>
      </c>
      <c r="AD55" s="267" t="s">
        <v>693</v>
      </c>
      <c r="AE55" s="267">
        <v>28</v>
      </c>
      <c r="AF55" s="267" t="s">
        <v>102</v>
      </c>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row>
    <row r="56" spans="1:86" ht="15.75" customHeight="1" x14ac:dyDescent="0.2">
      <c r="A56" s="535">
        <v>34641</v>
      </c>
      <c r="B56" s="255">
        <v>2022</v>
      </c>
      <c r="C56" s="252" t="s">
        <v>118</v>
      </c>
      <c r="D56" s="512">
        <v>18</v>
      </c>
      <c r="E56" s="241">
        <v>0</v>
      </c>
      <c r="F56" s="241">
        <v>353</v>
      </c>
      <c r="G56" s="293"/>
      <c r="H56" s="293"/>
      <c r="I56" s="293"/>
      <c r="J56" s="293">
        <v>6</v>
      </c>
      <c r="K56" s="293"/>
      <c r="L56" s="293">
        <v>10</v>
      </c>
      <c r="M56" s="293">
        <v>1</v>
      </c>
      <c r="N56" s="293">
        <v>2</v>
      </c>
      <c r="O56" s="293"/>
      <c r="P56" s="293">
        <v>3</v>
      </c>
      <c r="Q56" s="293"/>
      <c r="R56" s="293"/>
      <c r="S56" s="256">
        <f t="shared" si="23"/>
        <v>22</v>
      </c>
      <c r="T56" s="512">
        <f t="shared" si="17"/>
        <v>4.4000000000000004</v>
      </c>
      <c r="U56" s="513">
        <f t="shared" si="18"/>
        <v>75.22727272727272</v>
      </c>
      <c r="V56" s="461">
        <f t="shared" si="19"/>
        <v>331</v>
      </c>
      <c r="W56" s="314">
        <v>2022</v>
      </c>
      <c r="X56" s="252" t="s">
        <v>118</v>
      </c>
      <c r="Y56"/>
      <c r="Z56"/>
      <c r="AA56" s="104"/>
      <c r="AB56" s="265">
        <v>45390</v>
      </c>
      <c r="AC56" s="266">
        <v>2023</v>
      </c>
      <c r="AD56" s="267" t="s">
        <v>694</v>
      </c>
      <c r="AE56" s="267">
        <v>137</v>
      </c>
      <c r="AF56" s="267" t="s">
        <v>102</v>
      </c>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row>
    <row r="57" spans="1:86" ht="15.75" customHeight="1" x14ac:dyDescent="0.2">
      <c r="A57" s="104"/>
      <c r="B57" s="255">
        <v>2022</v>
      </c>
      <c r="C57" s="252" t="s">
        <v>695</v>
      </c>
      <c r="D57" s="512"/>
      <c r="E57" s="241"/>
      <c r="F57" s="241">
        <v>32</v>
      </c>
      <c r="G57" s="293"/>
      <c r="H57" s="293"/>
      <c r="I57" s="293"/>
      <c r="J57" s="293"/>
      <c r="K57" s="293"/>
      <c r="L57" s="293"/>
      <c r="M57" s="293"/>
      <c r="N57" s="241">
        <v>2</v>
      </c>
      <c r="O57" s="241">
        <v>2</v>
      </c>
      <c r="P57" s="241">
        <v>4</v>
      </c>
      <c r="Q57" s="241">
        <v>4</v>
      </c>
      <c r="R57" s="241">
        <v>3</v>
      </c>
      <c r="S57" s="256">
        <f>SUM(G57:R57)</f>
        <v>15</v>
      </c>
      <c r="T57" s="512">
        <f>IFERROR((AVERAGE(G57:R57)),0)</f>
        <v>3</v>
      </c>
      <c r="U57" s="513">
        <f>IFERROR((V57/T57),0)</f>
        <v>5.666666666666667</v>
      </c>
      <c r="V57" s="461">
        <f>E57+F57-S57</f>
        <v>17</v>
      </c>
      <c r="W57" s="314">
        <v>2022</v>
      </c>
      <c r="X57" s="252" t="s">
        <v>695</v>
      </c>
      <c r="Y57"/>
      <c r="Z57"/>
      <c r="AA57" s="104"/>
      <c r="AB57" s="265">
        <v>45390</v>
      </c>
      <c r="AC57" s="266">
        <v>2023</v>
      </c>
      <c r="AD57" s="267" t="s">
        <v>696</v>
      </c>
      <c r="AE57" s="267">
        <v>108</v>
      </c>
      <c r="AF57" s="267" t="s">
        <v>102</v>
      </c>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row>
    <row r="58" spans="1:86" ht="15.75" customHeight="1" x14ac:dyDescent="0.2">
      <c r="A58" s="104">
        <v>196105</v>
      </c>
      <c r="B58" s="255">
        <v>2022</v>
      </c>
      <c r="C58" s="252" t="s">
        <v>547</v>
      </c>
      <c r="D58" s="512" t="s">
        <v>35</v>
      </c>
      <c r="E58" s="241">
        <v>256</v>
      </c>
      <c r="F58" s="241">
        <v>0</v>
      </c>
      <c r="G58" s="293"/>
      <c r="H58" s="293"/>
      <c r="I58" s="293"/>
      <c r="J58" s="293">
        <v>5</v>
      </c>
      <c r="K58" s="293">
        <v>13</v>
      </c>
      <c r="L58" s="293">
        <v>3</v>
      </c>
      <c r="M58" s="293">
        <v>11</v>
      </c>
      <c r="N58" s="293">
        <v>9</v>
      </c>
      <c r="O58" s="293">
        <v>6</v>
      </c>
      <c r="P58" s="293">
        <v>6</v>
      </c>
      <c r="Q58" s="293">
        <v>8</v>
      </c>
      <c r="R58" s="293">
        <v>1</v>
      </c>
      <c r="S58" s="256">
        <f t="shared" si="23"/>
        <v>62</v>
      </c>
      <c r="T58" s="512">
        <f t="shared" si="17"/>
        <v>6.8888888888888893</v>
      </c>
      <c r="U58" s="513">
        <f t="shared" si="18"/>
        <v>28.161290322580644</v>
      </c>
      <c r="V58" s="461">
        <f t="shared" si="19"/>
        <v>194</v>
      </c>
      <c r="W58" s="314">
        <v>2022</v>
      </c>
      <c r="X58" s="252" t="s">
        <v>548</v>
      </c>
      <c r="Y58"/>
      <c r="Z58"/>
      <c r="AA58" s="104"/>
      <c r="AB58" s="265">
        <v>45390</v>
      </c>
      <c r="AC58" s="266">
        <v>2023</v>
      </c>
      <c r="AD58" s="267" t="s">
        <v>697</v>
      </c>
      <c r="AE58" s="267">
        <v>480</v>
      </c>
      <c r="AF58" s="267" t="s">
        <v>102</v>
      </c>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row>
    <row r="59" spans="1:86" ht="15.75" customHeight="1" x14ac:dyDescent="0.2">
      <c r="A59" s="487">
        <v>135371</v>
      </c>
      <c r="B59" s="255">
        <v>2022</v>
      </c>
      <c r="C59" s="252" t="s">
        <v>307</v>
      </c>
      <c r="D59" s="512">
        <v>13</v>
      </c>
      <c r="E59" s="241">
        <v>240</v>
      </c>
      <c r="F59" s="241">
        <v>0</v>
      </c>
      <c r="G59" s="293"/>
      <c r="H59" s="293">
        <v>8</v>
      </c>
      <c r="I59" s="293"/>
      <c r="J59" s="293"/>
      <c r="K59" s="293">
        <v>3</v>
      </c>
      <c r="L59" s="293"/>
      <c r="M59" s="293"/>
      <c r="N59" s="293"/>
      <c r="O59" s="293"/>
      <c r="P59" s="293"/>
      <c r="Q59" s="293"/>
      <c r="R59" s="293"/>
      <c r="S59" s="256">
        <f t="shared" si="23"/>
        <v>11</v>
      </c>
      <c r="T59" s="512">
        <f t="shared" si="17"/>
        <v>5.5</v>
      </c>
      <c r="U59" s="513">
        <f t="shared" si="18"/>
        <v>41.636363636363633</v>
      </c>
      <c r="V59" s="461">
        <f t="shared" si="19"/>
        <v>229</v>
      </c>
      <c r="W59" s="314">
        <v>2022</v>
      </c>
      <c r="X59" s="252" t="s">
        <v>627</v>
      </c>
      <c r="Y59"/>
      <c r="Z59"/>
      <c r="AA59" s="104"/>
      <c r="AB59" s="265">
        <v>45390</v>
      </c>
      <c r="AC59" s="266">
        <v>2023</v>
      </c>
      <c r="AD59" s="267" t="s">
        <v>595</v>
      </c>
      <c r="AE59" s="267">
        <v>415</v>
      </c>
      <c r="AF59" s="267" t="s">
        <v>102</v>
      </c>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row>
    <row r="60" spans="1:86" ht="15.75" customHeight="1" x14ac:dyDescent="0.2">
      <c r="A60" s="487">
        <v>133687</v>
      </c>
      <c r="B60" s="255">
        <v>2022</v>
      </c>
      <c r="C60" s="252" t="s">
        <v>278</v>
      </c>
      <c r="D60" s="512">
        <v>30</v>
      </c>
      <c r="E60" s="241">
        <v>394</v>
      </c>
      <c r="F60" s="241">
        <v>0</v>
      </c>
      <c r="G60" s="293"/>
      <c r="H60" s="293"/>
      <c r="I60" s="293"/>
      <c r="J60" s="293"/>
      <c r="K60" s="293">
        <v>2</v>
      </c>
      <c r="L60" s="293"/>
      <c r="M60" s="293">
        <v>1</v>
      </c>
      <c r="N60" s="293"/>
      <c r="O60" s="293"/>
      <c r="P60" s="293"/>
      <c r="Q60" s="293"/>
      <c r="R60" s="293"/>
      <c r="S60" s="256">
        <f t="shared" si="23"/>
        <v>3</v>
      </c>
      <c r="T60" s="512">
        <f t="shared" si="17"/>
        <v>1.5</v>
      </c>
      <c r="U60" s="513">
        <f t="shared" si="18"/>
        <v>260.66666666666669</v>
      </c>
      <c r="V60" s="461">
        <f t="shared" si="19"/>
        <v>391</v>
      </c>
      <c r="W60" s="314">
        <v>2022</v>
      </c>
      <c r="X60" s="252" t="s">
        <v>278</v>
      </c>
      <c r="Y60"/>
      <c r="Z60"/>
      <c r="AA60" s="104"/>
      <c r="AB60" s="265">
        <v>45397</v>
      </c>
      <c r="AC60" s="266">
        <v>2023</v>
      </c>
      <c r="AD60" s="267" t="s">
        <v>698</v>
      </c>
      <c r="AE60" s="267">
        <v>48</v>
      </c>
      <c r="AF60" s="267" t="s">
        <v>102</v>
      </c>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row>
    <row r="61" spans="1:86" ht="15.75" customHeight="1" x14ac:dyDescent="0.2">
      <c r="A61" s="487">
        <v>168932</v>
      </c>
      <c r="B61" s="255">
        <v>2022</v>
      </c>
      <c r="C61" s="252" t="s">
        <v>630</v>
      </c>
      <c r="D61" s="512">
        <v>51</v>
      </c>
      <c r="E61" s="241">
        <v>0</v>
      </c>
      <c r="F61" s="241">
        <v>535</v>
      </c>
      <c r="G61" s="293"/>
      <c r="H61" s="293"/>
      <c r="I61" s="293"/>
      <c r="J61" s="293">
        <v>7</v>
      </c>
      <c r="K61" s="293">
        <v>19</v>
      </c>
      <c r="L61" s="293"/>
      <c r="M61" s="293">
        <v>1</v>
      </c>
      <c r="N61" s="293">
        <v>2</v>
      </c>
      <c r="O61" s="293"/>
      <c r="P61" s="293">
        <v>3</v>
      </c>
      <c r="Q61" s="293"/>
      <c r="R61" s="293">
        <v>7</v>
      </c>
      <c r="S61" s="256">
        <f t="shared" si="23"/>
        <v>39</v>
      </c>
      <c r="T61" s="512">
        <f t="shared" si="17"/>
        <v>6.5</v>
      </c>
      <c r="U61" s="513">
        <f t="shared" si="18"/>
        <v>76.307692307692307</v>
      </c>
      <c r="V61" s="461">
        <f t="shared" si="19"/>
        <v>496</v>
      </c>
      <c r="W61" s="314" t="s">
        <v>631</v>
      </c>
      <c r="X61" s="252"/>
      <c r="Y61"/>
      <c r="Z61"/>
      <c r="AA61" s="104"/>
      <c r="AB61" s="265">
        <v>45511</v>
      </c>
      <c r="AC61" s="266">
        <v>2023</v>
      </c>
      <c r="AD61" s="267" t="s">
        <v>601</v>
      </c>
      <c r="AE61" s="267">
        <v>90</v>
      </c>
      <c r="AF61" s="267" t="s">
        <v>102</v>
      </c>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row>
    <row r="62" spans="1:86" ht="15.75" customHeight="1" x14ac:dyDescent="0.2">
      <c r="A62" s="487"/>
      <c r="B62" s="255"/>
      <c r="C62" s="252" t="s">
        <v>134</v>
      </c>
      <c r="D62" s="512">
        <v>11</v>
      </c>
      <c r="E62" s="241">
        <v>18</v>
      </c>
      <c r="F62" s="241">
        <v>40</v>
      </c>
      <c r="G62" s="241">
        <v>6</v>
      </c>
      <c r="H62" s="241">
        <v>16</v>
      </c>
      <c r="I62" s="241">
        <v>1</v>
      </c>
      <c r="J62" s="241">
        <v>10</v>
      </c>
      <c r="K62" s="241">
        <v>12</v>
      </c>
      <c r="L62" s="241">
        <v>9</v>
      </c>
      <c r="M62" s="241">
        <v>2</v>
      </c>
      <c r="N62" s="241">
        <v>2</v>
      </c>
      <c r="O62" s="241">
        <v>2</v>
      </c>
      <c r="P62" s="281"/>
      <c r="Q62" s="281"/>
      <c r="R62" s="281"/>
      <c r="S62" s="256">
        <f t="shared" si="23"/>
        <v>60</v>
      </c>
      <c r="T62" s="512">
        <f t="shared" si="17"/>
        <v>6.666666666666667</v>
      </c>
      <c r="U62" s="513">
        <f t="shared" si="18"/>
        <v>-0.3</v>
      </c>
      <c r="V62" s="461">
        <f t="shared" si="19"/>
        <v>-2</v>
      </c>
      <c r="W62" s="314"/>
      <c r="X62" s="252" t="s">
        <v>134</v>
      </c>
      <c r="Y62"/>
      <c r="Z62"/>
      <c r="AA62" s="104"/>
      <c r="AB62" s="265">
        <v>45511</v>
      </c>
      <c r="AC62" s="266">
        <v>2023</v>
      </c>
      <c r="AD62" s="267" t="s">
        <v>699</v>
      </c>
      <c r="AE62" s="267">
        <v>80</v>
      </c>
      <c r="AF62" s="267" t="s">
        <v>102</v>
      </c>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row>
    <row r="63" spans="1:86" ht="15.75" customHeight="1" x14ac:dyDescent="0.2">
      <c r="A63" s="252"/>
      <c r="B63" s="116">
        <v>2022</v>
      </c>
      <c r="C63" s="252" t="s">
        <v>633</v>
      </c>
      <c r="D63" s="512" t="s">
        <v>35</v>
      </c>
      <c r="E63" s="241">
        <v>55</v>
      </c>
      <c r="F63" s="241">
        <v>0</v>
      </c>
      <c r="G63" s="293"/>
      <c r="H63" s="293">
        <v>3</v>
      </c>
      <c r="I63" s="293">
        <v>10</v>
      </c>
      <c r="J63" s="293"/>
      <c r="K63" s="293">
        <v>9</v>
      </c>
      <c r="L63" s="293">
        <v>1</v>
      </c>
      <c r="M63" s="293">
        <v>1</v>
      </c>
      <c r="N63" s="293"/>
      <c r="O63" s="293">
        <v>17</v>
      </c>
      <c r="P63" s="293">
        <v>3</v>
      </c>
      <c r="Q63" s="293">
        <v>3</v>
      </c>
      <c r="R63" s="293">
        <v>2</v>
      </c>
      <c r="S63" s="256">
        <f t="shared" si="23"/>
        <v>49</v>
      </c>
      <c r="T63" s="512">
        <f t="shared" si="17"/>
        <v>5.4444444444444446</v>
      </c>
      <c r="U63" s="513">
        <f t="shared" si="18"/>
        <v>1.1020408163265305</v>
      </c>
      <c r="V63" s="461">
        <f t="shared" si="19"/>
        <v>6</v>
      </c>
      <c r="W63" s="314">
        <v>2022</v>
      </c>
      <c r="X63" s="252" t="s">
        <v>633</v>
      </c>
      <c r="Y63"/>
      <c r="Z63" s="124"/>
      <c r="AA63" s="104"/>
      <c r="AB63" s="265">
        <v>45511</v>
      </c>
      <c r="AC63" s="266">
        <v>2023</v>
      </c>
      <c r="AD63" s="267" t="s">
        <v>700</v>
      </c>
      <c r="AE63" s="267">
        <v>262</v>
      </c>
      <c r="AF63" s="267" t="s">
        <v>102</v>
      </c>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row>
    <row r="64" spans="1:86" ht="15.75" customHeight="1" x14ac:dyDescent="0.2">
      <c r="A64" s="249"/>
      <c r="B64" s="315" t="s">
        <v>35</v>
      </c>
      <c r="C64" s="249"/>
      <c r="D64" s="510"/>
      <c r="E64" s="530"/>
      <c r="F64" s="530"/>
      <c r="G64" s="530"/>
      <c r="H64" s="530"/>
      <c r="I64" s="530"/>
      <c r="J64" s="530"/>
      <c r="K64" s="530"/>
      <c r="L64" s="530"/>
      <c r="M64" s="530"/>
      <c r="N64" s="530"/>
      <c r="O64" s="530"/>
      <c r="P64" s="530"/>
      <c r="Q64" s="530"/>
      <c r="R64" s="530"/>
      <c r="S64" s="251"/>
      <c r="T64" s="510"/>
      <c r="U64" s="511"/>
      <c r="V64" s="462"/>
      <c r="W64" s="316"/>
      <c r="X64" s="127"/>
      <c r="Y64"/>
      <c r="Z64" s="124"/>
      <c r="AA64" s="104"/>
      <c r="AB64" s="265">
        <v>45511</v>
      </c>
      <c r="AC64" s="266">
        <v>2023</v>
      </c>
      <c r="AD64" s="267" t="s">
        <v>701</v>
      </c>
      <c r="AE64" s="267">
        <v>361</v>
      </c>
      <c r="AF64" s="267" t="s">
        <v>102</v>
      </c>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row>
    <row r="65" spans="1:86" ht="15.75" customHeight="1" x14ac:dyDescent="0.2">
      <c r="A65" s="487">
        <v>11198</v>
      </c>
      <c r="B65" s="255">
        <v>2023</v>
      </c>
      <c r="C65" s="252" t="s">
        <v>46</v>
      </c>
      <c r="D65" s="512">
        <v>31.5</v>
      </c>
      <c r="E65" s="241">
        <v>0</v>
      </c>
      <c r="F65" s="241">
        <v>327</v>
      </c>
      <c r="G65" s="293" t="s">
        <v>35</v>
      </c>
      <c r="H65" s="293"/>
      <c r="I65" s="293">
        <v>35</v>
      </c>
      <c r="J65" s="293"/>
      <c r="K65" s="293">
        <v>8</v>
      </c>
      <c r="L65" s="293"/>
      <c r="M65" s="293"/>
      <c r="N65" s="293"/>
      <c r="O65" s="293"/>
      <c r="P65" s="293"/>
      <c r="Q65" s="293"/>
      <c r="R65" s="293"/>
      <c r="S65" s="256">
        <f t="shared" ref="S65:S85" si="24">SUM(G65:R65)</f>
        <v>43</v>
      </c>
      <c r="T65" s="512">
        <f t="shared" ref="T65:T85" si="25">IFERROR((AVERAGE(G65:R65)),0)</f>
        <v>21.5</v>
      </c>
      <c r="U65" s="513">
        <f t="shared" ref="U65:U85" si="26">IFERROR((V65/T65),0)</f>
        <v>13.209302325581396</v>
      </c>
      <c r="V65" s="461">
        <f t="shared" ref="V65:V85" si="27">E65+F65-S65</f>
        <v>284</v>
      </c>
      <c r="W65" s="255">
        <v>2023</v>
      </c>
      <c r="X65" s="252" t="s">
        <v>46</v>
      </c>
      <c r="Y65"/>
      <c r="Z65" s="124"/>
      <c r="AA65" s="104"/>
      <c r="AB65" s="265">
        <v>45533</v>
      </c>
      <c r="AC65" s="266">
        <v>2023</v>
      </c>
      <c r="AD65" s="267" t="s">
        <v>702</v>
      </c>
      <c r="AE65" s="267">
        <v>108</v>
      </c>
      <c r="AF65" s="267" t="s">
        <v>102</v>
      </c>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row>
    <row r="66" spans="1:86" ht="15.75" customHeight="1" x14ac:dyDescent="0.2">
      <c r="A66" s="487">
        <v>168933</v>
      </c>
      <c r="B66" s="255">
        <v>2023</v>
      </c>
      <c r="C66" s="252" t="s">
        <v>468</v>
      </c>
      <c r="D66" s="512">
        <v>18.222222222222221</v>
      </c>
      <c r="E66" s="241">
        <v>0</v>
      </c>
      <c r="F66" s="241">
        <v>232</v>
      </c>
      <c r="G66" s="293" t="s">
        <v>35</v>
      </c>
      <c r="H66" s="293"/>
      <c r="I66" s="293"/>
      <c r="J66" s="293"/>
      <c r="K66" s="293">
        <v>0</v>
      </c>
      <c r="L66" s="293"/>
      <c r="M66" s="293"/>
      <c r="N66" s="293"/>
      <c r="O66" s="293"/>
      <c r="P66" s="293"/>
      <c r="Q66" s="241">
        <v>8</v>
      </c>
      <c r="R66" s="241">
        <v>34</v>
      </c>
      <c r="S66" s="256">
        <f t="shared" si="24"/>
        <v>42</v>
      </c>
      <c r="T66" s="512">
        <f t="shared" si="25"/>
        <v>14</v>
      </c>
      <c r="U66" s="513">
        <f t="shared" si="26"/>
        <v>13.571428571428571</v>
      </c>
      <c r="V66" s="461">
        <f t="shared" si="27"/>
        <v>190</v>
      </c>
      <c r="W66" s="255">
        <v>2023</v>
      </c>
      <c r="X66" s="252" t="s">
        <v>468</v>
      </c>
      <c r="Y66"/>
      <c r="Z66" s="124"/>
      <c r="AA66" s="104"/>
      <c r="AB66" s="265">
        <v>45564</v>
      </c>
      <c r="AC66" s="266">
        <v>2024</v>
      </c>
      <c r="AD66" s="267" t="s">
        <v>703</v>
      </c>
      <c r="AE66" s="267">
        <v>355</v>
      </c>
      <c r="AF66" s="267" t="s">
        <v>609</v>
      </c>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row>
    <row r="67" spans="1:86" ht="15.75" customHeight="1" x14ac:dyDescent="0.2">
      <c r="A67" s="487">
        <v>57632</v>
      </c>
      <c r="B67" s="255">
        <v>2023</v>
      </c>
      <c r="C67" s="252" t="s">
        <v>31</v>
      </c>
      <c r="D67" s="512">
        <v>24</v>
      </c>
      <c r="E67" s="241">
        <v>0</v>
      </c>
      <c r="F67" s="241">
        <v>221</v>
      </c>
      <c r="G67" s="293"/>
      <c r="H67" s="293"/>
      <c r="I67" s="293"/>
      <c r="J67" s="293"/>
      <c r="K67" s="293"/>
      <c r="L67" s="293"/>
      <c r="M67" s="293"/>
      <c r="N67" s="293"/>
      <c r="O67" s="293">
        <v>9</v>
      </c>
      <c r="P67" s="293"/>
      <c r="Q67" s="293"/>
      <c r="R67" s="293"/>
      <c r="S67" s="256">
        <f t="shared" si="24"/>
        <v>9</v>
      </c>
      <c r="T67" s="512">
        <f t="shared" si="25"/>
        <v>9</v>
      </c>
      <c r="U67" s="513">
        <f t="shared" si="26"/>
        <v>23.555555555555557</v>
      </c>
      <c r="V67" s="461">
        <f t="shared" si="27"/>
        <v>212</v>
      </c>
      <c r="W67" s="255">
        <v>2023</v>
      </c>
      <c r="X67" s="252" t="s">
        <v>31</v>
      </c>
      <c r="Y67"/>
      <c r="Z67" s="124"/>
      <c r="AA67" s="104"/>
      <c r="AB67" s="265">
        <v>45637</v>
      </c>
      <c r="AC67" s="266">
        <v>2023</v>
      </c>
      <c r="AD67" s="267" t="s">
        <v>704</v>
      </c>
      <c r="AE67" s="267">
        <v>525</v>
      </c>
      <c r="AF67" s="267" t="s">
        <v>609</v>
      </c>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row>
    <row r="68" spans="1:86" ht="15.75" customHeight="1" x14ac:dyDescent="0.2">
      <c r="A68" s="487">
        <v>203804</v>
      </c>
      <c r="B68" s="255">
        <v>2023</v>
      </c>
      <c r="C68" s="252" t="s">
        <v>575</v>
      </c>
      <c r="D68" s="512" t="s">
        <v>35</v>
      </c>
      <c r="E68" s="241">
        <v>0</v>
      </c>
      <c r="F68" s="241">
        <v>113</v>
      </c>
      <c r="G68" s="293"/>
      <c r="H68" s="293"/>
      <c r="I68" s="293"/>
      <c r="J68" s="293"/>
      <c r="K68" s="241">
        <v>23</v>
      </c>
      <c r="L68" s="241">
        <v>19</v>
      </c>
      <c r="M68" s="241">
        <v>13</v>
      </c>
      <c r="N68" s="241">
        <v>20</v>
      </c>
      <c r="O68" s="241">
        <v>10</v>
      </c>
      <c r="P68" s="241">
        <v>10</v>
      </c>
      <c r="Q68" s="241">
        <v>11</v>
      </c>
      <c r="R68" s="241">
        <v>5</v>
      </c>
      <c r="S68" s="256">
        <f t="shared" si="24"/>
        <v>111</v>
      </c>
      <c r="T68" s="512">
        <f t="shared" si="25"/>
        <v>13.875</v>
      </c>
      <c r="U68" s="513">
        <f t="shared" si="26"/>
        <v>0.14414414414414414</v>
      </c>
      <c r="V68" s="461">
        <f t="shared" si="27"/>
        <v>2</v>
      </c>
      <c r="W68" s="255">
        <v>2023</v>
      </c>
      <c r="X68" s="252" t="s">
        <v>25</v>
      </c>
      <c r="Y68"/>
      <c r="Z68" s="124"/>
      <c r="AA68" s="104"/>
      <c r="AB68" s="265"/>
      <c r="AC68" s="266"/>
      <c r="AD68" s="267"/>
      <c r="AE68" s="267"/>
      <c r="AF68" s="267"/>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row>
    <row r="69" spans="1:86" ht="15.75" customHeight="1" x14ac:dyDescent="0.2">
      <c r="A69" s="487">
        <v>57632</v>
      </c>
      <c r="B69" s="255">
        <v>2023</v>
      </c>
      <c r="C69" s="252" t="s">
        <v>615</v>
      </c>
      <c r="D69" s="512" t="s">
        <v>35</v>
      </c>
      <c r="E69" s="241">
        <v>0</v>
      </c>
      <c r="F69" s="241">
        <v>0</v>
      </c>
      <c r="G69" s="293"/>
      <c r="H69" s="293"/>
      <c r="I69" s="293"/>
      <c r="J69" s="293"/>
      <c r="K69" s="293"/>
      <c r="L69" s="293"/>
      <c r="M69" s="293"/>
      <c r="N69" s="293"/>
      <c r="O69" s="293"/>
      <c r="P69" s="293"/>
      <c r="Q69" s="293"/>
      <c r="R69" s="293"/>
      <c r="S69" s="256">
        <f t="shared" si="24"/>
        <v>0</v>
      </c>
      <c r="T69" s="512">
        <f t="shared" si="25"/>
        <v>0</v>
      </c>
      <c r="U69" s="513">
        <f t="shared" si="26"/>
        <v>0</v>
      </c>
      <c r="V69" s="461">
        <f t="shared" si="27"/>
        <v>0</v>
      </c>
      <c r="W69" s="255">
        <v>2023</v>
      </c>
      <c r="X69" s="252" t="s">
        <v>615</v>
      </c>
      <c r="Y69"/>
      <c r="Z69" s="105"/>
      <c r="AA69" s="105"/>
      <c r="AB69" s="265"/>
      <c r="AC69" s="266"/>
      <c r="AD69" s="267"/>
      <c r="AE69" s="267"/>
      <c r="AF69" s="267"/>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row>
    <row r="70" spans="1:86" ht="15.75" customHeight="1" x14ac:dyDescent="0.2">
      <c r="A70" s="487">
        <v>57630</v>
      </c>
      <c r="B70" s="255">
        <v>2023</v>
      </c>
      <c r="C70" s="252" t="s">
        <v>25</v>
      </c>
      <c r="D70" s="512" t="s">
        <v>35</v>
      </c>
      <c r="E70" s="241">
        <v>0</v>
      </c>
      <c r="F70" s="241">
        <v>350</v>
      </c>
      <c r="G70" s="293"/>
      <c r="H70" s="293"/>
      <c r="I70" s="293"/>
      <c r="J70" s="293"/>
      <c r="K70" s="293"/>
      <c r="L70" s="293"/>
      <c r="M70" s="293"/>
      <c r="N70" s="293"/>
      <c r="O70" s="293">
        <v>10</v>
      </c>
      <c r="P70" s="293"/>
      <c r="Q70" s="293"/>
      <c r="R70" s="293"/>
      <c r="S70" s="256">
        <f t="shared" si="24"/>
        <v>10</v>
      </c>
      <c r="T70" s="512">
        <f t="shared" si="25"/>
        <v>10</v>
      </c>
      <c r="U70" s="513">
        <f t="shared" si="26"/>
        <v>34</v>
      </c>
      <c r="V70" s="461">
        <f t="shared" si="27"/>
        <v>340</v>
      </c>
      <c r="W70" s="255">
        <v>2023</v>
      </c>
      <c r="X70" s="252" t="s">
        <v>25</v>
      </c>
      <c r="Y70"/>
      <c r="Z70" s="124"/>
      <c r="AA70" s="104"/>
      <c r="AB70" s="265"/>
      <c r="AC70" s="266"/>
      <c r="AD70" s="267"/>
      <c r="AE70" s="267"/>
      <c r="AF70" s="267"/>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row>
    <row r="71" spans="1:86" ht="15.75" customHeight="1" x14ac:dyDescent="0.25">
      <c r="A71" s="487">
        <v>57630</v>
      </c>
      <c r="B71" s="255">
        <v>2023</v>
      </c>
      <c r="C71" s="252" t="s">
        <v>391</v>
      </c>
      <c r="D71" s="512" t="s">
        <v>35</v>
      </c>
      <c r="E71" s="241">
        <v>0</v>
      </c>
      <c r="F71" s="241">
        <v>108</v>
      </c>
      <c r="G71" s="293" t="s">
        <v>35</v>
      </c>
      <c r="H71" s="293"/>
      <c r="I71" s="293"/>
      <c r="J71" s="293"/>
      <c r="K71" s="293"/>
      <c r="L71" s="293"/>
      <c r="M71" s="293"/>
      <c r="N71" s="241">
        <v>108</v>
      </c>
      <c r="O71" s="281"/>
      <c r="P71" s="281"/>
      <c r="Q71" s="281"/>
      <c r="R71" s="281"/>
      <c r="S71" s="256">
        <f t="shared" si="24"/>
        <v>108</v>
      </c>
      <c r="T71" s="512">
        <f t="shared" si="25"/>
        <v>108</v>
      </c>
      <c r="U71" s="513">
        <f t="shared" si="26"/>
        <v>0</v>
      </c>
      <c r="V71" s="461">
        <f t="shared" si="27"/>
        <v>0</v>
      </c>
      <c r="W71" s="255">
        <v>2023</v>
      </c>
      <c r="X71" s="252" t="s">
        <v>25</v>
      </c>
      <c r="Y71"/>
      <c r="Z71" s="124"/>
      <c r="AA71" s="104"/>
      <c r="AB71" s="263"/>
      <c r="AC71" s="266"/>
      <c r="AD71" s="267"/>
      <c r="AE71" s="267"/>
      <c r="AF71" s="267"/>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row>
    <row r="72" spans="1:86" ht="15.75" customHeight="1" x14ac:dyDescent="0.2">
      <c r="A72" s="487">
        <v>111575</v>
      </c>
      <c r="B72" s="255">
        <v>2023</v>
      </c>
      <c r="C72" s="252" t="s">
        <v>110</v>
      </c>
      <c r="D72" s="512">
        <v>23</v>
      </c>
      <c r="E72" s="241">
        <v>0</v>
      </c>
      <c r="F72" s="241">
        <v>356</v>
      </c>
      <c r="G72" s="293"/>
      <c r="H72" s="293"/>
      <c r="I72" s="293"/>
      <c r="J72" s="293"/>
      <c r="K72" s="293">
        <v>2</v>
      </c>
      <c r="L72" s="293"/>
      <c r="M72" s="293"/>
      <c r="N72" s="293"/>
      <c r="O72" s="293"/>
      <c r="P72" s="293"/>
      <c r="Q72" s="293"/>
      <c r="R72" s="293"/>
      <c r="S72" s="256">
        <f t="shared" si="24"/>
        <v>2</v>
      </c>
      <c r="T72" s="512">
        <f t="shared" si="25"/>
        <v>2</v>
      </c>
      <c r="U72" s="513">
        <f t="shared" si="26"/>
        <v>177</v>
      </c>
      <c r="V72" s="461">
        <f t="shared" si="27"/>
        <v>354</v>
      </c>
      <c r="W72" s="255">
        <v>2023</v>
      </c>
      <c r="X72" s="252" t="s">
        <v>110</v>
      </c>
      <c r="Y72"/>
      <c r="Z72"/>
      <c r="AA72" s="104"/>
      <c r="AB72" s="265"/>
      <c r="AC72" s="266"/>
      <c r="AD72" s="267"/>
      <c r="AE72" s="267"/>
      <c r="AF72" s="267"/>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row>
    <row r="73" spans="1:86" ht="15.75" customHeight="1" x14ac:dyDescent="0.2">
      <c r="A73" s="487"/>
      <c r="B73" s="255">
        <v>2023</v>
      </c>
      <c r="C73" s="252" t="s">
        <v>705</v>
      </c>
      <c r="D73" s="512"/>
      <c r="E73" s="241"/>
      <c r="F73" s="241">
        <v>114</v>
      </c>
      <c r="G73" s="293"/>
      <c r="H73" s="293"/>
      <c r="I73" s="293"/>
      <c r="J73" s="293"/>
      <c r="K73" s="293"/>
      <c r="L73" s="293"/>
      <c r="M73" s="293"/>
      <c r="N73" s="241">
        <v>1</v>
      </c>
      <c r="O73" s="241">
        <v>2</v>
      </c>
      <c r="P73" s="241">
        <v>2</v>
      </c>
      <c r="Q73" s="241">
        <v>2</v>
      </c>
      <c r="R73" s="241">
        <v>2</v>
      </c>
      <c r="S73" s="256">
        <f>SUM(G73:R73)</f>
        <v>9</v>
      </c>
      <c r="T73" s="512">
        <f>IFERROR((AVERAGE(G73:R73)),0)</f>
        <v>1.8</v>
      </c>
      <c r="U73" s="513">
        <f>IFERROR((V73/T73),0)</f>
        <v>58.333333333333329</v>
      </c>
      <c r="V73" s="461">
        <f>E73+F73-S73</f>
        <v>105</v>
      </c>
      <c r="W73" s="255">
        <v>2023</v>
      </c>
      <c r="X73" s="252" t="s">
        <v>705</v>
      </c>
      <c r="Y73"/>
      <c r="Z73"/>
      <c r="AA73" s="104"/>
      <c r="AB73" s="265"/>
      <c r="AC73" s="266"/>
      <c r="AD73" s="267"/>
      <c r="AE73" s="267"/>
      <c r="AF73" s="267"/>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row>
    <row r="74" spans="1:86" ht="15.75" customHeight="1" x14ac:dyDescent="0.2">
      <c r="A74" s="487">
        <v>133688</v>
      </c>
      <c r="B74" s="255">
        <v>2023</v>
      </c>
      <c r="C74" s="252" t="s">
        <v>23</v>
      </c>
      <c r="D74" s="512">
        <v>30</v>
      </c>
      <c r="E74" s="241">
        <v>0</v>
      </c>
      <c r="F74" s="241">
        <v>324</v>
      </c>
      <c r="G74" s="293"/>
      <c r="H74" s="293"/>
      <c r="I74" s="293"/>
      <c r="J74" s="293"/>
      <c r="K74" s="293"/>
      <c r="L74" s="293"/>
      <c r="M74" s="293"/>
      <c r="N74" s="293"/>
      <c r="O74" s="293"/>
      <c r="P74" s="293"/>
      <c r="Q74" s="293"/>
      <c r="R74" s="293"/>
      <c r="S74" s="256">
        <f t="shared" si="24"/>
        <v>0</v>
      </c>
      <c r="T74" s="512">
        <f t="shared" si="25"/>
        <v>0</v>
      </c>
      <c r="U74" s="513">
        <f t="shared" si="26"/>
        <v>0</v>
      </c>
      <c r="V74" s="461">
        <f t="shared" si="27"/>
        <v>324</v>
      </c>
      <c r="W74" s="255">
        <v>2023</v>
      </c>
      <c r="X74" s="252" t="s">
        <v>23</v>
      </c>
      <c r="Y74"/>
      <c r="Z74"/>
      <c r="AA74" s="104"/>
      <c r="AB74" s="265"/>
      <c r="AC74" s="266"/>
      <c r="AD74" s="267"/>
      <c r="AE74" s="267"/>
      <c r="AF74" s="267"/>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row>
    <row r="75" spans="1:86" ht="15.75" customHeight="1" x14ac:dyDescent="0.2">
      <c r="A75" s="487">
        <v>133687</v>
      </c>
      <c r="B75" s="255">
        <v>2023</v>
      </c>
      <c r="C75" s="252" t="s">
        <v>93</v>
      </c>
      <c r="D75" s="512">
        <v>15</v>
      </c>
      <c r="E75" s="241">
        <v>0</v>
      </c>
      <c r="F75" s="241">
        <v>140</v>
      </c>
      <c r="G75" s="293"/>
      <c r="H75" s="293"/>
      <c r="I75" s="293"/>
      <c r="J75" s="293"/>
      <c r="K75" s="293"/>
      <c r="L75" s="293"/>
      <c r="M75" s="293"/>
      <c r="N75" s="293"/>
      <c r="O75" s="293"/>
      <c r="P75" s="293"/>
      <c r="Q75" s="293"/>
      <c r="R75" s="293"/>
      <c r="S75" s="256">
        <f t="shared" si="24"/>
        <v>0</v>
      </c>
      <c r="T75" s="512">
        <f t="shared" si="25"/>
        <v>0</v>
      </c>
      <c r="U75" s="513">
        <f t="shared" si="26"/>
        <v>0</v>
      </c>
      <c r="V75" s="461">
        <f t="shared" si="27"/>
        <v>140</v>
      </c>
      <c r="W75" s="255">
        <v>2023</v>
      </c>
      <c r="X75" s="252" t="s">
        <v>393</v>
      </c>
      <c r="Y75"/>
      <c r="Z75"/>
      <c r="AA75" s="104"/>
      <c r="AB75" s="105"/>
      <c r="AC75" s="104"/>
      <c r="AD75" s="104"/>
      <c r="AE75" s="104"/>
      <c r="AF75" s="104"/>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row>
    <row r="76" spans="1:86" ht="15.75" customHeight="1" x14ac:dyDescent="0.2">
      <c r="A76" s="252">
        <v>22384</v>
      </c>
      <c r="B76" s="255">
        <v>2023</v>
      </c>
      <c r="C76" s="252" t="s">
        <v>26</v>
      </c>
      <c r="D76" s="512"/>
      <c r="E76" s="241">
        <v>0</v>
      </c>
      <c r="F76" s="241">
        <v>128</v>
      </c>
      <c r="G76" s="293"/>
      <c r="H76" s="293"/>
      <c r="I76" s="293"/>
      <c r="J76" s="293"/>
      <c r="K76" s="293"/>
      <c r="L76" s="293"/>
      <c r="M76" s="293"/>
      <c r="N76" s="293"/>
      <c r="O76" s="293"/>
      <c r="P76" s="293"/>
      <c r="Q76" s="293"/>
      <c r="R76" s="293"/>
      <c r="S76" s="256">
        <f t="shared" ref="S76" si="28">SUM(G76:R76)</f>
        <v>0</v>
      </c>
      <c r="T76" s="512">
        <f t="shared" ref="T76" si="29">IFERROR((AVERAGE(G76:R76)),0)</f>
        <v>0</v>
      </c>
      <c r="U76" s="513">
        <f t="shared" ref="U76" si="30">IFERROR((V76/T76),0)</f>
        <v>0</v>
      </c>
      <c r="V76" s="461">
        <f t="shared" ref="V76" si="31">E76+F76-S76</f>
        <v>128</v>
      </c>
      <c r="W76" s="255">
        <v>2023</v>
      </c>
      <c r="X76" s="252" t="s">
        <v>26</v>
      </c>
      <c r="Y76"/>
      <c r="Z76"/>
      <c r="AA76" s="104"/>
      <c r="AB76" s="105"/>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row>
    <row r="77" spans="1:86" ht="15.75" customHeight="1" x14ac:dyDescent="0.2">
      <c r="A77" s="104">
        <v>27736</v>
      </c>
      <c r="B77" s="255">
        <v>2023</v>
      </c>
      <c r="C77" s="252" t="s">
        <v>70</v>
      </c>
      <c r="D77" s="512">
        <v>21</v>
      </c>
      <c r="E77" s="241">
        <v>0</v>
      </c>
      <c r="F77" s="241">
        <v>319</v>
      </c>
      <c r="G77" s="293"/>
      <c r="H77" s="293"/>
      <c r="I77" s="293"/>
      <c r="J77" s="293"/>
      <c r="K77" s="293"/>
      <c r="L77" s="293"/>
      <c r="M77" s="293"/>
      <c r="N77" s="293"/>
      <c r="O77" s="293"/>
      <c r="P77" s="293"/>
      <c r="Q77" s="293"/>
      <c r="R77" s="293"/>
      <c r="S77" s="256">
        <f t="shared" si="24"/>
        <v>0</v>
      </c>
      <c r="T77" s="512">
        <f t="shared" si="25"/>
        <v>0</v>
      </c>
      <c r="U77" s="513">
        <f t="shared" si="26"/>
        <v>0</v>
      </c>
      <c r="V77" s="461">
        <f t="shared" si="27"/>
        <v>319</v>
      </c>
      <c r="W77" s="255">
        <v>2023</v>
      </c>
      <c r="X77" s="252" t="s">
        <v>116</v>
      </c>
      <c r="Y77"/>
      <c r="Z77"/>
      <c r="AA77" s="104"/>
      <c r="AB77" s="582" t="s">
        <v>706</v>
      </c>
      <c r="AC77" s="582"/>
      <c r="AD77" s="582"/>
      <c r="AE77" s="582"/>
      <c r="AF77" s="583"/>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row>
    <row r="78" spans="1:86" ht="15.75" customHeight="1" x14ac:dyDescent="0.2">
      <c r="A78" s="252">
        <v>135370</v>
      </c>
      <c r="B78" s="116">
        <v>2023</v>
      </c>
      <c r="C78" s="252" t="s">
        <v>217</v>
      </c>
      <c r="D78" s="512"/>
      <c r="E78" s="241">
        <v>0</v>
      </c>
      <c r="F78" s="241">
        <v>230</v>
      </c>
      <c r="G78" s="293"/>
      <c r="H78" s="293"/>
      <c r="I78" s="293"/>
      <c r="J78" s="293"/>
      <c r="K78" s="293"/>
      <c r="L78" s="293"/>
      <c r="M78" s="293"/>
      <c r="N78" s="293"/>
      <c r="O78" s="293"/>
      <c r="P78" s="293"/>
      <c r="Q78" s="293"/>
      <c r="R78" s="293"/>
      <c r="S78" s="256">
        <f t="shared" ref="S78" si="32">SUM(G78:R78)</f>
        <v>0</v>
      </c>
      <c r="T78" s="512">
        <f t="shared" ref="T78" si="33">IFERROR((AVERAGE(G78:R78)),0)</f>
        <v>0</v>
      </c>
      <c r="U78" s="513">
        <f t="shared" ref="U78" si="34">IFERROR((V78/T78),0)</f>
        <v>0</v>
      </c>
      <c r="V78" s="461">
        <f t="shared" ref="V78" si="35">E78+F78-S78</f>
        <v>230</v>
      </c>
      <c r="W78" s="255">
        <v>2023</v>
      </c>
      <c r="X78" s="252" t="s">
        <v>505</v>
      </c>
      <c r="Y78"/>
      <c r="Z78"/>
      <c r="AA78" s="104"/>
      <c r="AB78" s="239">
        <v>45349</v>
      </c>
      <c r="AC78" s="291">
        <v>2023</v>
      </c>
      <c r="AD78" s="280" t="s">
        <v>707</v>
      </c>
      <c r="AE78" s="280">
        <v>10</v>
      </c>
      <c r="AF78" s="239" t="s">
        <v>538</v>
      </c>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row>
    <row r="79" spans="1:86" ht="15.75" customHeight="1" x14ac:dyDescent="0.2">
      <c r="A79" s="535">
        <v>34641</v>
      </c>
      <c r="B79" s="255">
        <v>2023</v>
      </c>
      <c r="C79" s="252" t="s">
        <v>118</v>
      </c>
      <c r="D79" s="512">
        <v>18</v>
      </c>
      <c r="E79" s="241">
        <v>0</v>
      </c>
      <c r="F79" s="241">
        <v>230</v>
      </c>
      <c r="G79" s="293"/>
      <c r="H79" s="293"/>
      <c r="I79" s="293"/>
      <c r="J79" s="293"/>
      <c r="K79" s="293"/>
      <c r="L79" s="293"/>
      <c r="M79" s="293"/>
      <c r="N79" s="293"/>
      <c r="O79" s="293"/>
      <c r="P79" s="293"/>
      <c r="Q79" s="293"/>
      <c r="R79" s="293"/>
      <c r="S79" s="256">
        <f t="shared" si="24"/>
        <v>0</v>
      </c>
      <c r="T79" s="512">
        <f t="shared" si="25"/>
        <v>0</v>
      </c>
      <c r="U79" s="513">
        <f t="shared" si="26"/>
        <v>0</v>
      </c>
      <c r="V79" s="461">
        <f t="shared" si="27"/>
        <v>230</v>
      </c>
      <c r="W79" s="255">
        <v>2023</v>
      </c>
      <c r="X79" s="252" t="s">
        <v>118</v>
      </c>
      <c r="Y79"/>
      <c r="Z79"/>
      <c r="AA79" s="104"/>
      <c r="AB79" s="239">
        <v>45384</v>
      </c>
      <c r="AC79" s="291">
        <v>2023</v>
      </c>
      <c r="AD79" s="280" t="s">
        <v>708</v>
      </c>
      <c r="AE79" s="280">
        <v>24</v>
      </c>
      <c r="AF79" s="239" t="s">
        <v>609</v>
      </c>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row>
    <row r="80" spans="1:86" ht="15.75" customHeight="1" x14ac:dyDescent="0.2">
      <c r="A80" s="104">
        <v>196105</v>
      </c>
      <c r="B80" s="255">
        <v>2023</v>
      </c>
      <c r="C80" s="252" t="s">
        <v>547</v>
      </c>
      <c r="D80" s="512" t="s">
        <v>35</v>
      </c>
      <c r="E80" s="241">
        <v>0</v>
      </c>
      <c r="F80" s="241">
        <v>0</v>
      </c>
      <c r="G80" s="293"/>
      <c r="H80" s="293"/>
      <c r="I80" s="293"/>
      <c r="J80" s="293"/>
      <c r="K80" s="293"/>
      <c r="L80" s="293"/>
      <c r="M80" s="293"/>
      <c r="N80" s="293"/>
      <c r="O80" s="293"/>
      <c r="P80" s="293"/>
      <c r="Q80" s="293"/>
      <c r="R80" s="293"/>
      <c r="S80" s="256">
        <f t="shared" si="24"/>
        <v>0</v>
      </c>
      <c r="T80" s="512">
        <f t="shared" si="25"/>
        <v>0</v>
      </c>
      <c r="U80" s="513">
        <f t="shared" si="26"/>
        <v>0</v>
      </c>
      <c r="V80" s="461">
        <f t="shared" si="27"/>
        <v>0</v>
      </c>
      <c r="W80" s="255">
        <v>2023</v>
      </c>
      <c r="X80" s="252" t="s">
        <v>548</v>
      </c>
      <c r="Y80"/>
      <c r="Z80"/>
      <c r="AA80" s="104"/>
      <c r="AB80" s="239">
        <v>45384</v>
      </c>
      <c r="AC80" s="291">
        <v>2023</v>
      </c>
      <c r="AD80" s="280" t="s">
        <v>709</v>
      </c>
      <c r="AE80" s="280">
        <v>12</v>
      </c>
      <c r="AF80" s="239" t="s">
        <v>609</v>
      </c>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row>
    <row r="81" spans="1:86" ht="15.75" customHeight="1" x14ac:dyDescent="0.2">
      <c r="A81" s="487">
        <v>135371</v>
      </c>
      <c r="B81" s="255">
        <v>2023</v>
      </c>
      <c r="C81" s="252" t="s">
        <v>307</v>
      </c>
      <c r="D81" s="512">
        <v>13</v>
      </c>
      <c r="E81" s="241">
        <v>0</v>
      </c>
      <c r="F81" s="241">
        <v>135</v>
      </c>
      <c r="G81" s="293"/>
      <c r="H81" s="293"/>
      <c r="I81" s="293"/>
      <c r="J81" s="293"/>
      <c r="K81" s="293"/>
      <c r="L81" s="293"/>
      <c r="M81" s="293"/>
      <c r="N81" s="293"/>
      <c r="O81" s="293"/>
      <c r="P81" s="293"/>
      <c r="Q81" s="293"/>
      <c r="R81" s="293"/>
      <c r="S81" s="256">
        <f t="shared" si="24"/>
        <v>0</v>
      </c>
      <c r="T81" s="512">
        <f t="shared" si="25"/>
        <v>0</v>
      </c>
      <c r="U81" s="513">
        <f t="shared" si="26"/>
        <v>0</v>
      </c>
      <c r="V81" s="461">
        <f t="shared" si="27"/>
        <v>135</v>
      </c>
      <c r="W81" s="255">
        <v>2023</v>
      </c>
      <c r="X81" s="252" t="s">
        <v>627</v>
      </c>
      <c r="Y81"/>
      <c r="Z81"/>
      <c r="AA81" s="104"/>
      <c r="AB81" s="239">
        <v>45384</v>
      </c>
      <c r="AC81" s="291">
        <v>2023</v>
      </c>
      <c r="AD81" s="280" t="s">
        <v>710</v>
      </c>
      <c r="AE81" s="280">
        <v>11</v>
      </c>
      <c r="AF81" s="239" t="s">
        <v>609</v>
      </c>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row>
    <row r="82" spans="1:86" ht="15.75" customHeight="1" x14ac:dyDescent="0.2">
      <c r="A82" s="487">
        <v>133687</v>
      </c>
      <c r="B82" s="255">
        <v>2023</v>
      </c>
      <c r="C82" s="252" t="s">
        <v>278</v>
      </c>
      <c r="D82" s="512">
        <v>30</v>
      </c>
      <c r="E82" s="241">
        <v>0</v>
      </c>
      <c r="F82" s="241">
        <v>422</v>
      </c>
      <c r="G82" s="293"/>
      <c r="H82" s="293"/>
      <c r="I82" s="293"/>
      <c r="J82" s="293"/>
      <c r="K82" s="293"/>
      <c r="L82" s="293"/>
      <c r="M82" s="293"/>
      <c r="N82" s="293"/>
      <c r="O82" s="293"/>
      <c r="P82" s="293"/>
      <c r="Q82" s="293"/>
      <c r="R82" s="293"/>
      <c r="S82" s="256">
        <f t="shared" si="24"/>
        <v>0</v>
      </c>
      <c r="T82" s="512">
        <f t="shared" si="25"/>
        <v>0</v>
      </c>
      <c r="U82" s="513">
        <f t="shared" si="26"/>
        <v>0</v>
      </c>
      <c r="V82" s="461">
        <f t="shared" si="27"/>
        <v>422</v>
      </c>
      <c r="W82" s="255">
        <v>2023</v>
      </c>
      <c r="X82" s="252" t="s">
        <v>278</v>
      </c>
      <c r="Y82"/>
      <c r="Z82"/>
      <c r="AA82" s="104"/>
      <c r="AB82" s="239">
        <v>45384</v>
      </c>
      <c r="AC82" s="291">
        <v>2023</v>
      </c>
      <c r="AD82" s="280" t="s">
        <v>711</v>
      </c>
      <c r="AE82" s="280">
        <v>19</v>
      </c>
      <c r="AF82" s="239" t="s">
        <v>609</v>
      </c>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row>
    <row r="83" spans="1:86" ht="15.75" customHeight="1" x14ac:dyDescent="0.2">
      <c r="A83" s="487">
        <v>168932</v>
      </c>
      <c r="B83" s="255">
        <v>2023</v>
      </c>
      <c r="C83" s="252" t="s">
        <v>712</v>
      </c>
      <c r="D83" s="512">
        <v>51</v>
      </c>
      <c r="E83" s="241">
        <v>0</v>
      </c>
      <c r="F83" s="241">
        <v>599</v>
      </c>
      <c r="G83" s="293"/>
      <c r="H83" s="293"/>
      <c r="I83" s="293"/>
      <c r="J83" s="293"/>
      <c r="K83" s="293"/>
      <c r="L83" s="293"/>
      <c r="M83" s="293"/>
      <c r="N83" s="293"/>
      <c r="O83" s="293"/>
      <c r="P83" s="293"/>
      <c r="Q83" s="293"/>
      <c r="R83" s="293"/>
      <c r="S83" s="256">
        <f t="shared" si="24"/>
        <v>0</v>
      </c>
      <c r="T83" s="512">
        <f t="shared" si="25"/>
        <v>0</v>
      </c>
      <c r="U83" s="513">
        <f t="shared" si="26"/>
        <v>0</v>
      </c>
      <c r="V83" s="461">
        <f t="shared" si="27"/>
        <v>599</v>
      </c>
      <c r="W83" s="255">
        <v>2023</v>
      </c>
      <c r="X83" s="252"/>
      <c r="Y83"/>
      <c r="Z83"/>
      <c r="AA83" s="104"/>
      <c r="AB83" s="239"/>
      <c r="AC83" s="291"/>
      <c r="AD83" s="280"/>
      <c r="AE83" s="280"/>
      <c r="AF83" s="239"/>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row>
    <row r="84" spans="1:86" ht="15.75" customHeight="1" x14ac:dyDescent="0.2">
      <c r="A84" s="487"/>
      <c r="B84" s="255"/>
      <c r="C84" s="252" t="s">
        <v>134</v>
      </c>
      <c r="D84" s="512">
        <v>11</v>
      </c>
      <c r="E84" s="241">
        <v>0</v>
      </c>
      <c r="F84" s="241">
        <v>26</v>
      </c>
      <c r="G84" s="293" t="s">
        <v>35</v>
      </c>
      <c r="H84" s="293"/>
      <c r="I84" s="293"/>
      <c r="J84" s="293"/>
      <c r="K84" s="293"/>
      <c r="L84" s="293"/>
      <c r="M84" s="293"/>
      <c r="N84" s="293"/>
      <c r="O84" s="293"/>
      <c r="P84" s="293"/>
      <c r="Q84" s="241">
        <v>4</v>
      </c>
      <c r="R84" s="241">
        <v>4</v>
      </c>
      <c r="S84" s="256">
        <f t="shared" si="24"/>
        <v>8</v>
      </c>
      <c r="T84" s="512">
        <f t="shared" si="25"/>
        <v>4</v>
      </c>
      <c r="U84" s="513">
        <f t="shared" si="26"/>
        <v>4.5</v>
      </c>
      <c r="V84" s="461">
        <f t="shared" si="27"/>
        <v>18</v>
      </c>
      <c r="W84" s="314"/>
      <c r="X84" s="252" t="s">
        <v>134</v>
      </c>
      <c r="Y84"/>
      <c r="Z84"/>
      <c r="AA84" s="104"/>
      <c r="AB84" s="239">
        <v>45538</v>
      </c>
      <c r="AC84" s="291">
        <v>2024</v>
      </c>
      <c r="AD84" s="280" t="s">
        <v>713</v>
      </c>
      <c r="AE84" s="280">
        <v>18</v>
      </c>
      <c r="AF84" s="239" t="s">
        <v>609</v>
      </c>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row>
    <row r="85" spans="1:86" ht="15.75" customHeight="1" x14ac:dyDescent="0.2">
      <c r="A85" s="252">
        <v>196107</v>
      </c>
      <c r="B85" s="116">
        <v>2023</v>
      </c>
      <c r="C85" s="252" t="s">
        <v>633</v>
      </c>
      <c r="D85" s="512" t="s">
        <v>35</v>
      </c>
      <c r="E85" s="241">
        <v>0</v>
      </c>
      <c r="F85" s="241">
        <v>24</v>
      </c>
      <c r="G85" s="293"/>
      <c r="H85" s="293"/>
      <c r="I85" s="293"/>
      <c r="J85" s="293"/>
      <c r="K85" s="293"/>
      <c r="L85" s="293">
        <v>2</v>
      </c>
      <c r="M85" s="293"/>
      <c r="N85" s="293">
        <v>2</v>
      </c>
      <c r="O85" s="293"/>
      <c r="P85" s="293"/>
      <c r="Q85" s="293"/>
      <c r="R85" s="293"/>
      <c r="S85" s="256">
        <f t="shared" si="24"/>
        <v>4</v>
      </c>
      <c r="T85" s="512">
        <f t="shared" si="25"/>
        <v>2</v>
      </c>
      <c r="U85" s="513">
        <f t="shared" si="26"/>
        <v>10</v>
      </c>
      <c r="V85" s="461">
        <f t="shared" si="27"/>
        <v>20</v>
      </c>
      <c r="W85" s="314">
        <v>2022</v>
      </c>
      <c r="X85" s="252" t="s">
        <v>633</v>
      </c>
      <c r="Y85"/>
      <c r="Z85"/>
      <c r="AA85" s="104"/>
      <c r="AB85" s="239">
        <v>45551</v>
      </c>
      <c r="AC85" s="291">
        <v>2024</v>
      </c>
      <c r="AD85" s="280" t="s">
        <v>714</v>
      </c>
      <c r="AE85" s="280">
        <v>42</v>
      </c>
      <c r="AF85" s="239" t="s">
        <v>609</v>
      </c>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row>
    <row r="86" spans="1:86" ht="15.75" customHeight="1" x14ac:dyDescent="0.2">
      <c r="A86" s="249"/>
      <c r="B86" s="315"/>
      <c r="C86" s="249"/>
      <c r="D86" s="249"/>
      <c r="E86" s="509">
        <v>0</v>
      </c>
      <c r="F86" s="509"/>
      <c r="G86" s="509"/>
      <c r="H86" s="509"/>
      <c r="I86" s="509"/>
      <c r="J86" s="509"/>
      <c r="K86" s="509"/>
      <c r="L86" s="509"/>
      <c r="M86" s="509"/>
      <c r="N86" s="509"/>
      <c r="O86" s="509"/>
      <c r="P86" s="509"/>
      <c r="Q86" s="509"/>
      <c r="R86" s="509"/>
      <c r="S86" s="251">
        <f t="shared" si="9"/>
        <v>0</v>
      </c>
      <c r="T86" s="510">
        <f t="shared" si="17"/>
        <v>0</v>
      </c>
      <c r="U86" s="511">
        <f t="shared" si="18"/>
        <v>0</v>
      </c>
      <c r="V86" s="462"/>
      <c r="W86" s="316"/>
      <c r="X86" s="105"/>
      <c r="Y86" s="105"/>
      <c r="Z86" s="105"/>
      <c r="AA86" s="104"/>
      <c r="AB86" s="239">
        <v>45552</v>
      </c>
      <c r="AC86" s="291">
        <v>2024</v>
      </c>
      <c r="AD86" s="280" t="s">
        <v>715</v>
      </c>
      <c r="AE86" s="280">
        <v>36</v>
      </c>
      <c r="AF86" s="239" t="s">
        <v>609</v>
      </c>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row>
    <row r="87" spans="1:86" x14ac:dyDescent="0.2">
      <c r="A87" s="252"/>
      <c r="B87" s="116">
        <v>2015</v>
      </c>
      <c r="C87" s="252"/>
      <c r="D87" s="272"/>
      <c r="E87" s="531">
        <f t="shared" ref="E87:Q87" si="36">SUM(E9)</f>
        <v>61</v>
      </c>
      <c r="F87" s="531">
        <f>SUM(F9)</f>
        <v>0</v>
      </c>
      <c r="G87" s="531">
        <f t="shared" si="36"/>
        <v>0</v>
      </c>
      <c r="H87" s="531">
        <f t="shared" si="36"/>
        <v>0</v>
      </c>
      <c r="I87" s="531">
        <f t="shared" si="36"/>
        <v>0</v>
      </c>
      <c r="J87" s="531">
        <f t="shared" si="36"/>
        <v>1</v>
      </c>
      <c r="K87" s="531">
        <f t="shared" si="36"/>
        <v>0</v>
      </c>
      <c r="L87" s="531">
        <f t="shared" si="36"/>
        <v>0</v>
      </c>
      <c r="M87" s="531">
        <f t="shared" si="36"/>
        <v>2</v>
      </c>
      <c r="N87" s="531">
        <f t="shared" si="36"/>
        <v>0</v>
      </c>
      <c r="O87" s="531">
        <f t="shared" si="36"/>
        <v>0</v>
      </c>
      <c r="P87" s="531">
        <f t="shared" si="36"/>
        <v>1</v>
      </c>
      <c r="Q87" s="531">
        <f t="shared" si="36"/>
        <v>0</v>
      </c>
      <c r="R87" s="531">
        <f>SUM(R9)</f>
        <v>0</v>
      </c>
      <c r="S87" s="255">
        <f t="shared" si="9"/>
        <v>4</v>
      </c>
      <c r="T87" s="512">
        <f t="shared" si="17"/>
        <v>0.33333333333333331</v>
      </c>
      <c r="U87" s="513">
        <f t="shared" si="18"/>
        <v>171</v>
      </c>
      <c r="V87" s="461">
        <f t="shared" ref="V87:V93" si="37">E87+F87-S87</f>
        <v>57</v>
      </c>
      <c r="W87" s="314">
        <v>2015</v>
      </c>
      <c r="X87" s="105"/>
      <c r="Y87" s="105"/>
      <c r="Z87" s="105"/>
      <c r="AA87" s="104"/>
      <c r="AB87" s="239">
        <v>45552</v>
      </c>
      <c r="AC87" s="291">
        <v>2024</v>
      </c>
      <c r="AD87" s="280" t="s">
        <v>716</v>
      </c>
      <c r="AE87" s="280">
        <v>6</v>
      </c>
      <c r="AF87" s="239" t="s">
        <v>609</v>
      </c>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row>
    <row r="88" spans="1:86" x14ac:dyDescent="0.2">
      <c r="A88" s="104"/>
      <c r="B88" s="116">
        <v>2019</v>
      </c>
      <c r="C88" s="252"/>
      <c r="D88" s="273"/>
      <c r="E88" s="531">
        <f t="shared" ref="E88:Q88" si="38">SUM(E11:E14)</f>
        <v>455</v>
      </c>
      <c r="F88" s="531">
        <f t="shared" si="38"/>
        <v>0</v>
      </c>
      <c r="G88" s="531">
        <f t="shared" si="38"/>
        <v>62</v>
      </c>
      <c r="H88" s="531">
        <f t="shared" si="38"/>
        <v>155</v>
      </c>
      <c r="I88" s="531">
        <f t="shared" si="38"/>
        <v>56</v>
      </c>
      <c r="J88" s="531">
        <f t="shared" si="38"/>
        <v>72</v>
      </c>
      <c r="K88" s="531">
        <f t="shared" si="38"/>
        <v>46</v>
      </c>
      <c r="L88" s="531">
        <f t="shared" si="38"/>
        <v>28</v>
      </c>
      <c r="M88" s="531">
        <f t="shared" si="38"/>
        <v>8</v>
      </c>
      <c r="N88" s="531">
        <f t="shared" si="38"/>
        <v>28</v>
      </c>
      <c r="O88" s="531">
        <f t="shared" si="38"/>
        <v>0</v>
      </c>
      <c r="P88" s="531">
        <f t="shared" si="38"/>
        <v>0</v>
      </c>
      <c r="Q88" s="531">
        <f t="shared" si="38"/>
        <v>0</v>
      </c>
      <c r="R88" s="531">
        <f>SUM(R11:R14)</f>
        <v>0</v>
      </c>
      <c r="S88" s="255">
        <f t="shared" si="9"/>
        <v>455</v>
      </c>
      <c r="T88" s="512">
        <f t="shared" si="17"/>
        <v>37.916666666666664</v>
      </c>
      <c r="U88" s="513">
        <f t="shared" si="18"/>
        <v>0</v>
      </c>
      <c r="V88" s="461">
        <f t="shared" si="37"/>
        <v>0</v>
      </c>
      <c r="W88" s="314">
        <v>2019</v>
      </c>
      <c r="X88" s="105"/>
      <c r="Y88" s="105"/>
      <c r="Z88" s="105"/>
      <c r="AA88" s="104"/>
      <c r="AB88" s="239">
        <v>45555</v>
      </c>
      <c r="AC88" s="291">
        <v>2024</v>
      </c>
      <c r="AD88" s="280" t="s">
        <v>717</v>
      </c>
      <c r="AE88" s="280">
        <v>36</v>
      </c>
      <c r="AF88" s="239" t="s">
        <v>609</v>
      </c>
      <c r="AG88" s="104"/>
      <c r="AH88" s="104"/>
      <c r="AI88" s="104"/>
      <c r="AJ88" s="104"/>
      <c r="AK88" s="104" t="s">
        <v>35</v>
      </c>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row>
    <row r="89" spans="1:86" x14ac:dyDescent="0.2">
      <c r="A89" s="104"/>
      <c r="B89" s="116">
        <v>2020</v>
      </c>
      <c r="C89" s="252"/>
      <c r="D89" s="204"/>
      <c r="E89" s="531">
        <f t="shared" ref="E89:M89" si="39">SUM(E16:E25)</f>
        <v>2469</v>
      </c>
      <c r="F89" s="531">
        <f>SUM(F16:F26)</f>
        <v>111</v>
      </c>
      <c r="G89" s="531">
        <f t="shared" si="39"/>
        <v>102</v>
      </c>
      <c r="H89" s="531">
        <f t="shared" si="39"/>
        <v>153</v>
      </c>
      <c r="I89" s="531">
        <f t="shared" si="39"/>
        <v>70</v>
      </c>
      <c r="J89" s="531">
        <f t="shared" si="39"/>
        <v>128</v>
      </c>
      <c r="K89" s="531">
        <f t="shared" si="39"/>
        <v>180</v>
      </c>
      <c r="L89" s="531">
        <f t="shared" si="39"/>
        <v>124</v>
      </c>
      <c r="M89" s="531">
        <f t="shared" si="39"/>
        <v>76</v>
      </c>
      <c r="N89" s="531">
        <f>SUM(N16:N26)</f>
        <v>144</v>
      </c>
      <c r="O89" s="531">
        <f>SUM(O16:O26)</f>
        <v>123</v>
      </c>
      <c r="P89" s="531">
        <f>SUM(P16:P26)</f>
        <v>291</v>
      </c>
      <c r="Q89" s="531">
        <f>SUM(Q16:Q26)</f>
        <v>206</v>
      </c>
      <c r="R89" s="531">
        <f>SUM(R16:R26)</f>
        <v>83</v>
      </c>
      <c r="S89" s="255">
        <f t="shared" si="9"/>
        <v>1680</v>
      </c>
      <c r="T89" s="512">
        <f t="shared" si="17"/>
        <v>140</v>
      </c>
      <c r="U89" s="513">
        <f t="shared" si="18"/>
        <v>6.4285714285714288</v>
      </c>
      <c r="V89" s="461">
        <f t="shared" si="37"/>
        <v>900</v>
      </c>
      <c r="W89" s="314">
        <v>2020</v>
      </c>
      <c r="X89" s="105"/>
      <c r="Y89" s="105"/>
      <c r="Z89" s="105"/>
      <c r="AA89" s="104"/>
      <c r="AB89" s="239">
        <v>45560</v>
      </c>
      <c r="AC89" s="291">
        <v>2024</v>
      </c>
      <c r="AD89" s="280" t="s">
        <v>718</v>
      </c>
      <c r="AE89" s="280">
        <v>48</v>
      </c>
      <c r="AF89" s="239" t="s">
        <v>609</v>
      </c>
      <c r="AG89" s="104"/>
      <c r="AH89" s="104"/>
      <c r="AI89" s="104"/>
      <c r="AJ89" s="104"/>
      <c r="AK89" s="104" t="s">
        <v>35</v>
      </c>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row>
    <row r="90" spans="1:86" x14ac:dyDescent="0.2">
      <c r="A90" s="104"/>
      <c r="B90" s="116">
        <v>2021</v>
      </c>
      <c r="C90" s="252"/>
      <c r="D90" s="204"/>
      <c r="E90" s="531">
        <f t="shared" ref="E90:Q90" si="40">SUM(E28:E40)</f>
        <v>3541</v>
      </c>
      <c r="F90" s="531">
        <f>SUM(F28:F40)</f>
        <v>0</v>
      </c>
      <c r="G90" s="531">
        <f t="shared" si="40"/>
        <v>26</v>
      </c>
      <c r="H90" s="531">
        <f t="shared" si="40"/>
        <v>123</v>
      </c>
      <c r="I90" s="531">
        <f t="shared" si="40"/>
        <v>21</v>
      </c>
      <c r="J90" s="531">
        <f t="shared" si="40"/>
        <v>11</v>
      </c>
      <c r="K90" s="531">
        <f t="shared" si="40"/>
        <v>58</v>
      </c>
      <c r="L90" s="531">
        <f t="shared" si="40"/>
        <v>53</v>
      </c>
      <c r="M90" s="531">
        <f t="shared" si="40"/>
        <v>39</v>
      </c>
      <c r="N90" s="531">
        <f t="shared" si="40"/>
        <v>153</v>
      </c>
      <c r="O90" s="531">
        <f t="shared" si="40"/>
        <v>58</v>
      </c>
      <c r="P90" s="531">
        <f t="shared" si="40"/>
        <v>65</v>
      </c>
      <c r="Q90" s="531">
        <f t="shared" si="40"/>
        <v>183</v>
      </c>
      <c r="R90" s="531">
        <f>SUM(R28:R40)</f>
        <v>103</v>
      </c>
      <c r="S90" s="295">
        <f>SUM(G90:R90)</f>
        <v>893</v>
      </c>
      <c r="T90" s="512">
        <f t="shared" si="17"/>
        <v>74.416666666666671</v>
      </c>
      <c r="U90" s="513">
        <f t="shared" si="18"/>
        <v>35.583426651735721</v>
      </c>
      <c r="V90" s="461">
        <f t="shared" si="37"/>
        <v>2648</v>
      </c>
      <c r="W90" s="314">
        <v>2021</v>
      </c>
      <c r="X90" s="105"/>
      <c r="Y90" s="105"/>
      <c r="Z90" s="105"/>
      <c r="AA90" s="104"/>
      <c r="AB90" s="239">
        <v>45562</v>
      </c>
      <c r="AC90" s="291">
        <v>2024</v>
      </c>
      <c r="AD90" s="280" t="s">
        <v>719</v>
      </c>
      <c r="AE90" s="280">
        <v>30</v>
      </c>
      <c r="AF90" s="239" t="s">
        <v>609</v>
      </c>
      <c r="AG90" s="104"/>
      <c r="AH90" s="104"/>
      <c r="AI90" s="104"/>
      <c r="AJ90" s="104"/>
      <c r="AK90" s="104" t="s">
        <v>35</v>
      </c>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row>
    <row r="91" spans="1:86" x14ac:dyDescent="0.2">
      <c r="A91" s="104"/>
      <c r="B91" s="116">
        <v>2022</v>
      </c>
      <c r="C91" s="252"/>
      <c r="D91" s="204"/>
      <c r="E91" s="531">
        <f t="shared" ref="E91:S91" si="41">SUM(E42:E63)</f>
        <v>3414</v>
      </c>
      <c r="F91" s="531">
        <f>SUM(F42:F63)</f>
        <v>960</v>
      </c>
      <c r="G91" s="531">
        <f t="shared" si="41"/>
        <v>56</v>
      </c>
      <c r="H91" s="531">
        <f t="shared" si="41"/>
        <v>85</v>
      </c>
      <c r="I91" s="531">
        <f t="shared" si="41"/>
        <v>100</v>
      </c>
      <c r="J91" s="531">
        <f t="shared" si="41"/>
        <v>140</v>
      </c>
      <c r="K91" s="531">
        <f t="shared" si="41"/>
        <v>319</v>
      </c>
      <c r="L91" s="531">
        <f t="shared" si="41"/>
        <v>128</v>
      </c>
      <c r="M91" s="531">
        <f t="shared" si="41"/>
        <v>93</v>
      </c>
      <c r="N91" s="531">
        <f t="shared" si="41"/>
        <v>152</v>
      </c>
      <c r="O91" s="531">
        <f t="shared" si="41"/>
        <v>103</v>
      </c>
      <c r="P91" s="531">
        <f t="shared" si="41"/>
        <v>98</v>
      </c>
      <c r="Q91" s="531">
        <f t="shared" si="41"/>
        <v>76</v>
      </c>
      <c r="R91" s="531">
        <f>SUM(R42:R63)</f>
        <v>23</v>
      </c>
      <c r="S91" s="519">
        <f t="shared" si="41"/>
        <v>1373</v>
      </c>
      <c r="T91" s="512">
        <f t="shared" si="17"/>
        <v>114.41666666666667</v>
      </c>
      <c r="U91" s="513">
        <f t="shared" si="18"/>
        <v>26.228696285506189</v>
      </c>
      <c r="V91" s="461">
        <f t="shared" si="37"/>
        <v>3001</v>
      </c>
      <c r="W91" s="533">
        <v>2022</v>
      </c>
      <c r="X91" s="105"/>
      <c r="Y91" s="105"/>
      <c r="Z91" s="105"/>
      <c r="AA91" s="104"/>
      <c r="AB91" s="239">
        <v>45560</v>
      </c>
      <c r="AC91" s="291">
        <v>2024</v>
      </c>
      <c r="AD91" s="280" t="s">
        <v>720</v>
      </c>
      <c r="AE91" s="280">
        <v>18</v>
      </c>
      <c r="AF91" s="239" t="s">
        <v>609</v>
      </c>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row>
    <row r="92" spans="1:86" x14ac:dyDescent="0.2">
      <c r="A92" s="104"/>
      <c r="B92" s="116">
        <v>2023</v>
      </c>
      <c r="C92" s="252"/>
      <c r="D92" s="204"/>
      <c r="E92" s="531">
        <f t="shared" ref="E92:T92" si="42">SUM(E65:E85)</f>
        <v>0</v>
      </c>
      <c r="F92" s="531">
        <f>SUM(F65:F85)</f>
        <v>4398</v>
      </c>
      <c r="G92" s="531">
        <f t="shared" si="42"/>
        <v>0</v>
      </c>
      <c r="H92" s="531">
        <f t="shared" si="42"/>
        <v>0</v>
      </c>
      <c r="I92" s="531">
        <f t="shared" si="42"/>
        <v>35</v>
      </c>
      <c r="J92" s="531">
        <f t="shared" si="42"/>
        <v>0</v>
      </c>
      <c r="K92" s="531">
        <f t="shared" si="42"/>
        <v>33</v>
      </c>
      <c r="L92" s="531">
        <f t="shared" si="42"/>
        <v>21</v>
      </c>
      <c r="M92" s="531">
        <f t="shared" si="42"/>
        <v>13</v>
      </c>
      <c r="N92" s="531">
        <f t="shared" si="42"/>
        <v>131</v>
      </c>
      <c r="O92" s="531">
        <f t="shared" si="42"/>
        <v>31</v>
      </c>
      <c r="P92" s="531">
        <f t="shared" si="42"/>
        <v>12</v>
      </c>
      <c r="Q92" s="531">
        <f t="shared" si="42"/>
        <v>25</v>
      </c>
      <c r="R92" s="531">
        <f>SUM(R65:R85)</f>
        <v>45</v>
      </c>
      <c r="S92" s="519">
        <f t="shared" si="42"/>
        <v>346</v>
      </c>
      <c r="T92" s="536">
        <f t="shared" si="42"/>
        <v>186.17500000000001</v>
      </c>
      <c r="U92" s="513">
        <f>U96</f>
        <v>-59.833333333333336</v>
      </c>
      <c r="V92" s="519">
        <f>SUM(V65:V85)</f>
        <v>4052</v>
      </c>
      <c r="W92" s="537">
        <v>2023</v>
      </c>
      <c r="X92" s="105"/>
      <c r="Y92" s="105"/>
      <c r="Z92" s="105"/>
      <c r="AA92" s="104"/>
      <c r="AB92" s="239">
        <v>45560</v>
      </c>
      <c r="AC92" s="291">
        <v>2024</v>
      </c>
      <c r="AD92" s="280" t="s">
        <v>721</v>
      </c>
      <c r="AE92" s="280">
        <v>14</v>
      </c>
      <c r="AF92" s="239" t="s">
        <v>538</v>
      </c>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row>
    <row r="93" spans="1:86" ht="18" x14ac:dyDescent="0.25">
      <c r="A93" s="104"/>
      <c r="B93" s="202" t="s">
        <v>78</v>
      </c>
      <c r="C93" s="278"/>
      <c r="D93" s="203"/>
      <c r="E93" s="534">
        <f>SUM(E87:E92)</f>
        <v>9940</v>
      </c>
      <c r="F93" s="534">
        <f t="shared" ref="F93:H93" si="43">SUM(F87:F92)</f>
        <v>5469</v>
      </c>
      <c r="G93" s="534">
        <f t="shared" si="43"/>
        <v>246</v>
      </c>
      <c r="H93" s="534">
        <f t="shared" si="43"/>
        <v>516</v>
      </c>
      <c r="I93" s="534">
        <f t="shared" ref="I93:N93" si="44">SUM(I87:I92)</f>
        <v>282</v>
      </c>
      <c r="J93" s="534">
        <f t="shared" si="44"/>
        <v>352</v>
      </c>
      <c r="K93" s="534">
        <f t="shared" si="44"/>
        <v>636</v>
      </c>
      <c r="L93" s="534">
        <f t="shared" si="44"/>
        <v>354</v>
      </c>
      <c r="M93" s="534">
        <f t="shared" si="44"/>
        <v>231</v>
      </c>
      <c r="N93" s="534">
        <f t="shared" si="44"/>
        <v>608</v>
      </c>
      <c r="O93" s="534">
        <f>SUM(O87:O92)</f>
        <v>315</v>
      </c>
      <c r="P93" s="534">
        <f>SUM(P87:P92)</f>
        <v>467</v>
      </c>
      <c r="Q93" s="534">
        <f>SUM(Q87:Q92)</f>
        <v>490</v>
      </c>
      <c r="R93" s="534">
        <f>SUM(R87:R92)</f>
        <v>254</v>
      </c>
      <c r="S93" s="296">
        <f>SUM(G93:R93)</f>
        <v>4751</v>
      </c>
      <c r="T93" s="512">
        <f t="shared" si="17"/>
        <v>395.91666666666669</v>
      </c>
      <c r="U93" s="513">
        <f t="shared" si="18"/>
        <v>26.919806356556514</v>
      </c>
      <c r="V93" s="461">
        <f t="shared" si="37"/>
        <v>10658</v>
      </c>
      <c r="W93" s="317" t="s">
        <v>78</v>
      </c>
      <c r="X93" s="105"/>
      <c r="Y93" s="187"/>
      <c r="Z93" s="187"/>
      <c r="AA93" s="210"/>
      <c r="AB93" s="239">
        <v>45560</v>
      </c>
      <c r="AC93" s="291">
        <v>2024</v>
      </c>
      <c r="AD93" s="280" t="s">
        <v>722</v>
      </c>
      <c r="AE93" s="280">
        <v>96</v>
      </c>
      <c r="AF93" s="239" t="s">
        <v>609</v>
      </c>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row>
    <row r="94" spans="1:86" s="141" customFormat="1" ht="15.75" customHeight="1" x14ac:dyDescent="0.2">
      <c r="A94" s="538"/>
      <c r="B94" s="119"/>
      <c r="C94" s="128"/>
      <c r="D94" s="538"/>
      <c r="E94" s="119"/>
      <c r="F94" s="119"/>
      <c r="G94" s="119"/>
      <c r="H94" s="119"/>
      <c r="I94" s="119"/>
      <c r="J94" s="119"/>
      <c r="K94" s="119"/>
      <c r="L94" s="119"/>
      <c r="M94" s="119"/>
      <c r="N94" s="119"/>
      <c r="O94" s="119"/>
      <c r="P94" s="119"/>
      <c r="Q94" s="119"/>
      <c r="R94" s="119"/>
      <c r="S94" s="119"/>
      <c r="T94" s="225"/>
      <c r="U94" s="226"/>
      <c r="V94" s="227"/>
      <c r="W94" s="228"/>
      <c r="X94" s="105"/>
      <c r="Y94" s="90"/>
      <c r="Z94" s="90"/>
      <c r="AA94" s="105"/>
      <c r="AB94" s="239">
        <v>45560</v>
      </c>
      <c r="AC94" s="291">
        <v>2024</v>
      </c>
      <c r="AD94" s="280" t="s">
        <v>723</v>
      </c>
      <c r="AE94" s="280">
        <v>84</v>
      </c>
      <c r="AF94" s="239" t="s">
        <v>538</v>
      </c>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5"/>
      <c r="CG94" s="105"/>
      <c r="CH94" s="105"/>
    </row>
    <row r="95" spans="1:86" s="141" customFormat="1" ht="15.75" customHeight="1" x14ac:dyDescent="0.2">
      <c r="A95" s="255"/>
      <c r="B95" s="255"/>
      <c r="C95" s="255" t="s">
        <v>724</v>
      </c>
      <c r="D95" s="270">
        <v>2023</v>
      </c>
      <c r="E95" s="297">
        <f>'2023'!E97</f>
        <v>10574</v>
      </c>
      <c r="F95" s="297">
        <f>'2023'!F97</f>
        <v>4261</v>
      </c>
      <c r="G95" s="297">
        <f>'2023'!G97</f>
        <v>294</v>
      </c>
      <c r="H95" s="297">
        <f>'2023'!H97</f>
        <v>512</v>
      </c>
      <c r="I95" s="297">
        <f>'2023'!I97</f>
        <v>390</v>
      </c>
      <c r="J95" s="297">
        <f>'2023'!J97</f>
        <v>363</v>
      </c>
      <c r="K95" s="297">
        <f>'2023'!K97</f>
        <v>473</v>
      </c>
      <c r="L95" s="297">
        <f>'2023'!L97</f>
        <v>282</v>
      </c>
      <c r="M95" s="297">
        <f>'2023'!M97</f>
        <v>320</v>
      </c>
      <c r="N95" s="297">
        <f>'2023'!N97</f>
        <v>458</v>
      </c>
      <c r="O95" s="297">
        <f>'2023'!O97</f>
        <v>318</v>
      </c>
      <c r="P95" s="297">
        <f>'2023'!P97</f>
        <v>423</v>
      </c>
      <c r="Q95" s="297">
        <f>'2023'!Q97</f>
        <v>624</v>
      </c>
      <c r="R95" s="297">
        <f>'2023'!R97</f>
        <v>438</v>
      </c>
      <c r="S95" s="297">
        <f>'2023'!S97</f>
        <v>4895</v>
      </c>
      <c r="T95" s="297">
        <f>'2023'!T97</f>
        <v>407.91666666666669</v>
      </c>
      <c r="U95" s="297">
        <f>'2023'!U97</f>
        <v>24.367722165474973</v>
      </c>
      <c r="V95" s="297">
        <f>'2023'!V97</f>
        <v>9940</v>
      </c>
      <c r="W95" s="297" t="str">
        <f>'2023'!W97</f>
        <v>TOTAL</v>
      </c>
      <c r="X95" s="457" t="s">
        <v>725</v>
      </c>
      <c r="Y95" s="90"/>
      <c r="Z95" s="90"/>
      <c r="AA95" s="105"/>
      <c r="AB95" s="239">
        <v>45562</v>
      </c>
      <c r="AC95" s="291">
        <v>2024</v>
      </c>
      <c r="AD95" s="280" t="s">
        <v>726</v>
      </c>
      <c r="AE95" s="280">
        <v>24</v>
      </c>
      <c r="AF95" s="239" t="s">
        <v>609</v>
      </c>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c r="BW95" s="105"/>
      <c r="BX95" s="105"/>
      <c r="BY95" s="105"/>
      <c r="BZ95" s="105"/>
      <c r="CA95" s="105"/>
      <c r="CB95" s="105"/>
      <c r="CC95" s="105"/>
      <c r="CD95" s="105"/>
      <c r="CE95" s="105"/>
      <c r="CF95" s="105"/>
      <c r="CG95" s="105"/>
      <c r="CH95" s="105"/>
    </row>
    <row r="96" spans="1:86" ht="15.75" customHeight="1" x14ac:dyDescent="0.2">
      <c r="A96" s="255"/>
      <c r="B96" s="255"/>
      <c r="C96" s="255" t="s">
        <v>727</v>
      </c>
      <c r="D96" s="270"/>
      <c r="E96" s="297">
        <f t="shared" ref="E96:G96" si="45">E93-E95</f>
        <v>-634</v>
      </c>
      <c r="F96" s="297">
        <f t="shared" si="45"/>
        <v>1208</v>
      </c>
      <c r="G96" s="298">
        <f t="shared" si="45"/>
        <v>-48</v>
      </c>
      <c r="H96" s="297">
        <f>H93-H95</f>
        <v>4</v>
      </c>
      <c r="I96" s="297">
        <f t="shared" ref="I96:S96" si="46">I93-I95</f>
        <v>-108</v>
      </c>
      <c r="J96" s="297">
        <f t="shared" si="46"/>
        <v>-11</v>
      </c>
      <c r="K96" s="297">
        <f t="shared" si="46"/>
        <v>163</v>
      </c>
      <c r="L96" s="297">
        <f t="shared" si="46"/>
        <v>72</v>
      </c>
      <c r="M96" s="297">
        <f t="shared" si="46"/>
        <v>-89</v>
      </c>
      <c r="N96" s="297">
        <f t="shared" si="46"/>
        <v>150</v>
      </c>
      <c r="O96" s="297">
        <f t="shared" si="46"/>
        <v>-3</v>
      </c>
      <c r="P96" s="297">
        <f t="shared" si="46"/>
        <v>44</v>
      </c>
      <c r="Q96" s="297">
        <f t="shared" si="46"/>
        <v>-134</v>
      </c>
      <c r="R96" s="297">
        <f t="shared" si="46"/>
        <v>-184</v>
      </c>
      <c r="S96" s="297">
        <f t="shared" si="46"/>
        <v>-144</v>
      </c>
      <c r="T96" s="297">
        <f t="shared" ref="T96:V96" si="47">T95-T93</f>
        <v>12</v>
      </c>
      <c r="U96" s="297">
        <f>IFERROR((V96/T96),0)</f>
        <v>-59.833333333333336</v>
      </c>
      <c r="V96" s="297">
        <f t="shared" si="47"/>
        <v>-718</v>
      </c>
      <c r="W96" s="299"/>
      <c r="X96" s="457"/>
      <c r="Y96"/>
      <c r="Z96"/>
      <c r="AA96" s="104"/>
      <c r="AB96" s="239">
        <v>45562</v>
      </c>
      <c r="AC96" s="291">
        <v>2024</v>
      </c>
      <c r="AD96" s="280" t="s">
        <v>728</v>
      </c>
      <c r="AE96" s="280">
        <v>100</v>
      </c>
      <c r="AF96" s="239" t="s">
        <v>538</v>
      </c>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row>
    <row r="97" spans="1:86" ht="15.75" customHeight="1" x14ac:dyDescent="0.2">
      <c r="A97" s="104"/>
      <c r="B97" s="229"/>
      <c r="C97" s="135"/>
      <c r="D97" s="230"/>
      <c r="E97" s="9"/>
      <c r="F97" s="9"/>
      <c r="G97"/>
      <c r="H97"/>
      <c r="I97"/>
      <c r="J97"/>
      <c r="K97"/>
      <c r="L97"/>
      <c r="M97"/>
      <c r="N97"/>
      <c r="O97"/>
      <c r="P97"/>
      <c r="Q97"/>
      <c r="R97"/>
      <c r="S97" s="231"/>
      <c r="T97" s="232"/>
      <c r="U97" s="233"/>
      <c r="V97" s="234"/>
      <c r="W97" s="213"/>
      <c r="X97" s="104"/>
      <c r="Y97"/>
      <c r="Z97"/>
      <c r="AA97" s="104"/>
      <c r="AB97" s="239">
        <v>45567</v>
      </c>
      <c r="AC97" s="291">
        <v>2024</v>
      </c>
      <c r="AD97" s="280" t="s">
        <v>729</v>
      </c>
      <c r="AE97" s="280">
        <v>34</v>
      </c>
      <c r="AF97" s="239" t="s">
        <v>609</v>
      </c>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row>
    <row r="98" spans="1:86" ht="15.75" customHeight="1" x14ac:dyDescent="0.2">
      <c r="A98" s="104"/>
      <c r="B98" s="116"/>
      <c r="C98" s="252"/>
      <c r="D98" s="477"/>
      <c r="E98" s="241"/>
      <c r="F98" s="241"/>
      <c r="G98"/>
      <c r="H98"/>
      <c r="I98"/>
      <c r="J98"/>
      <c r="K98"/>
      <c r="L98"/>
      <c r="M98"/>
      <c r="N98"/>
      <c r="O98"/>
      <c r="P98"/>
      <c r="Q98"/>
      <c r="R98"/>
      <c r="S98" s="256"/>
      <c r="T98" s="512"/>
      <c r="U98" s="513"/>
      <c r="V98" s="461"/>
      <c r="W98" s="213"/>
      <c r="X98" s="104"/>
      <c r="Y98"/>
      <c r="Z98"/>
      <c r="AA98" s="104"/>
      <c r="AB98" s="239">
        <v>45567</v>
      </c>
      <c r="AC98" s="291">
        <v>2024</v>
      </c>
      <c r="AD98" s="280" t="s">
        <v>730</v>
      </c>
      <c r="AE98" s="280">
        <v>30</v>
      </c>
      <c r="AF98" s="239" t="s">
        <v>609</v>
      </c>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row>
    <row r="99" spans="1:86" ht="15.75" customHeight="1" x14ac:dyDescent="0.2">
      <c r="A99" s="104"/>
      <c r="B99" s="116"/>
      <c r="C99" s="252"/>
      <c r="D99" s="477"/>
      <c r="E99" s="241"/>
      <c r="F99" s="241"/>
      <c r="G99"/>
      <c r="H99"/>
      <c r="I99"/>
      <c r="J99"/>
      <c r="K99"/>
      <c r="L99"/>
      <c r="M99"/>
      <c r="N99"/>
      <c r="O99"/>
      <c r="P99"/>
      <c r="Q99"/>
      <c r="R99"/>
      <c r="S99" s="256"/>
      <c r="T99" s="512"/>
      <c r="U99" s="513"/>
      <c r="V99" s="461"/>
      <c r="W99" s="213"/>
      <c r="X99" s="105"/>
      <c r="Y99"/>
      <c r="Z99"/>
      <c r="AA99" s="104"/>
      <c r="AB99" s="239">
        <v>45567</v>
      </c>
      <c r="AC99" s="291">
        <v>2024</v>
      </c>
      <c r="AD99" s="280" t="s">
        <v>731</v>
      </c>
      <c r="AE99" s="280">
        <f>66+108</f>
        <v>174</v>
      </c>
      <c r="AF99" s="239" t="s">
        <v>609</v>
      </c>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row>
    <row r="100" spans="1:86" ht="15.75" customHeight="1" x14ac:dyDescent="0.25">
      <c r="A100" s="104"/>
      <c r="B100" s="116"/>
      <c r="C100" s="252"/>
      <c r="D100" s="477"/>
      <c r="E100" s="241"/>
      <c r="F100" s="241"/>
      <c r="G100"/>
      <c r="H100"/>
      <c r="I100"/>
      <c r="J100"/>
      <c r="K100"/>
      <c r="L100"/>
      <c r="M100"/>
      <c r="N100"/>
      <c r="O100"/>
      <c r="P100"/>
      <c r="Q100"/>
      <c r="R100"/>
      <c r="S100" s="256"/>
      <c r="T100" s="512"/>
      <c r="U100" s="513"/>
      <c r="V100" s="461"/>
      <c r="W100" s="213"/>
      <c r="X100" s="200"/>
      <c r="Y100"/>
      <c r="Z100"/>
      <c r="AA100" s="104"/>
      <c r="AB100" s="239">
        <v>45567</v>
      </c>
      <c r="AC100" s="291">
        <v>2024</v>
      </c>
      <c r="AD100" s="280" t="s">
        <v>732</v>
      </c>
      <c r="AE100" s="280">
        <v>42</v>
      </c>
      <c r="AF100" s="239" t="s">
        <v>609</v>
      </c>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row>
    <row r="101" spans="1:86" ht="15.75" customHeight="1" x14ac:dyDescent="0.2">
      <c r="A101" s="104"/>
      <c r="B101" s="105"/>
      <c r="C101" s="104"/>
      <c r="D101" s="105"/>
      <c r="E101" s="105"/>
      <c r="F101" s="105"/>
      <c r="G101" s="187"/>
      <c r="H101" s="187"/>
      <c r="I101" s="187"/>
      <c r="J101" s="187"/>
      <c r="K101" s="187"/>
      <c r="L101" s="105"/>
      <c r="M101" s="105"/>
      <c r="N101" s="105"/>
      <c r="O101" s="105"/>
      <c r="P101" s="105"/>
      <c r="Q101" s="105"/>
      <c r="R101" s="105"/>
      <c r="S101" s="105"/>
      <c r="T101" s="105"/>
      <c r="U101" s="105"/>
      <c r="V101" s="105"/>
      <c r="W101" s="104"/>
      <c r="X101" s="105"/>
      <c r="Y101"/>
      <c r="Z101"/>
      <c r="AA101" s="104"/>
      <c r="AB101" s="239">
        <v>45568</v>
      </c>
      <c r="AC101" s="291">
        <v>2024</v>
      </c>
      <c r="AD101" s="280" t="s">
        <v>733</v>
      </c>
      <c r="AE101" s="280">
        <v>24</v>
      </c>
      <c r="AF101" s="239" t="s">
        <v>609</v>
      </c>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row>
    <row r="102" spans="1:86" ht="15.75" customHeight="1" x14ac:dyDescent="0.2">
      <c r="A102" s="104"/>
      <c r="B102"/>
      <c r="C102" s="104"/>
      <c r="D102" s="105"/>
      <c r="E102" s="105"/>
      <c r="F102" s="105"/>
      <c r="G102" s="105"/>
      <c r="H102" s="105"/>
      <c r="I102" s="105"/>
      <c r="J102" s="105"/>
      <c r="K102" s="105"/>
      <c r="L102" s="105"/>
      <c r="M102" s="105"/>
      <c r="N102" s="105"/>
      <c r="O102" s="105"/>
      <c r="P102" s="105"/>
      <c r="Q102" s="105"/>
      <c r="R102" s="105"/>
      <c r="S102" s="105"/>
      <c r="T102" s="105"/>
      <c r="U102" s="105"/>
      <c r="V102" s="105"/>
      <c r="W102" s="104"/>
      <c r="X102" s="105"/>
      <c r="Y102"/>
      <c r="Z102"/>
      <c r="AA102" s="104"/>
      <c r="AB102" s="239">
        <v>45568</v>
      </c>
      <c r="AC102" s="291">
        <v>2024</v>
      </c>
      <c r="AD102" s="280" t="s">
        <v>734</v>
      </c>
      <c r="AE102" s="280">
        <v>120</v>
      </c>
      <c r="AF102" s="239" t="s">
        <v>538</v>
      </c>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row>
    <row r="103" spans="1:86" ht="15.75" customHeight="1" x14ac:dyDescent="0.25">
      <c r="A103" s="104"/>
      <c r="B103" s="300" t="s">
        <v>735</v>
      </c>
      <c r="C103" s="255"/>
      <c r="D103" s="255"/>
      <c r="E103" s="105"/>
      <c r="F103" s="255"/>
      <c r="G103" s="255"/>
      <c r="H103" s="255"/>
      <c r="I103" s="255"/>
      <c r="J103" s="255"/>
      <c r="K103" s="255"/>
      <c r="L103" s="255"/>
      <c r="M103" s="255"/>
      <c r="N103" s="255"/>
      <c r="O103" s="255"/>
      <c r="P103" s="255"/>
      <c r="Q103" s="255"/>
      <c r="R103" s="255"/>
      <c r="S103" s="105"/>
      <c r="T103" s="105"/>
      <c r="U103" s="105"/>
      <c r="V103" s="105"/>
      <c r="W103" s="213"/>
      <c r="X103" s="105"/>
      <c r="Y103"/>
      <c r="Z103"/>
      <c r="AA103" s="104"/>
      <c r="AB103" s="239">
        <v>45568</v>
      </c>
      <c r="AC103" s="291">
        <v>2024</v>
      </c>
      <c r="AD103" s="280" t="s">
        <v>736</v>
      </c>
      <c r="AE103" s="280">
        <v>24</v>
      </c>
      <c r="AF103" s="239" t="s">
        <v>609</v>
      </c>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row>
    <row r="104" spans="1:86" ht="15.75" customHeight="1" x14ac:dyDescent="0.25">
      <c r="A104" s="104"/>
      <c r="B104" s="248" t="s">
        <v>367</v>
      </c>
      <c r="C104" s="242" t="s">
        <v>368</v>
      </c>
      <c r="D104" s="242" t="s">
        <v>369</v>
      </c>
      <c r="E104" s="105"/>
      <c r="F104" s="301" t="s">
        <v>4</v>
      </c>
      <c r="G104" s="301"/>
      <c r="H104" s="242" t="s">
        <v>5</v>
      </c>
      <c r="I104" s="242" t="s">
        <v>6</v>
      </c>
      <c r="J104" s="242" t="s">
        <v>7</v>
      </c>
      <c r="K104" s="242" t="s">
        <v>8</v>
      </c>
      <c r="L104" s="242" t="s">
        <v>9</v>
      </c>
      <c r="M104" s="242" t="s">
        <v>10</v>
      </c>
      <c r="N104" s="242" t="s">
        <v>11</v>
      </c>
      <c r="O104" s="242" t="s">
        <v>12</v>
      </c>
      <c r="P104" s="242" t="s">
        <v>13</v>
      </c>
      <c r="Q104" s="242" t="s">
        <v>14</v>
      </c>
      <c r="R104" s="242" t="s">
        <v>15</v>
      </c>
      <c r="S104" s="105"/>
      <c r="T104" s="105"/>
      <c r="U104" s="105"/>
      <c r="V104" s="105"/>
      <c r="W104" s="213"/>
      <c r="X104" s="213"/>
      <c r="Y104"/>
      <c r="Z104"/>
      <c r="AA104" s="104"/>
      <c r="AB104" s="239">
        <v>45568</v>
      </c>
      <c r="AC104" s="291">
        <v>2024</v>
      </c>
      <c r="AD104" s="280" t="s">
        <v>737</v>
      </c>
      <c r="AE104" s="280">
        <v>75</v>
      </c>
      <c r="AF104" s="239" t="s">
        <v>538</v>
      </c>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row>
    <row r="105" spans="1:86" ht="15.75" customHeight="1" x14ac:dyDescent="0.2">
      <c r="A105" s="104"/>
      <c r="B105" s="302" t="s">
        <v>35</v>
      </c>
      <c r="C105" s="303"/>
      <c r="D105" s="302"/>
      <c r="E105" s="105"/>
      <c r="F105" s="302"/>
      <c r="G105" s="302"/>
      <c r="H105" s="302"/>
      <c r="I105" s="302"/>
      <c r="J105" s="302"/>
      <c r="K105" s="302"/>
      <c r="L105" s="302"/>
      <c r="M105" s="302"/>
      <c r="N105" s="302"/>
      <c r="O105" s="302"/>
      <c r="P105" s="302"/>
      <c r="Q105" s="302"/>
      <c r="R105" s="302" t="s">
        <v>35</v>
      </c>
      <c r="S105" s="105"/>
      <c r="T105" s="105"/>
      <c r="U105" s="105"/>
      <c r="V105" s="105"/>
      <c r="W105" s="213"/>
      <c r="X105" s="213"/>
      <c r="Y105"/>
      <c r="Z105"/>
      <c r="AA105" s="104"/>
      <c r="AB105" s="239">
        <v>45568</v>
      </c>
      <c r="AC105" s="291">
        <v>2024</v>
      </c>
      <c r="AD105" s="280" t="s">
        <v>738</v>
      </c>
      <c r="AE105" s="280">
        <v>32</v>
      </c>
      <c r="AF105" s="239" t="s">
        <v>609</v>
      </c>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row>
    <row r="106" spans="1:86" ht="15.75" customHeight="1" x14ac:dyDescent="0.2">
      <c r="A106" s="104"/>
      <c r="B106" s="522"/>
      <c r="C106" s="304" t="s">
        <v>25</v>
      </c>
      <c r="D106" s="305"/>
      <c r="E106" s="105"/>
      <c r="F106" s="255"/>
      <c r="G106" s="255"/>
      <c r="H106" s="255"/>
      <c r="I106" s="255"/>
      <c r="J106" s="255"/>
      <c r="K106" s="255"/>
      <c r="L106" s="255"/>
      <c r="M106" s="255"/>
      <c r="N106" s="255"/>
      <c r="O106" s="255"/>
      <c r="P106" s="255"/>
      <c r="Q106" s="255"/>
      <c r="R106" s="241">
        <f>5070-100</f>
        <v>4970</v>
      </c>
      <c r="S106" s="105"/>
      <c r="T106" s="105"/>
      <c r="U106" s="105"/>
      <c r="V106" s="105"/>
      <c r="W106" s="213"/>
      <c r="X106" s="104"/>
      <c r="Y106"/>
      <c r="Z106"/>
      <c r="AA106" s="104"/>
      <c r="AB106" s="239">
        <v>45568</v>
      </c>
      <c r="AC106" s="291">
        <v>2024</v>
      </c>
      <c r="AD106" s="280" t="s">
        <v>739</v>
      </c>
      <c r="AE106" s="280">
        <v>100</v>
      </c>
      <c r="AF106" s="239" t="s">
        <v>538</v>
      </c>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row>
    <row r="107" spans="1:86" ht="15.75" customHeight="1" x14ac:dyDescent="0.2">
      <c r="A107" s="104"/>
      <c r="B107" s="252"/>
      <c r="C107" s="304" t="s">
        <v>46</v>
      </c>
      <c r="D107" s="255"/>
      <c r="E107" s="105"/>
      <c r="F107" s="255"/>
      <c r="G107" s="255"/>
      <c r="H107" s="255"/>
      <c r="I107" s="255"/>
      <c r="J107" s="255"/>
      <c r="K107" s="255"/>
      <c r="L107" s="255"/>
      <c r="M107" s="255"/>
      <c r="N107" s="255"/>
      <c r="O107" s="255"/>
      <c r="P107" s="255"/>
      <c r="Q107" s="255"/>
      <c r="R107" s="241">
        <v>2450</v>
      </c>
      <c r="S107" s="105"/>
      <c r="T107" s="105"/>
      <c r="U107" s="105"/>
      <c r="V107" s="105"/>
      <c r="W107" s="213"/>
      <c r="X107" s="104"/>
      <c r="Y107"/>
      <c r="Z107"/>
      <c r="AA107" s="104"/>
      <c r="AB107" s="539">
        <v>45568</v>
      </c>
      <c r="AC107" s="540">
        <v>2024</v>
      </c>
      <c r="AD107" s="306" t="s">
        <v>740</v>
      </c>
      <c r="AE107" s="541">
        <v>8</v>
      </c>
      <c r="AF107" s="239" t="s">
        <v>609</v>
      </c>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row>
    <row r="108" spans="1:86" ht="15.75" customHeight="1" x14ac:dyDescent="0.2">
      <c r="A108" s="104"/>
      <c r="B108" s="252"/>
      <c r="C108" s="304" t="s">
        <v>665</v>
      </c>
      <c r="D108" s="255"/>
      <c r="E108" s="105"/>
      <c r="F108" s="255"/>
      <c r="G108" s="255"/>
      <c r="H108" s="255"/>
      <c r="I108" s="255"/>
      <c r="J108" s="255"/>
      <c r="K108" s="255"/>
      <c r="L108" s="255"/>
      <c r="M108" s="255"/>
      <c r="N108" s="255"/>
      <c r="O108" s="255"/>
      <c r="P108" s="255"/>
      <c r="Q108" s="255"/>
      <c r="R108" s="241">
        <v>1815</v>
      </c>
      <c r="S108" s="105"/>
      <c r="T108" s="105"/>
      <c r="U108" s="105"/>
      <c r="V108" s="105"/>
      <c r="W108" s="213"/>
      <c r="X108" s="104"/>
      <c r="Y108"/>
      <c r="Z108"/>
      <c r="AA108" s="104"/>
      <c r="AB108" s="539">
        <v>45568</v>
      </c>
      <c r="AC108" s="291">
        <v>2024</v>
      </c>
      <c r="AD108" s="306" t="s">
        <v>741</v>
      </c>
      <c r="AE108" s="279">
        <v>16</v>
      </c>
      <c r="AF108" s="235" t="s">
        <v>538</v>
      </c>
      <c r="AG108" s="104"/>
      <c r="AH108" s="104"/>
      <c r="AI108" s="104"/>
      <c r="AJ108" s="104"/>
      <c r="AK108" s="104"/>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row>
    <row r="109" spans="1:86" ht="15.75" customHeight="1" x14ac:dyDescent="0.2">
      <c r="A109" s="104"/>
      <c r="B109" s="252"/>
      <c r="C109" s="304" t="s">
        <v>742</v>
      </c>
      <c r="D109" s="255"/>
      <c r="E109" s="105"/>
      <c r="F109" s="255"/>
      <c r="G109" s="255"/>
      <c r="H109" s="255"/>
      <c r="I109" s="255"/>
      <c r="J109" s="255"/>
      <c r="K109" s="255"/>
      <c r="L109" s="255"/>
      <c r="M109" s="255"/>
      <c r="N109" s="255"/>
      <c r="O109" s="255"/>
      <c r="P109" s="255"/>
      <c r="Q109" s="255"/>
      <c r="R109" s="241">
        <v>550</v>
      </c>
      <c r="S109" s="105"/>
      <c r="T109" s="105"/>
      <c r="U109" s="105"/>
      <c r="V109" s="105"/>
      <c r="W109" s="213"/>
      <c r="X109" s="104"/>
      <c r="Y109"/>
      <c r="Z109"/>
      <c r="AA109" s="104"/>
      <c r="AB109" s="239">
        <v>45569</v>
      </c>
      <c r="AC109" s="291">
        <v>2024</v>
      </c>
      <c r="AD109" s="306" t="s">
        <v>743</v>
      </c>
      <c r="AE109" s="280">
        <v>24</v>
      </c>
      <c r="AF109" s="239" t="s">
        <v>609</v>
      </c>
      <c r="AG109" s="104"/>
      <c r="AH109" s="104"/>
      <c r="AI109" s="104"/>
      <c r="AJ109" s="104"/>
      <c r="AK109" s="104"/>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row>
    <row r="110" spans="1:86" ht="15.75" customHeight="1" x14ac:dyDescent="0.2">
      <c r="A110" s="104"/>
      <c r="B110" s="252"/>
      <c r="C110" s="304" t="s">
        <v>744</v>
      </c>
      <c r="D110" s="255"/>
      <c r="E110" s="105"/>
      <c r="F110" s="255"/>
      <c r="G110" s="255"/>
      <c r="H110" s="255"/>
      <c r="I110" s="255"/>
      <c r="J110" s="255"/>
      <c r="K110" s="255"/>
      <c r="L110" s="255"/>
      <c r="M110" s="255"/>
      <c r="N110" s="255"/>
      <c r="O110" s="255"/>
      <c r="P110" s="255"/>
      <c r="Q110" s="255"/>
      <c r="R110" s="241">
        <v>525</v>
      </c>
      <c r="S110" s="105"/>
      <c r="T110" s="105"/>
      <c r="U110" s="105"/>
      <c r="V110" s="105"/>
      <c r="W110" s="213"/>
      <c r="X110" s="104"/>
      <c r="Y110" s="105"/>
      <c r="Z110" s="105"/>
      <c r="AA110" s="104"/>
      <c r="AB110" s="235" t="s">
        <v>745</v>
      </c>
      <c r="AC110" s="236">
        <v>2024</v>
      </c>
      <c r="AD110" s="307" t="s">
        <v>746</v>
      </c>
      <c r="AE110" s="237">
        <v>40</v>
      </c>
      <c r="AF110" s="235" t="s">
        <v>538</v>
      </c>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row>
    <row r="111" spans="1:86" ht="15.4" customHeight="1" x14ac:dyDescent="0.2">
      <c r="A111" s="104"/>
      <c r="B111" s="252"/>
      <c r="C111" s="304" t="s">
        <v>455</v>
      </c>
      <c r="D111" s="255"/>
      <c r="E111" s="105"/>
      <c r="F111" s="255"/>
      <c r="G111" s="255"/>
      <c r="H111" s="255"/>
      <c r="I111" s="255"/>
      <c r="J111" s="255"/>
      <c r="K111" s="255"/>
      <c r="L111" s="255"/>
      <c r="M111" s="255"/>
      <c r="N111" s="255"/>
      <c r="O111" s="255"/>
      <c r="P111" s="255"/>
      <c r="Q111" s="255"/>
      <c r="R111" s="241">
        <v>1350</v>
      </c>
      <c r="S111" s="105"/>
      <c r="T111" s="105"/>
      <c r="U111" s="105"/>
      <c r="V111" s="105"/>
      <c r="W111" s="213"/>
      <c r="X111" s="104"/>
      <c r="Y111" s="105"/>
      <c r="Z111" s="105"/>
      <c r="AA111" s="104"/>
      <c r="AB111" s="239">
        <v>45569</v>
      </c>
      <c r="AC111" s="291">
        <v>2024</v>
      </c>
      <c r="AD111" s="306" t="s">
        <v>747</v>
      </c>
      <c r="AE111" s="280">
        <v>314</v>
      </c>
      <c r="AF111" s="239" t="s">
        <v>538</v>
      </c>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row>
    <row r="112" spans="1:86" x14ac:dyDescent="0.2">
      <c r="A112" s="104"/>
      <c r="B112" s="252"/>
      <c r="C112" s="304" t="s">
        <v>31</v>
      </c>
      <c r="D112" s="255"/>
      <c r="E112" s="105"/>
      <c r="F112" s="255"/>
      <c r="G112" s="255"/>
      <c r="H112" s="255"/>
      <c r="I112" s="255"/>
      <c r="J112" s="255"/>
      <c r="K112" s="255"/>
      <c r="L112" s="255"/>
      <c r="M112" s="255"/>
      <c r="N112" s="255"/>
      <c r="O112" s="255"/>
      <c r="P112" s="255"/>
      <c r="Q112" s="255"/>
      <c r="R112" s="241">
        <v>1665</v>
      </c>
      <c r="S112" s="105"/>
      <c r="T112" s="105"/>
      <c r="U112" s="105"/>
      <c r="V112" s="105"/>
      <c r="W112" s="213"/>
      <c r="X112" s="104"/>
      <c r="Y112" s="105"/>
      <c r="Z112" s="105"/>
      <c r="AA112" s="104"/>
      <c r="AB112" s="239">
        <v>45569</v>
      </c>
      <c r="AC112" s="291">
        <v>2024</v>
      </c>
      <c r="AD112" s="306" t="s">
        <v>748</v>
      </c>
      <c r="AE112" s="280">
        <v>78</v>
      </c>
      <c r="AF112" s="239" t="s">
        <v>609</v>
      </c>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row>
    <row r="113" spans="1:86" x14ac:dyDescent="0.2">
      <c r="A113" s="104"/>
      <c r="B113" s="252"/>
      <c r="C113" s="252"/>
      <c r="D113" s="255"/>
      <c r="E113" s="105"/>
      <c r="F113" s="255"/>
      <c r="G113" s="255"/>
      <c r="H113" s="255"/>
      <c r="I113" s="255"/>
      <c r="J113" s="255"/>
      <c r="K113" s="255"/>
      <c r="L113" s="255"/>
      <c r="M113" s="255"/>
      <c r="N113" s="255"/>
      <c r="O113" s="255"/>
      <c r="P113" s="255"/>
      <c r="Q113" s="255"/>
      <c r="R113" s="255"/>
      <c r="S113" s="105"/>
      <c r="T113" s="105"/>
      <c r="U113" s="105"/>
      <c r="V113" s="105"/>
      <c r="W113" s="213"/>
      <c r="X113" s="104"/>
      <c r="Y113" s="105"/>
      <c r="Z113" s="105"/>
      <c r="AA113" s="104"/>
      <c r="AB113" s="239">
        <v>45572</v>
      </c>
      <c r="AC113" s="291">
        <v>2024</v>
      </c>
      <c r="AD113" s="306" t="s">
        <v>749</v>
      </c>
      <c r="AE113" s="280">
        <v>38.5</v>
      </c>
      <c r="AF113" s="239" t="s">
        <v>609</v>
      </c>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row>
    <row r="114" spans="1:86" x14ac:dyDescent="0.2">
      <c r="A114" s="104"/>
      <c r="B114" s="252"/>
      <c r="C114" s="252"/>
      <c r="D114" s="255"/>
      <c r="E114" s="105"/>
      <c r="F114" s="255"/>
      <c r="G114" s="255"/>
      <c r="H114" s="255"/>
      <c r="I114" s="255"/>
      <c r="J114" s="255"/>
      <c r="K114" s="255"/>
      <c r="L114" s="255"/>
      <c r="M114" s="255"/>
      <c r="N114" s="255"/>
      <c r="O114" s="255"/>
      <c r="P114" s="255"/>
      <c r="Q114" s="255"/>
      <c r="R114" s="255"/>
      <c r="S114" s="105"/>
      <c r="T114" s="105"/>
      <c r="U114" s="105"/>
      <c r="V114" s="105"/>
      <c r="W114" s="213"/>
      <c r="X114" s="104"/>
      <c r="Y114" s="105"/>
      <c r="Z114" s="105"/>
      <c r="AA114" s="104"/>
      <c r="AB114" s="239">
        <v>45573</v>
      </c>
      <c r="AC114" s="291">
        <v>2024</v>
      </c>
      <c r="AD114" s="306" t="s">
        <v>750</v>
      </c>
      <c r="AE114" s="280">
        <v>18</v>
      </c>
      <c r="AF114" s="239" t="s">
        <v>609</v>
      </c>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row>
    <row r="115" spans="1:86" x14ac:dyDescent="0.2">
      <c r="A115" s="104"/>
      <c r="B115" s="252"/>
      <c r="C115" s="304" t="s">
        <v>473</v>
      </c>
      <c r="D115" s="255"/>
      <c r="E115" s="105"/>
      <c r="F115" s="255"/>
      <c r="G115" s="255"/>
      <c r="H115" s="255"/>
      <c r="I115" s="255"/>
      <c r="J115" s="255"/>
      <c r="K115" s="255"/>
      <c r="L115" s="255"/>
      <c r="M115" s="255"/>
      <c r="N115" s="255"/>
      <c r="O115" s="255"/>
      <c r="P115" s="255"/>
      <c r="Q115" s="255"/>
      <c r="R115" s="241">
        <v>910</v>
      </c>
      <c r="S115" s="105"/>
      <c r="T115" s="105"/>
      <c r="U115" s="105"/>
      <c r="V115" s="105"/>
      <c r="W115" s="213"/>
      <c r="X115" s="104"/>
      <c r="Y115" s="105"/>
      <c r="Z115" s="104"/>
      <c r="AA115" s="104"/>
      <c r="AB115" s="105"/>
      <c r="AC115" s="104"/>
      <c r="AD115" s="104"/>
      <c r="AE115" s="104"/>
      <c r="AF115" s="104"/>
      <c r="AG115" s="104"/>
      <c r="AH115" s="104"/>
      <c r="AI115" s="104"/>
      <c r="AJ115" s="104"/>
      <c r="AK115" s="104"/>
      <c r="AL115" s="104"/>
      <c r="AM115" s="104"/>
      <c r="AN115" s="104"/>
      <c r="AO115" s="104"/>
      <c r="AP115" s="104"/>
      <c r="AQ115" s="104"/>
      <c r="AR115" s="104"/>
      <c r="AS115" s="104"/>
      <c r="AT115" s="104"/>
      <c r="AU115" s="104"/>
      <c r="AV115" s="104"/>
      <c r="AW115" s="104"/>
      <c r="AX115" s="104"/>
      <c r="AY115" s="104"/>
      <c r="AZ115" s="104"/>
      <c r="BA115" s="104"/>
      <c r="BB115" s="104"/>
      <c r="BC115" s="104"/>
      <c r="BD115" s="104"/>
      <c r="BE115" s="104"/>
      <c r="BF115" s="104"/>
      <c r="BG115" s="104"/>
      <c r="BH115" s="104"/>
      <c r="BI115" s="104"/>
      <c r="BJ115" s="104"/>
      <c r="BK115" s="104"/>
      <c r="BL115" s="104"/>
      <c r="BM115" s="104"/>
      <c r="BN115" s="104"/>
      <c r="BO115" s="104"/>
      <c r="BP115" s="104"/>
      <c r="BQ115" s="104"/>
      <c r="BR115" s="104"/>
      <c r="BS115" s="104"/>
      <c r="BT115" s="104"/>
      <c r="BU115" s="104"/>
      <c r="BV115" s="104"/>
      <c r="BW115" s="104"/>
      <c r="BX115" s="104"/>
      <c r="BY115" s="104"/>
      <c r="BZ115" s="104"/>
      <c r="CA115" s="104"/>
      <c r="CB115" s="104"/>
      <c r="CC115" s="104"/>
      <c r="CD115" s="104"/>
      <c r="CE115" s="104"/>
      <c r="CF115" s="104"/>
      <c r="CG115" s="104"/>
      <c r="CH115" s="104"/>
    </row>
    <row r="116" spans="1:86" x14ac:dyDescent="0.2">
      <c r="A116" s="104"/>
      <c r="B116" s="252"/>
      <c r="C116" s="304" t="s">
        <v>555</v>
      </c>
      <c r="D116" s="255"/>
      <c r="E116" s="105"/>
      <c r="F116" s="255"/>
      <c r="G116" s="255"/>
      <c r="H116" s="255"/>
      <c r="I116" s="255"/>
      <c r="J116" s="255"/>
      <c r="K116" s="255"/>
      <c r="L116" s="255"/>
      <c r="M116" s="255"/>
      <c r="N116" s="255"/>
      <c r="O116" s="255"/>
      <c r="P116" s="255"/>
      <c r="Q116" s="255"/>
      <c r="R116" s="241">
        <v>1295</v>
      </c>
      <c r="S116" s="105"/>
      <c r="T116" s="105"/>
      <c r="U116" s="105"/>
      <c r="V116" s="105"/>
      <c r="W116" s="213"/>
      <c r="X116" s="104"/>
      <c r="Y116" s="105"/>
      <c r="Z116" s="104"/>
      <c r="AA116" s="104"/>
      <c r="AB116" s="105"/>
      <c r="AC116" s="104"/>
      <c r="AD116" s="104"/>
      <c r="AE116" s="104"/>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104"/>
      <c r="BZ116" s="104"/>
      <c r="CA116" s="104"/>
      <c r="CB116" s="104"/>
      <c r="CC116" s="104"/>
      <c r="CD116" s="104"/>
      <c r="CE116" s="104"/>
      <c r="CF116" s="104"/>
      <c r="CG116" s="104"/>
      <c r="CH116" s="104"/>
    </row>
    <row r="117" spans="1:86" ht="15.4" customHeight="1" x14ac:dyDescent="0.2">
      <c r="A117" s="104"/>
      <c r="B117" s="252"/>
      <c r="C117" s="304" t="s">
        <v>29</v>
      </c>
      <c r="D117" s="255"/>
      <c r="E117" s="105"/>
      <c r="F117" s="255"/>
      <c r="G117" s="255"/>
      <c r="H117" s="255"/>
      <c r="I117" s="255"/>
      <c r="J117" s="255"/>
      <c r="K117" s="255"/>
      <c r="L117" s="255"/>
      <c r="M117" s="255"/>
      <c r="N117" s="255"/>
      <c r="O117" s="255"/>
      <c r="P117" s="255"/>
      <c r="Q117" s="255"/>
      <c r="R117" s="241">
        <v>280</v>
      </c>
      <c r="S117" s="105"/>
      <c r="T117" s="105"/>
      <c r="U117" s="105"/>
      <c r="V117" s="105"/>
      <c r="W117" s="213"/>
      <c r="X117" s="104"/>
      <c r="Y117" s="105"/>
      <c r="Z117" s="104"/>
      <c r="AA117" s="104"/>
      <c r="AB117" s="105"/>
      <c r="AC117" s="104"/>
      <c r="AD117" s="104"/>
      <c r="AE117" s="104"/>
      <c r="AF117" s="104"/>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row>
    <row r="118" spans="1:86" x14ac:dyDescent="0.2">
      <c r="A118" s="104"/>
      <c r="B118" s="252"/>
      <c r="C118" s="304" t="s">
        <v>26</v>
      </c>
      <c r="D118" s="255"/>
      <c r="E118" s="105"/>
      <c r="F118" s="255"/>
      <c r="G118" s="255"/>
      <c r="H118" s="255"/>
      <c r="I118" s="255"/>
      <c r="J118" s="255"/>
      <c r="K118" s="255"/>
      <c r="L118" s="255"/>
      <c r="M118" s="255"/>
      <c r="N118" s="255"/>
      <c r="O118" s="255"/>
      <c r="P118" s="255"/>
      <c r="Q118" s="255"/>
      <c r="R118" s="241">
        <v>1190</v>
      </c>
      <c r="S118" s="105"/>
      <c r="T118" s="105"/>
      <c r="U118" s="105"/>
      <c r="V118" s="105"/>
      <c r="W118" s="213"/>
      <c r="X118" s="104"/>
      <c r="Y118" s="105"/>
      <c r="Z118" s="104"/>
      <c r="AA118" s="104"/>
      <c r="AB118" s="105"/>
      <c r="AC118" s="104"/>
      <c r="AD118" s="104"/>
      <c r="AE118" s="104"/>
      <c r="AF118" s="104"/>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row>
    <row r="119" spans="1:86" x14ac:dyDescent="0.2">
      <c r="A119" s="104"/>
      <c r="B119" s="252"/>
      <c r="C119" s="304" t="s">
        <v>70</v>
      </c>
      <c r="D119" s="255"/>
      <c r="E119" s="105"/>
      <c r="F119" s="255"/>
      <c r="G119" s="255"/>
      <c r="H119" s="255"/>
      <c r="I119" s="255"/>
      <c r="J119" s="255"/>
      <c r="K119" s="255"/>
      <c r="L119" s="255"/>
      <c r="M119" s="255"/>
      <c r="N119" s="255"/>
      <c r="O119" s="255"/>
      <c r="P119" s="255"/>
      <c r="Q119" s="255"/>
      <c r="R119" s="241">
        <v>1050</v>
      </c>
      <c r="S119" s="105"/>
      <c r="T119" s="105"/>
      <c r="U119" s="105"/>
      <c r="V119" s="105"/>
      <c r="W119" s="213"/>
      <c r="X119" s="104"/>
      <c r="Y119" s="105"/>
      <c r="Z119" s="104"/>
      <c r="AA119" s="104"/>
      <c r="AB119" s="105"/>
      <c r="AC119" s="104"/>
      <c r="AD119" s="104"/>
      <c r="AE119" s="104"/>
      <c r="AF119" s="104"/>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row>
    <row r="120" spans="1:86" x14ac:dyDescent="0.2">
      <c r="A120" s="104"/>
      <c r="B120" s="135"/>
      <c r="C120" s="196" t="s">
        <v>35</v>
      </c>
      <c r="D120" s="137"/>
      <c r="E120" s="105"/>
      <c r="F120" s="255"/>
      <c r="G120" s="255"/>
      <c r="H120" s="255"/>
      <c r="I120" s="255"/>
      <c r="J120" s="255"/>
      <c r="K120" s="255"/>
      <c r="L120" s="255"/>
      <c r="M120" s="255"/>
      <c r="N120" s="255"/>
      <c r="O120" s="255"/>
      <c r="P120" s="255"/>
      <c r="Q120" s="255"/>
      <c r="R120" s="255" t="s">
        <v>35</v>
      </c>
      <c r="S120" s="105"/>
      <c r="T120" s="105"/>
      <c r="U120" s="105"/>
      <c r="V120" s="105"/>
      <c r="W120" s="213"/>
      <c r="X120" s="104"/>
      <c r="Y120" s="105"/>
      <c r="Z120" s="104"/>
      <c r="AA120" s="104"/>
      <c r="AB120" s="105"/>
      <c r="AC120" s="104"/>
      <c r="AD120" s="104"/>
      <c r="AE120" s="104"/>
      <c r="AF120" s="104"/>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row>
    <row r="121" spans="1:86" s="199" customFormat="1" ht="17.649999999999999" customHeight="1" x14ac:dyDescent="0.25">
      <c r="A121" s="104"/>
      <c r="B121" s="302" t="s">
        <v>751</v>
      </c>
      <c r="C121" s="303"/>
      <c r="D121" s="302"/>
      <c r="E121" s="105"/>
      <c r="F121" s="302"/>
      <c r="G121" s="302"/>
      <c r="H121" s="302"/>
      <c r="I121" s="302"/>
      <c r="J121" s="302"/>
      <c r="K121" s="302"/>
      <c r="L121" s="302"/>
      <c r="M121" s="302"/>
      <c r="N121" s="302"/>
      <c r="O121" s="302"/>
      <c r="P121" s="302"/>
      <c r="Q121" s="302"/>
      <c r="R121" s="302">
        <f>SUM(R106:R119)</f>
        <v>18050</v>
      </c>
      <c r="S121" s="105"/>
      <c r="T121" s="105"/>
      <c r="U121" s="105"/>
      <c r="V121" s="105"/>
      <c r="W121" s="213"/>
      <c r="X121" s="105"/>
      <c r="Y121" s="105"/>
      <c r="Z121" s="104"/>
      <c r="AA121" s="104"/>
      <c r="AB121" s="105"/>
      <c r="AC121" s="104"/>
      <c r="AD121" s="104"/>
      <c r="AE121" s="104"/>
      <c r="AF121" s="104"/>
    </row>
    <row r="122" spans="1:86" x14ac:dyDescent="0.2">
      <c r="A122" s="104"/>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213"/>
      <c r="X122" s="105"/>
      <c r="Y122" s="105"/>
      <c r="Z122" s="104"/>
      <c r="AA122" s="104"/>
      <c r="AB122" s="105"/>
      <c r="AC122" s="104"/>
      <c r="AD122" s="104"/>
      <c r="AE122" s="104"/>
      <c r="AF122" s="104"/>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row>
    <row r="123" spans="1:86" x14ac:dyDescent="0.2">
      <c r="A123" s="104"/>
      <c r="B123" s="302" t="s">
        <v>752</v>
      </c>
      <c r="C123" s="303"/>
      <c r="D123" s="302"/>
      <c r="E123" s="105"/>
      <c r="F123" s="302"/>
      <c r="G123" s="302"/>
      <c r="H123" s="302"/>
      <c r="I123" s="302"/>
      <c r="J123" s="302"/>
      <c r="K123" s="302"/>
      <c r="L123" s="302"/>
      <c r="M123" s="302"/>
      <c r="N123" s="302"/>
      <c r="O123" s="302"/>
      <c r="P123" s="302"/>
      <c r="Q123" s="302"/>
      <c r="R123" s="302">
        <f>R121</f>
        <v>18050</v>
      </c>
      <c r="S123" s="105"/>
      <c r="T123" s="105"/>
      <c r="U123" s="105"/>
      <c r="V123" s="105"/>
      <c r="W123" s="213"/>
      <c r="X123" s="105"/>
      <c r="Y123" s="105"/>
      <c r="Z123" s="104"/>
      <c r="AA123" s="104"/>
      <c r="AB123" s="105"/>
      <c r="AC123" s="104"/>
      <c r="AD123" s="104"/>
      <c r="AE123" s="104"/>
      <c r="AF123" s="104"/>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row>
    <row r="124" spans="1:86" x14ac:dyDescent="0.2">
      <c r="A124" s="104"/>
      <c r="B124" s="105"/>
      <c r="C124" s="104"/>
      <c r="D124" s="105"/>
      <c r="E124" s="105"/>
      <c r="F124" s="105"/>
      <c r="G124" s="105"/>
      <c r="H124" s="105"/>
      <c r="I124" s="105"/>
      <c r="J124" s="105"/>
      <c r="K124" s="105"/>
      <c r="L124" s="105"/>
      <c r="M124" s="105"/>
      <c r="N124" s="105"/>
      <c r="O124" s="105"/>
      <c r="P124" s="105"/>
      <c r="Q124" s="105"/>
      <c r="R124" s="105"/>
      <c r="S124" s="105"/>
      <c r="T124" s="105"/>
      <c r="U124" s="105"/>
      <c r="V124" s="105"/>
      <c r="W124" s="213"/>
      <c r="X124" s="105"/>
      <c r="Y124" s="105"/>
      <c r="Z124" s="104"/>
      <c r="AA124" s="104"/>
      <c r="AB124" s="105"/>
      <c r="AC124" s="104"/>
      <c r="AD124" s="104"/>
      <c r="AE124" s="104"/>
      <c r="AF124" s="104"/>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row>
    <row r="125" spans="1:86" x14ac:dyDescent="0.2">
      <c r="A125" s="104"/>
      <c r="B125" s="105"/>
      <c r="C125" s="104"/>
      <c r="D125" s="105"/>
      <c r="E125" s="105"/>
      <c r="F125" s="105"/>
      <c r="G125" s="105"/>
      <c r="H125" s="105"/>
      <c r="I125" s="105"/>
      <c r="J125" s="105"/>
      <c r="K125" s="105"/>
      <c r="L125" s="105"/>
      <c r="M125" s="105"/>
      <c r="N125" s="105"/>
      <c r="O125" s="105"/>
      <c r="P125" s="105"/>
      <c r="Q125" s="105"/>
      <c r="R125" s="105"/>
      <c r="S125" s="105"/>
      <c r="T125" s="105"/>
      <c r="U125" s="105"/>
      <c r="V125" s="105"/>
      <c r="W125" s="213"/>
      <c r="X125" s="105"/>
      <c r="Y125" s="105"/>
      <c r="Z125" s="104"/>
      <c r="AA125" s="104"/>
      <c r="AB125" s="105"/>
      <c r="AC125" s="104"/>
      <c r="AD125" s="104"/>
      <c r="AE125" s="104"/>
      <c r="AF125" s="104"/>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row>
    <row r="126" spans="1:86" x14ac:dyDescent="0.2">
      <c r="A126" s="104"/>
      <c r="B126" s="105"/>
      <c r="C126" s="104"/>
      <c r="D126" s="105"/>
      <c r="E126" s="105"/>
      <c r="F126" s="105"/>
      <c r="G126" s="105"/>
      <c r="H126" s="105"/>
      <c r="I126" s="105"/>
      <c r="J126" s="105"/>
      <c r="K126" s="105"/>
      <c r="L126" s="105"/>
      <c r="M126" s="105"/>
      <c r="N126" s="105"/>
      <c r="O126" s="105"/>
      <c r="P126" s="105"/>
      <c r="Q126" s="105"/>
      <c r="R126" s="105"/>
      <c r="S126" s="105"/>
      <c r="T126" s="105"/>
      <c r="U126" s="105"/>
      <c r="V126" s="105"/>
      <c r="W126" s="213"/>
      <c r="X126" s="105"/>
      <c r="Y126" s="105"/>
      <c r="Z126" s="105"/>
      <c r="AA126" s="104"/>
      <c r="AB126" s="105"/>
      <c r="AC126" s="104"/>
      <c r="AD126" s="104"/>
      <c r="AE126" s="104"/>
      <c r="AF126" s="104"/>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row>
    <row r="127" spans="1:86" x14ac:dyDescent="0.2">
      <c r="A127" s="104"/>
      <c r="B127" s="105"/>
      <c r="C127" s="104"/>
      <c r="D127" s="105"/>
      <c r="E127" s="105"/>
      <c r="F127" s="105"/>
      <c r="G127" s="105"/>
      <c r="H127" s="105"/>
      <c r="I127" s="105"/>
      <c r="J127" s="105"/>
      <c r="K127" s="105"/>
      <c r="L127" s="105"/>
      <c r="M127" s="105"/>
      <c r="N127" s="105"/>
      <c r="O127" s="105"/>
      <c r="P127" s="105"/>
      <c r="Q127" s="105"/>
      <c r="R127" s="105"/>
      <c r="S127" s="105"/>
      <c r="T127" s="105"/>
      <c r="U127" s="105"/>
      <c r="V127" s="105"/>
      <c r="W127" s="104"/>
      <c r="X127" s="105"/>
      <c r="Y127" s="105"/>
      <c r="Z127" s="105"/>
      <c r="AA127" s="104"/>
      <c r="AB127" s="105"/>
      <c r="AC127" s="104"/>
      <c r="AD127" s="104"/>
      <c r="AE127" s="104"/>
      <c r="AF127" s="104"/>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row>
    <row r="128" spans="1:86" x14ac:dyDescent="0.2">
      <c r="A128" s="104"/>
      <c r="B128" s="105"/>
      <c r="C128" s="104"/>
      <c r="D128" s="105"/>
      <c r="E128" s="105"/>
      <c r="F128" s="105"/>
      <c r="G128" s="105"/>
      <c r="H128" s="105"/>
      <c r="I128" s="105"/>
      <c r="J128" s="105"/>
      <c r="K128" s="105"/>
      <c r="L128" s="105"/>
      <c r="M128" s="105"/>
      <c r="N128" s="105"/>
      <c r="O128" s="105"/>
      <c r="P128" s="105"/>
      <c r="Q128" s="105"/>
      <c r="R128" s="105"/>
      <c r="S128" s="105"/>
      <c r="T128" s="105"/>
      <c r="U128" s="105"/>
      <c r="V128" s="105"/>
      <c r="W128" s="104"/>
      <c r="X128" s="105"/>
      <c r="Y128" s="105"/>
      <c r="Z128" s="105"/>
      <c r="AA128" s="104"/>
      <c r="AB128" s="105"/>
      <c r="AC128" s="104"/>
      <c r="AD128" s="104"/>
      <c r="AE128" s="104"/>
      <c r="AF128" s="104"/>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row>
    <row r="129" spans="1:86" ht="18" x14ac:dyDescent="0.25">
      <c r="A129" s="104"/>
      <c r="B129" s="105"/>
      <c r="C129" s="104"/>
      <c r="D129" s="105"/>
      <c r="E129" s="105"/>
      <c r="F129" s="105"/>
      <c r="G129" s="105"/>
      <c r="H129" s="105"/>
      <c r="I129" s="105"/>
      <c r="J129" s="105"/>
      <c r="K129" s="105"/>
      <c r="L129" s="105"/>
      <c r="M129" s="105"/>
      <c r="N129" s="105"/>
      <c r="O129" s="105"/>
      <c r="P129" s="105"/>
      <c r="Q129" s="105"/>
      <c r="R129" s="105"/>
      <c r="S129" s="105"/>
      <c r="T129" s="105"/>
      <c r="U129" s="105"/>
      <c r="V129" s="105"/>
      <c r="W129" s="104"/>
      <c r="X129" s="105"/>
      <c r="Y129" s="105"/>
      <c r="Z129" s="105"/>
      <c r="AA129" s="104"/>
      <c r="AB129" s="199"/>
      <c r="AC129" s="199"/>
      <c r="AD129" s="199"/>
      <c r="AE129" s="199"/>
      <c r="AF129" s="199"/>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row>
    <row r="130" spans="1:86" x14ac:dyDescent="0.2">
      <c r="A130" s="104"/>
      <c r="B130" s="105"/>
      <c r="C130" s="104"/>
      <c r="D130" s="105"/>
      <c r="E130" s="105"/>
      <c r="F130" s="105"/>
      <c r="G130" s="105"/>
      <c r="H130" s="105"/>
      <c r="I130" s="105"/>
      <c r="J130" s="105"/>
      <c r="K130" s="105"/>
      <c r="L130" s="105"/>
      <c r="M130" s="105"/>
      <c r="N130" s="105"/>
      <c r="O130" s="105"/>
      <c r="P130" s="105"/>
      <c r="Q130" s="105"/>
      <c r="R130" s="105"/>
      <c r="S130" s="105"/>
      <c r="T130" s="105"/>
      <c r="U130" s="105"/>
      <c r="V130" s="105"/>
      <c r="W130" s="104"/>
      <c r="X130" s="213"/>
      <c r="Y130" s="105"/>
      <c r="Z130" s="105"/>
      <c r="AA130" s="104"/>
      <c r="AB130" s="105"/>
      <c r="AC130" s="104"/>
      <c r="AD130" s="104"/>
      <c r="AE130" s="104"/>
      <c r="AF130" s="104"/>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row>
    <row r="131" spans="1:86" x14ac:dyDescent="0.2">
      <c r="A131" s="104"/>
      <c r="B131" s="105"/>
      <c r="C131" s="104"/>
      <c r="D131" s="105"/>
      <c r="E131" s="105"/>
      <c r="F131" s="105"/>
      <c r="G131" s="105"/>
      <c r="H131" s="105"/>
      <c r="I131" s="105"/>
      <c r="J131" s="105"/>
      <c r="K131" s="105"/>
      <c r="L131" s="105"/>
      <c r="M131" s="105"/>
      <c r="N131" s="105"/>
      <c r="O131" s="105"/>
      <c r="P131" s="105"/>
      <c r="Q131" s="105"/>
      <c r="R131" s="105"/>
      <c r="S131" s="105"/>
      <c r="T131" s="105"/>
      <c r="U131" s="105"/>
      <c r="V131" s="105"/>
      <c r="W131" s="104"/>
      <c r="X131" s="213"/>
      <c r="Y131" s="105"/>
      <c r="Z131" s="104"/>
      <c r="AA131" s="104"/>
      <c r="AB131" s="105"/>
      <c r="AC131" s="104"/>
      <c r="AD131" s="104"/>
      <c r="AE131" s="104"/>
      <c r="AF131" s="104"/>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row>
    <row r="132" spans="1:86" ht="18" x14ac:dyDescent="0.25">
      <c r="A132" s="104"/>
      <c r="B132" s="105"/>
      <c r="C132" s="104"/>
      <c r="D132" s="105"/>
      <c r="E132" s="105"/>
      <c r="F132" s="105"/>
      <c r="G132" s="105"/>
      <c r="H132" s="105"/>
      <c r="I132" s="105"/>
      <c r="J132" s="105"/>
      <c r="K132" s="105"/>
      <c r="L132" s="105"/>
      <c r="M132" s="105"/>
      <c r="N132" s="105"/>
      <c r="O132" s="105"/>
      <c r="P132" s="105"/>
      <c r="Q132" s="105"/>
      <c r="R132" s="105"/>
      <c r="S132" s="105"/>
      <c r="T132" s="105"/>
      <c r="U132" s="105"/>
      <c r="V132" s="105"/>
      <c r="W132" s="104"/>
      <c r="X132" s="213"/>
      <c r="Y132" s="200"/>
      <c r="Z132" s="199"/>
      <c r="AA132" s="104"/>
      <c r="AB132" s="105"/>
      <c r="AC132" s="104"/>
      <c r="AD132" s="104"/>
      <c r="AE132" s="104"/>
      <c r="AF132" s="104"/>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row>
    <row r="133" spans="1:86" x14ac:dyDescent="0.2">
      <c r="A133" s="104"/>
      <c r="B133" s="105"/>
      <c r="C133" s="104"/>
      <c r="D133" s="105"/>
      <c r="E133" s="105"/>
      <c r="F133" s="105"/>
      <c r="G133" s="105"/>
      <c r="H133" s="105"/>
      <c r="I133" s="105"/>
      <c r="J133" s="105"/>
      <c r="K133" s="105"/>
      <c r="L133" s="105"/>
      <c r="M133" s="105"/>
      <c r="N133" s="105"/>
      <c r="O133" s="105"/>
      <c r="P133" s="105"/>
      <c r="Q133" s="105"/>
      <c r="R133" s="105"/>
      <c r="S133" s="105"/>
      <c r="T133" s="105"/>
      <c r="U133" s="105"/>
      <c r="V133" s="105"/>
      <c r="W133" s="104"/>
      <c r="X133" s="213"/>
      <c r="Y133" s="105"/>
      <c r="Z133" s="104"/>
      <c r="AA133" s="104"/>
      <c r="AB133" s="105"/>
      <c r="AC133" s="104"/>
      <c r="AD133" s="104"/>
      <c r="AE133" s="104"/>
      <c r="AF133" s="104"/>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row>
    <row r="134" spans="1:86" x14ac:dyDescent="0.2">
      <c r="A134" s="104"/>
      <c r="B134" s="105"/>
      <c r="C134" s="104"/>
      <c r="D134" s="105"/>
      <c r="E134" s="105"/>
      <c r="F134" s="105"/>
      <c r="G134" s="105"/>
      <c r="H134" s="105"/>
      <c r="I134" s="105"/>
      <c r="J134" s="105"/>
      <c r="K134" s="105"/>
      <c r="L134" s="105"/>
      <c r="M134" s="105"/>
      <c r="N134" s="105"/>
      <c r="O134" s="105"/>
      <c r="P134" s="105"/>
      <c r="Q134" s="105"/>
      <c r="R134" s="105"/>
      <c r="S134" s="105"/>
      <c r="T134" s="105"/>
      <c r="U134" s="105"/>
      <c r="V134" s="105"/>
      <c r="W134" s="104"/>
      <c r="X134" s="213"/>
      <c r="Y134" s="105"/>
      <c r="Z134" s="104"/>
      <c r="AA134" s="104"/>
      <c r="AB134" s="105"/>
      <c r="AC134" s="104"/>
      <c r="AD134" s="104"/>
      <c r="AE134" s="104"/>
      <c r="AF134" s="104"/>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row>
    <row r="135" spans="1:86" x14ac:dyDescent="0.2">
      <c r="A135" s="104"/>
      <c r="B135" s="105"/>
      <c r="C135" s="104"/>
      <c r="D135" s="105"/>
      <c r="E135" s="105"/>
      <c r="F135" s="105"/>
      <c r="G135" s="105"/>
      <c r="H135" s="105"/>
      <c r="I135" s="105"/>
      <c r="J135" s="105"/>
      <c r="K135" s="105"/>
      <c r="L135" s="105"/>
      <c r="M135" s="105"/>
      <c r="N135" s="105"/>
      <c r="O135" s="105"/>
      <c r="P135" s="105"/>
      <c r="Q135" s="105"/>
      <c r="R135" s="105"/>
      <c r="S135" s="105"/>
      <c r="T135" s="105"/>
      <c r="U135" s="105"/>
      <c r="V135" s="105"/>
      <c r="W135" s="104"/>
      <c r="X135" s="213"/>
      <c r="Y135" s="105"/>
      <c r="Z135" s="104"/>
      <c r="AA135" s="104"/>
      <c r="AB135" s="105"/>
      <c r="AC135" s="104"/>
      <c r="AD135" s="104"/>
      <c r="AE135" s="104"/>
      <c r="AF135" s="104"/>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row>
    <row r="136" spans="1:86" x14ac:dyDescent="0.2">
      <c r="A136" s="104"/>
      <c r="B136" s="105"/>
      <c r="C136" s="104"/>
      <c r="D136" s="105"/>
      <c r="E136" s="105"/>
      <c r="F136" s="105"/>
      <c r="G136" s="105"/>
      <c r="H136" s="105"/>
      <c r="I136" s="105"/>
      <c r="J136" s="105"/>
      <c r="K136" s="105"/>
      <c r="L136" s="105"/>
      <c r="M136" s="105"/>
      <c r="N136" s="105"/>
      <c r="O136" s="105"/>
      <c r="P136" s="105"/>
      <c r="Q136" s="105"/>
      <c r="R136" s="105"/>
      <c r="S136" s="105"/>
      <c r="T136" s="105"/>
      <c r="U136" s="105"/>
      <c r="V136" s="105"/>
      <c r="W136" s="104"/>
      <c r="X136" s="213"/>
      <c r="Y136" s="104"/>
      <c r="Z136" s="105"/>
      <c r="AA136" s="105"/>
      <c r="AB136" s="105"/>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row>
    <row r="137" spans="1:86" x14ac:dyDescent="0.2">
      <c r="A137" s="104"/>
      <c r="B137" s="105"/>
      <c r="C137" s="104"/>
      <c r="D137" s="105"/>
      <c r="E137" s="105"/>
      <c r="F137" s="105"/>
      <c r="G137" s="105"/>
      <c r="H137" s="105"/>
      <c r="I137" s="105"/>
      <c r="J137" s="105"/>
      <c r="K137" s="105"/>
      <c r="L137" s="105"/>
      <c r="M137" s="105"/>
      <c r="N137" s="105"/>
      <c r="O137" s="105"/>
      <c r="P137" s="105"/>
      <c r="Q137" s="105"/>
      <c r="R137" s="105"/>
      <c r="S137" s="105"/>
      <c r="T137" s="105"/>
      <c r="U137" s="105"/>
      <c r="V137" s="105"/>
      <c r="W137" s="104"/>
      <c r="X137" s="213"/>
      <c r="Y137" s="104"/>
      <c r="Z137" s="105"/>
      <c r="AA137" s="105"/>
      <c r="AB137" s="105"/>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row>
    <row r="138" spans="1:86" x14ac:dyDescent="0.2">
      <c r="A138" s="104"/>
      <c r="B138" s="105"/>
      <c r="C138" s="104"/>
      <c r="D138" s="105"/>
      <c r="E138" s="105"/>
      <c r="F138" s="105"/>
      <c r="G138" s="105"/>
      <c r="H138" s="105"/>
      <c r="I138" s="105"/>
      <c r="J138" s="105"/>
      <c r="K138" s="105"/>
      <c r="L138" s="105"/>
      <c r="M138" s="105"/>
      <c r="N138" s="105"/>
      <c r="O138" s="105"/>
      <c r="P138" s="105"/>
      <c r="Q138" s="105"/>
      <c r="R138" s="105"/>
      <c r="S138" s="105"/>
      <c r="T138" s="105"/>
      <c r="U138" s="105"/>
      <c r="V138" s="105"/>
      <c r="W138" s="104"/>
      <c r="X138" s="213"/>
      <c r="Y138" s="105"/>
      <c r="Z138" s="105"/>
      <c r="AA138" s="104"/>
      <c r="AB138" s="105"/>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row>
    <row r="139" spans="1:86" x14ac:dyDescent="0.2">
      <c r="A139" s="104"/>
      <c r="B139" s="105"/>
      <c r="C139" s="104"/>
      <c r="D139" s="105"/>
      <c r="E139" s="105"/>
      <c r="F139" s="105"/>
      <c r="G139" s="105"/>
      <c r="H139" s="105"/>
      <c r="I139" s="105"/>
      <c r="J139" s="105"/>
      <c r="K139" s="105"/>
      <c r="L139" s="105"/>
      <c r="M139" s="105"/>
      <c r="N139" s="105"/>
      <c r="O139" s="105"/>
      <c r="P139" s="105"/>
      <c r="Q139" s="105"/>
      <c r="R139" s="105"/>
      <c r="S139" s="105"/>
      <c r="T139" s="105"/>
      <c r="U139" s="105"/>
      <c r="V139" s="105"/>
      <c r="W139" s="104"/>
      <c r="X139" s="213"/>
      <c r="Y139" s="105"/>
      <c r="Z139" s="105"/>
      <c r="AA139" s="104"/>
      <c r="AB139" s="105"/>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row>
    <row r="140" spans="1:86" x14ac:dyDescent="0.2">
      <c r="A140" s="104"/>
      <c r="B140" s="105"/>
      <c r="C140" s="104"/>
      <c r="D140" s="105"/>
      <c r="E140" s="105"/>
      <c r="F140" s="105"/>
      <c r="G140" s="105"/>
      <c r="H140" s="105"/>
      <c r="I140" s="105"/>
      <c r="J140" s="105"/>
      <c r="K140" s="105"/>
      <c r="L140" s="105"/>
      <c r="M140" s="105"/>
      <c r="N140" s="105"/>
      <c r="O140" s="105"/>
      <c r="P140" s="105"/>
      <c r="Q140" s="105"/>
      <c r="R140" s="105"/>
      <c r="S140" s="105"/>
      <c r="T140" s="105"/>
      <c r="U140" s="105"/>
      <c r="V140" s="105"/>
      <c r="W140" s="104"/>
      <c r="X140" s="213"/>
      <c r="Y140" s="105"/>
      <c r="Z140" s="105"/>
      <c r="AA140" s="104"/>
      <c r="AB140" s="105"/>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row>
    <row r="141" spans="1:86" x14ac:dyDescent="0.2">
      <c r="A141" s="104"/>
      <c r="B141" s="105"/>
      <c r="C141" s="104"/>
      <c r="D141" s="105"/>
      <c r="E141" s="105"/>
      <c r="F141" s="105"/>
      <c r="G141" s="105"/>
      <c r="H141" s="105"/>
      <c r="I141" s="105"/>
      <c r="J141" s="105"/>
      <c r="K141" s="105"/>
      <c r="L141" s="105"/>
      <c r="M141" s="105"/>
      <c r="N141" s="105"/>
      <c r="O141" s="105"/>
      <c r="P141" s="105"/>
      <c r="Q141" s="105"/>
      <c r="R141" s="105"/>
      <c r="S141" s="105"/>
      <c r="T141" s="105"/>
      <c r="U141" s="105"/>
      <c r="V141" s="105"/>
      <c r="W141" s="104"/>
      <c r="X141" s="213"/>
      <c r="Y141" s="105"/>
      <c r="Z141" s="105"/>
      <c r="AA141" s="104"/>
      <c r="AB141" s="105"/>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row>
    <row r="142" spans="1:86" x14ac:dyDescent="0.2">
      <c r="A142" s="104"/>
      <c r="B142" s="105"/>
      <c r="C142" s="104"/>
      <c r="D142" s="105"/>
      <c r="E142" s="105"/>
      <c r="F142" s="105"/>
      <c r="G142" s="105"/>
      <c r="H142" s="105"/>
      <c r="I142" s="105"/>
      <c r="J142" s="105"/>
      <c r="K142" s="105"/>
      <c r="L142" s="105"/>
      <c r="M142" s="105"/>
      <c r="N142" s="105"/>
      <c r="O142" s="105"/>
      <c r="P142" s="105"/>
      <c r="Q142" s="105"/>
      <c r="R142" s="105"/>
      <c r="S142" s="105"/>
      <c r="T142" s="105"/>
      <c r="U142" s="105"/>
      <c r="V142" s="105"/>
      <c r="W142" s="104"/>
      <c r="X142" s="213"/>
      <c r="Y142" s="105"/>
      <c r="Z142" s="105"/>
      <c r="AA142" s="104"/>
      <c r="AB142" s="105"/>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row>
    <row r="143" spans="1:86" x14ac:dyDescent="0.2">
      <c r="A143" s="104"/>
      <c r="B143" s="105"/>
      <c r="C143" s="104"/>
      <c r="D143" s="105"/>
      <c r="E143" s="105"/>
      <c r="F143" s="105"/>
      <c r="G143" s="105"/>
      <c r="H143" s="105"/>
      <c r="I143" s="105"/>
      <c r="J143" s="105"/>
      <c r="K143" s="105"/>
      <c r="L143" s="105"/>
      <c r="M143" s="105"/>
      <c r="N143" s="105"/>
      <c r="O143" s="105"/>
      <c r="P143" s="105"/>
      <c r="Q143" s="105"/>
      <c r="R143" s="105"/>
      <c r="S143" s="105"/>
      <c r="T143" s="105"/>
      <c r="U143" s="105"/>
      <c r="V143" s="105"/>
      <c r="W143" s="104"/>
      <c r="X143" s="213"/>
      <c r="Y143" s="105"/>
      <c r="Z143" s="105"/>
      <c r="AA143" s="105"/>
      <c r="AB143" s="105"/>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row>
    <row r="144" spans="1:86" x14ac:dyDescent="0.2">
      <c r="A144" s="104"/>
      <c r="B144" s="105"/>
      <c r="C144" s="104"/>
      <c r="D144" s="105"/>
      <c r="E144" s="105"/>
      <c r="F144" s="105"/>
      <c r="G144" s="105"/>
      <c r="H144" s="105"/>
      <c r="I144" s="105"/>
      <c r="J144" s="105"/>
      <c r="K144" s="105"/>
      <c r="L144" s="105"/>
      <c r="M144" s="105"/>
      <c r="N144" s="105"/>
      <c r="O144" s="105"/>
      <c r="P144" s="105"/>
      <c r="Q144" s="105"/>
      <c r="R144" s="105"/>
      <c r="S144" s="105"/>
      <c r="T144" s="105"/>
      <c r="U144" s="105"/>
      <c r="V144" s="105"/>
      <c r="W144" s="104"/>
      <c r="X144" s="213"/>
      <c r="Y144" s="105"/>
      <c r="Z144" s="105"/>
      <c r="AA144" s="105"/>
      <c r="AB144" s="105"/>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row>
    <row r="145" spans="1:86" x14ac:dyDescent="0.2">
      <c r="A145" s="104"/>
      <c r="B145" s="105"/>
      <c r="C145" s="104"/>
      <c r="D145" s="105"/>
      <c r="E145" s="105"/>
      <c r="F145" s="105"/>
      <c r="G145" s="105"/>
      <c r="H145" s="105"/>
      <c r="I145" s="105"/>
      <c r="J145" s="105"/>
      <c r="K145" s="105"/>
      <c r="L145" s="105"/>
      <c r="M145" s="105"/>
      <c r="N145" s="105"/>
      <c r="O145" s="105"/>
      <c r="P145" s="105"/>
      <c r="Q145" s="105"/>
      <c r="R145" s="105"/>
      <c r="S145" s="105"/>
      <c r="T145" s="105"/>
      <c r="U145" s="105"/>
      <c r="V145" s="105"/>
      <c r="W145" s="104"/>
      <c r="X145" s="213"/>
      <c r="Y145" s="105"/>
      <c r="Z145" s="105"/>
      <c r="AA145" s="105"/>
      <c r="AB145" s="105"/>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row>
    <row r="146" spans="1:86" x14ac:dyDescent="0.2">
      <c r="A146" s="104"/>
      <c r="B146" s="105"/>
      <c r="C146" s="104"/>
      <c r="D146" s="105"/>
      <c r="E146" s="105"/>
      <c r="F146" s="105"/>
      <c r="G146" s="105"/>
      <c r="H146" s="105"/>
      <c r="I146" s="105"/>
      <c r="J146" s="105"/>
      <c r="K146" s="105"/>
      <c r="L146" s="105"/>
      <c r="M146" s="105"/>
      <c r="N146" s="105"/>
      <c r="O146" s="105"/>
      <c r="P146" s="105"/>
      <c r="Q146" s="105"/>
      <c r="R146" s="105"/>
      <c r="S146" s="105"/>
      <c r="T146" s="105"/>
      <c r="U146" s="105"/>
      <c r="V146" s="105"/>
      <c r="W146" s="104"/>
      <c r="X146" s="213"/>
      <c r="Y146" s="105"/>
      <c r="Z146" s="105"/>
      <c r="AA146" s="105"/>
      <c r="AB146" s="105"/>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row>
    <row r="147" spans="1:86" x14ac:dyDescent="0.2">
      <c r="A147" s="104"/>
      <c r="B147" s="105"/>
      <c r="C147" s="104"/>
      <c r="D147" s="105"/>
      <c r="E147" s="105"/>
      <c r="F147" s="105"/>
      <c r="G147" s="105"/>
      <c r="H147" s="105"/>
      <c r="I147" s="105"/>
      <c r="J147" s="105"/>
      <c r="K147" s="105"/>
      <c r="L147" s="105"/>
      <c r="M147" s="105"/>
      <c r="N147" s="105"/>
      <c r="O147" s="105"/>
      <c r="P147" s="105"/>
      <c r="Q147" s="105"/>
      <c r="R147" s="105"/>
      <c r="S147" s="105"/>
      <c r="T147" s="105"/>
      <c r="U147" s="105"/>
      <c r="V147" s="105"/>
      <c r="W147" s="104"/>
      <c r="X147" s="213"/>
      <c r="Y147" s="105"/>
      <c r="Z147" s="105"/>
      <c r="AA147" s="105"/>
      <c r="AB147" s="105"/>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row>
    <row r="148" spans="1:86" x14ac:dyDescent="0.2">
      <c r="A148" s="104"/>
      <c r="B148" s="105"/>
      <c r="C148" s="104"/>
      <c r="D148" s="105"/>
      <c r="E148" s="105"/>
      <c r="F148" s="105"/>
      <c r="G148" s="105"/>
      <c r="H148" s="105"/>
      <c r="I148" s="105"/>
      <c r="J148" s="105"/>
      <c r="K148" s="105"/>
      <c r="L148" s="105"/>
      <c r="M148" s="105"/>
      <c r="N148" s="105"/>
      <c r="O148" s="105"/>
      <c r="P148" s="105"/>
      <c r="Q148" s="105"/>
      <c r="R148" s="105"/>
      <c r="S148" s="105"/>
      <c r="T148" s="105"/>
      <c r="U148" s="105"/>
      <c r="V148" s="105"/>
      <c r="W148" s="104"/>
      <c r="X148" s="213"/>
      <c r="Y148" s="105"/>
      <c r="Z148" s="105"/>
      <c r="AA148" s="105"/>
      <c r="AB148" s="104"/>
      <c r="AC148"/>
      <c r="AD148"/>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row>
    <row r="149" spans="1:86" x14ac:dyDescent="0.2">
      <c r="A149" s="104"/>
      <c r="B149" s="105"/>
      <c r="C149" s="104"/>
      <c r="D149" s="105"/>
      <c r="E149" s="105"/>
      <c r="F149" s="105"/>
      <c r="G149" s="105"/>
      <c r="H149" s="105"/>
      <c r="I149" s="105"/>
      <c r="J149" s="105"/>
      <c r="K149" s="105"/>
      <c r="L149" s="105"/>
      <c r="M149" s="105"/>
      <c r="N149" s="105"/>
      <c r="O149" s="105"/>
      <c r="P149" s="105"/>
      <c r="Q149" s="105"/>
      <c r="R149" s="105"/>
      <c r="S149" s="105"/>
      <c r="T149" s="105"/>
      <c r="U149" s="105"/>
      <c r="V149" s="105"/>
      <c r="W149" s="104"/>
      <c r="X149" s="213"/>
      <c r="Y149" s="105"/>
      <c r="Z149" s="105"/>
      <c r="AA149" s="105"/>
      <c r="AB149" s="104"/>
      <c r="AC149"/>
      <c r="AD149"/>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row>
    <row r="150" spans="1:86" x14ac:dyDescent="0.2">
      <c r="A150" s="104"/>
      <c r="B150" s="105"/>
      <c r="C150" s="104"/>
      <c r="D150" s="105"/>
      <c r="E150" s="105"/>
      <c r="F150" s="105"/>
      <c r="G150" s="105"/>
      <c r="H150" s="105"/>
      <c r="I150" s="105"/>
      <c r="J150" s="105"/>
      <c r="K150" s="105"/>
      <c r="L150" s="105"/>
      <c r="M150" s="105"/>
      <c r="N150" s="105"/>
      <c r="O150" s="105"/>
      <c r="P150" s="105"/>
      <c r="Q150" s="105"/>
      <c r="R150" s="105"/>
      <c r="S150" s="105"/>
      <c r="T150" s="105"/>
      <c r="U150" s="105"/>
      <c r="V150" s="105"/>
      <c r="W150" s="104"/>
      <c r="X150" s="213"/>
      <c r="Y150" s="105"/>
      <c r="Z150" s="105"/>
      <c r="AA150" s="105"/>
      <c r="AB150" s="104"/>
      <c r="AC150"/>
      <c r="AD150"/>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row>
    <row r="151" spans="1:86" x14ac:dyDescent="0.2">
      <c r="A151" s="104"/>
      <c r="B151" s="105"/>
      <c r="C151" s="104"/>
      <c r="D151" s="105"/>
      <c r="E151" s="105"/>
      <c r="F151" s="105"/>
      <c r="G151" s="105"/>
      <c r="H151" s="105"/>
      <c r="I151" s="105"/>
      <c r="J151" s="105"/>
      <c r="K151" s="105"/>
      <c r="L151" s="105"/>
      <c r="M151" s="105"/>
      <c r="N151" s="105"/>
      <c r="O151" s="105"/>
      <c r="P151" s="105"/>
      <c r="Q151" s="105"/>
      <c r="R151" s="105"/>
      <c r="S151" s="105"/>
      <c r="T151" s="105"/>
      <c r="U151" s="105"/>
      <c r="V151" s="105"/>
      <c r="W151" s="104"/>
      <c r="X151" s="213"/>
      <c r="Y151" s="105"/>
      <c r="Z151" s="105"/>
      <c r="AA151" s="105"/>
      <c r="AB151" s="104"/>
      <c r="AC151"/>
      <c r="AD151"/>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row>
    <row r="152" spans="1:86" x14ac:dyDescent="0.2">
      <c r="A152" s="104"/>
      <c r="B152" s="105"/>
      <c r="C152" s="104"/>
      <c r="D152" s="105"/>
      <c r="E152" s="105"/>
      <c r="F152" s="105"/>
      <c r="G152" s="105"/>
      <c r="H152" s="105"/>
      <c r="I152" s="105"/>
      <c r="J152" s="105"/>
      <c r="K152" s="105"/>
      <c r="L152" s="105"/>
      <c r="M152" s="105"/>
      <c r="N152" s="105"/>
      <c r="O152" s="105"/>
      <c r="P152" s="105"/>
      <c r="Q152" s="105"/>
      <c r="R152" s="105"/>
      <c r="S152" s="105"/>
      <c r="T152" s="105"/>
      <c r="U152" s="105"/>
      <c r="V152" s="105"/>
      <c r="W152" s="104"/>
      <c r="X152" s="213"/>
      <c r="Y152" s="105"/>
      <c r="Z152" s="105"/>
      <c r="AA152" s="105"/>
      <c r="AB152" s="104"/>
      <c r="AC152"/>
      <c r="AD152"/>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row>
    <row r="153" spans="1:86" x14ac:dyDescent="0.2">
      <c r="A153" s="104"/>
      <c r="B153" s="105"/>
      <c r="C153" s="104"/>
      <c r="D153" s="105"/>
      <c r="E153" s="105"/>
      <c r="F153" s="105"/>
      <c r="G153" s="105"/>
      <c r="H153" s="105"/>
      <c r="I153" s="105"/>
      <c r="J153" s="105"/>
      <c r="K153" s="105"/>
      <c r="L153" s="105"/>
      <c r="M153" s="105"/>
      <c r="N153" s="105"/>
      <c r="O153" s="105"/>
      <c r="P153" s="105"/>
      <c r="Q153" s="105"/>
      <c r="R153" s="105"/>
      <c r="S153" s="105"/>
      <c r="T153" s="105"/>
      <c r="U153" s="105"/>
      <c r="V153" s="105"/>
      <c r="W153" s="104"/>
      <c r="X153" s="213"/>
      <c r="Y153" s="105"/>
      <c r="Z153" s="105"/>
      <c r="AA153" s="105"/>
      <c r="AB153" s="104"/>
      <c r="AC153"/>
      <c r="AD153"/>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row>
    <row r="154" spans="1:86" x14ac:dyDescent="0.2">
      <c r="A154" s="104"/>
      <c r="B154" s="105"/>
      <c r="C154" s="104"/>
      <c r="D154" s="105"/>
      <c r="E154" s="105"/>
      <c r="F154" s="105"/>
      <c r="G154" s="105"/>
      <c r="H154" s="105"/>
      <c r="I154" s="105"/>
      <c r="J154" s="105"/>
      <c r="K154" s="105"/>
      <c r="L154" s="105"/>
      <c r="M154" s="105"/>
      <c r="N154" s="105"/>
      <c r="O154" s="105"/>
      <c r="P154" s="105"/>
      <c r="Q154" s="105"/>
      <c r="R154" s="105"/>
      <c r="S154" s="105"/>
      <c r="T154" s="105"/>
      <c r="U154" s="105"/>
      <c r="V154" s="105"/>
      <c r="W154" s="104"/>
      <c r="X154" s="213"/>
      <c r="Y154" s="105"/>
      <c r="Z154" s="105"/>
      <c r="AA154" s="105"/>
      <c r="AB154" s="104"/>
      <c r="AC154"/>
      <c r="AD15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row>
    <row r="155" spans="1:86" x14ac:dyDescent="0.2">
      <c r="A155" s="104"/>
      <c r="B155" s="105"/>
      <c r="C155" s="104"/>
      <c r="D155" s="105"/>
      <c r="E155" s="105"/>
      <c r="F155" s="105"/>
      <c r="G155" s="105"/>
      <c r="H155" s="105"/>
      <c r="I155" s="105"/>
      <c r="J155" s="105"/>
      <c r="K155" s="105"/>
      <c r="L155" s="105"/>
      <c r="M155" s="105"/>
      <c r="N155" s="105"/>
      <c r="O155" s="105"/>
      <c r="P155" s="105"/>
      <c r="Q155" s="105"/>
      <c r="R155" s="105"/>
      <c r="S155" s="105"/>
      <c r="T155" s="105"/>
      <c r="U155" s="105"/>
      <c r="V155" s="105"/>
      <c r="W155" s="104"/>
      <c r="X155" s="213"/>
      <c r="Y155" s="105"/>
      <c r="Z155" s="105"/>
      <c r="AA155" s="105"/>
      <c r="AB155" s="104"/>
      <c r="AC155"/>
      <c r="AD155"/>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row>
    <row r="156" spans="1:86" x14ac:dyDescent="0.2">
      <c r="A156" s="104"/>
      <c r="B156" s="105"/>
      <c r="C156" s="104"/>
      <c r="D156" s="105"/>
      <c r="E156" s="105"/>
      <c r="F156" s="105"/>
      <c r="G156" s="105"/>
      <c r="H156" s="105"/>
      <c r="I156" s="105"/>
      <c r="J156" s="105"/>
      <c r="K156" s="105"/>
      <c r="L156" s="105"/>
      <c r="M156" s="105"/>
      <c r="N156" s="105"/>
      <c r="O156" s="105"/>
      <c r="P156" s="105"/>
      <c r="Q156" s="105"/>
      <c r="R156" s="105"/>
      <c r="S156" s="105"/>
      <c r="T156" s="105"/>
      <c r="U156" s="105"/>
      <c r="V156" s="105"/>
      <c r="W156" s="104"/>
      <c r="X156" s="213"/>
      <c r="Y156" s="105"/>
      <c r="Z156" s="105"/>
      <c r="AA156" s="105"/>
      <c r="AB156" s="104"/>
      <c r="AC156"/>
      <c r="AD156"/>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row>
    <row r="157" spans="1:86" x14ac:dyDescent="0.2">
      <c r="A157" s="104"/>
      <c r="B157" s="105"/>
      <c r="C157" s="104"/>
      <c r="D157" s="105"/>
      <c r="E157" s="105"/>
      <c r="F157" s="105"/>
      <c r="G157" s="105"/>
      <c r="H157" s="105"/>
      <c r="I157" s="105"/>
      <c r="J157" s="105"/>
      <c r="K157" s="105"/>
      <c r="L157" s="105"/>
      <c r="M157" s="105"/>
      <c r="N157" s="105"/>
      <c r="O157" s="105"/>
      <c r="P157" s="105"/>
      <c r="Q157" s="105"/>
      <c r="R157" s="105"/>
      <c r="S157" s="105"/>
      <c r="T157" s="105"/>
      <c r="U157" s="105"/>
      <c r="V157" s="105"/>
      <c r="W157" s="104"/>
      <c r="X157" s="213"/>
      <c r="Y157" s="105"/>
      <c r="Z157" s="105"/>
      <c r="AA157" s="105"/>
      <c r="AB157" s="104"/>
      <c r="AC157"/>
      <c r="AD157"/>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row>
    <row r="158" spans="1:86" x14ac:dyDescent="0.2">
      <c r="A158" s="104"/>
      <c r="B158" s="105"/>
      <c r="C158" s="104"/>
      <c r="D158" s="105"/>
      <c r="E158" s="105"/>
      <c r="F158" s="105"/>
      <c r="G158" s="105"/>
      <c r="H158" s="105"/>
      <c r="I158" s="105"/>
      <c r="J158" s="105"/>
      <c r="K158" s="105"/>
      <c r="L158" s="105"/>
      <c r="M158" s="105"/>
      <c r="N158" s="105"/>
      <c r="O158" s="105"/>
      <c r="P158" s="105"/>
      <c r="Q158" s="105"/>
      <c r="R158" s="105"/>
      <c r="S158" s="105"/>
      <c r="T158" s="105"/>
      <c r="U158" s="105"/>
      <c r="V158" s="105"/>
      <c r="W158" s="104"/>
      <c r="X158" s="213"/>
      <c r="Y158" s="105"/>
      <c r="Z158" s="105"/>
      <c r="AA158" s="105"/>
      <c r="AB158" s="104"/>
      <c r="AC158"/>
      <c r="AD158"/>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row>
    <row r="159" spans="1:86" x14ac:dyDescent="0.2">
      <c r="A159" s="104"/>
      <c r="B159" s="105"/>
      <c r="C159" s="104"/>
      <c r="D159" s="105"/>
      <c r="E159" s="105"/>
      <c r="F159" s="105"/>
      <c r="G159" s="105"/>
      <c r="H159" s="105"/>
      <c r="I159" s="105"/>
      <c r="J159" s="105"/>
      <c r="K159" s="105"/>
      <c r="L159" s="105"/>
      <c r="M159" s="105"/>
      <c r="N159" s="105"/>
      <c r="O159" s="105"/>
      <c r="P159" s="105"/>
      <c r="Q159" s="105"/>
      <c r="R159" s="105"/>
      <c r="S159" s="105"/>
      <c r="T159" s="105"/>
      <c r="U159" s="105"/>
      <c r="V159" s="105"/>
      <c r="W159" s="104"/>
      <c r="X159" s="213"/>
      <c r="Y159" s="105"/>
      <c r="Z159" s="105"/>
      <c r="AA159" s="105"/>
      <c r="AB159" s="104"/>
      <c r="AC159"/>
      <c r="AD159"/>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row>
    <row r="160" spans="1:86" x14ac:dyDescent="0.2">
      <c r="A160" s="104"/>
      <c r="B160" s="105"/>
      <c r="C160" s="104"/>
      <c r="D160" s="105"/>
      <c r="E160" s="105"/>
      <c r="F160" s="105"/>
      <c r="G160" s="105"/>
      <c r="H160" s="105"/>
      <c r="I160" s="105"/>
      <c r="J160" s="105"/>
      <c r="K160" s="105"/>
      <c r="L160" s="105"/>
      <c r="M160" s="105"/>
      <c r="N160" s="105"/>
      <c r="O160" s="105"/>
      <c r="P160" s="105"/>
      <c r="Q160" s="105"/>
      <c r="R160" s="105"/>
      <c r="S160" s="105"/>
      <c r="T160" s="105"/>
      <c r="U160" s="105"/>
      <c r="V160" s="105"/>
      <c r="W160" s="104"/>
      <c r="X160" s="213"/>
      <c r="Y160" s="105"/>
      <c r="Z160" s="105"/>
      <c r="AA160" s="105"/>
      <c r="AB160" s="104"/>
      <c r="AC160"/>
      <c r="AD160"/>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row>
    <row r="161" spans="1:86" x14ac:dyDescent="0.2">
      <c r="A161" s="104"/>
      <c r="B161" s="105"/>
      <c r="C161" s="104"/>
      <c r="D161" s="105"/>
      <c r="E161" s="105"/>
      <c r="F161" s="105"/>
      <c r="G161" s="105"/>
      <c r="H161" s="105"/>
      <c r="I161" s="105"/>
      <c r="J161" s="105"/>
      <c r="K161" s="105"/>
      <c r="L161" s="105"/>
      <c r="M161" s="105"/>
      <c r="N161" s="105"/>
      <c r="O161" s="105"/>
      <c r="P161" s="105"/>
      <c r="Q161" s="105"/>
      <c r="R161" s="105"/>
      <c r="S161" s="105"/>
      <c r="T161" s="105"/>
      <c r="U161" s="105"/>
      <c r="V161" s="105"/>
      <c r="W161" s="104"/>
      <c r="X161" s="213"/>
      <c r="Y161" s="105"/>
      <c r="Z161" s="105"/>
      <c r="AA161" s="105"/>
      <c r="AB161" s="104"/>
      <c r="AC161"/>
      <c r="AD161"/>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row>
    <row r="162" spans="1:86" x14ac:dyDescent="0.2">
      <c r="A162" s="104"/>
      <c r="B162" s="105"/>
      <c r="C162" s="104"/>
      <c r="D162" s="105"/>
      <c r="E162" s="105"/>
      <c r="F162" s="105"/>
      <c r="G162" s="105"/>
      <c r="H162" s="105"/>
      <c r="I162" s="105"/>
      <c r="J162" s="105"/>
      <c r="K162" s="105"/>
      <c r="L162" s="105"/>
      <c r="M162" s="105"/>
      <c r="N162" s="105"/>
      <c r="O162" s="105"/>
      <c r="P162" s="105"/>
      <c r="Q162" s="105"/>
      <c r="R162" s="105"/>
      <c r="S162" s="105"/>
      <c r="T162" s="105"/>
      <c r="U162" s="105"/>
      <c r="V162" s="105"/>
      <c r="W162" s="104"/>
      <c r="X162" s="213"/>
      <c r="Y162" s="105"/>
      <c r="Z162" s="105"/>
      <c r="AA162" s="105"/>
      <c r="AB162" s="104"/>
      <c r="AC162"/>
      <c r="AD162"/>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row>
    <row r="163" spans="1:86" x14ac:dyDescent="0.2">
      <c r="A163" s="104"/>
      <c r="B163" s="105"/>
      <c r="C163" s="104"/>
      <c r="D163" s="105"/>
      <c r="E163" s="105"/>
      <c r="F163" s="105"/>
      <c r="G163" s="105"/>
      <c r="H163" s="105"/>
      <c r="I163" s="105"/>
      <c r="J163" s="105"/>
      <c r="K163" s="105"/>
      <c r="L163" s="105"/>
      <c r="M163" s="105"/>
      <c r="N163" s="105"/>
      <c r="O163" s="105"/>
      <c r="P163" s="105"/>
      <c r="Q163" s="105"/>
      <c r="R163" s="105"/>
      <c r="S163" s="105"/>
      <c r="T163" s="105"/>
      <c r="U163" s="105"/>
      <c r="V163" s="105"/>
      <c r="W163" s="104"/>
      <c r="X163" s="213"/>
      <c r="Y163" s="105"/>
      <c r="Z163" s="105"/>
      <c r="AA163" s="105"/>
      <c r="AB163" s="104"/>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row>
    <row r="164" spans="1:86" x14ac:dyDescent="0.2">
      <c r="A164" s="104"/>
      <c r="B164" s="105"/>
      <c r="C164" s="104"/>
      <c r="D164" s="105"/>
      <c r="E164" s="105"/>
      <c r="F164" s="105"/>
      <c r="G164" s="105"/>
      <c r="H164" s="105"/>
      <c r="I164" s="105"/>
      <c r="J164" s="105"/>
      <c r="K164" s="105"/>
      <c r="L164" s="105"/>
      <c r="M164" s="105"/>
      <c r="N164" s="105"/>
      <c r="O164" s="105"/>
      <c r="P164" s="105"/>
      <c r="Q164" s="105"/>
      <c r="R164" s="105"/>
      <c r="S164" s="105"/>
      <c r="T164" s="105"/>
      <c r="U164" s="105"/>
      <c r="V164" s="105"/>
      <c r="W164" s="104"/>
      <c r="X164" s="213"/>
      <c r="Y164" s="105"/>
      <c r="Z164" s="105"/>
      <c r="AA164" s="105"/>
      <c r="AB164" s="104"/>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row>
    <row r="165" spans="1:86" x14ac:dyDescent="0.2">
      <c r="A165" s="104"/>
      <c r="B165" s="105"/>
      <c r="C165" s="104"/>
      <c r="D165" s="105"/>
      <c r="E165" s="105"/>
      <c r="F165" s="105"/>
      <c r="G165" s="105"/>
      <c r="H165" s="105"/>
      <c r="I165" s="105"/>
      <c r="J165" s="105"/>
      <c r="K165" s="105"/>
      <c r="L165" s="105"/>
      <c r="M165" s="105"/>
      <c r="N165" s="105"/>
      <c r="O165" s="105"/>
      <c r="P165" s="105"/>
      <c r="Q165" s="105"/>
      <c r="R165" s="105"/>
      <c r="S165" s="105"/>
      <c r="T165" s="105"/>
      <c r="U165" s="105"/>
      <c r="V165" s="105"/>
      <c r="W165" s="104"/>
      <c r="X165" s="213"/>
      <c r="Y165" s="105"/>
      <c r="Z165" s="105"/>
      <c r="AA165" s="105"/>
      <c r="AB165" s="104"/>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row>
    <row r="166" spans="1:86" x14ac:dyDescent="0.2">
      <c r="A166" s="104"/>
      <c r="B166" s="105"/>
      <c r="C166" s="104"/>
      <c r="D166" s="105"/>
      <c r="E166" s="105"/>
      <c r="F166" s="105"/>
      <c r="G166" s="105"/>
      <c r="H166" s="105"/>
      <c r="I166" s="105"/>
      <c r="J166" s="105"/>
      <c r="K166" s="105"/>
      <c r="L166" s="105"/>
      <c r="M166" s="105"/>
      <c r="N166" s="105"/>
      <c r="O166" s="105"/>
      <c r="P166" s="105"/>
      <c r="Q166" s="105"/>
      <c r="R166" s="105"/>
      <c r="S166" s="105"/>
      <c r="T166" s="105"/>
      <c r="U166" s="105"/>
      <c r="V166" s="105"/>
      <c r="W166" s="104"/>
      <c r="X166" s="213"/>
      <c r="Y166" s="105"/>
      <c r="Z166" s="105"/>
      <c r="AA166" s="105"/>
      <c r="AB166" s="104"/>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row>
    <row r="167" spans="1:86" x14ac:dyDescent="0.2">
      <c r="A167" s="104"/>
      <c r="B167" s="105"/>
      <c r="C167" s="104"/>
      <c r="D167" s="105"/>
      <c r="E167" s="105"/>
      <c r="F167" s="105"/>
      <c r="G167" s="105"/>
      <c r="H167" s="105"/>
      <c r="I167" s="105"/>
      <c r="J167" s="105"/>
      <c r="K167" s="105"/>
      <c r="L167" s="105"/>
      <c r="M167" s="105"/>
      <c r="N167" s="105"/>
      <c r="O167" s="105"/>
      <c r="P167" s="105"/>
      <c r="Q167" s="105"/>
      <c r="R167" s="105"/>
      <c r="S167" s="105"/>
      <c r="T167" s="105"/>
      <c r="U167" s="105"/>
      <c r="V167" s="105"/>
      <c r="W167" s="104"/>
      <c r="X167" s="213"/>
      <c r="Y167" s="105"/>
      <c r="Z167" s="105"/>
      <c r="AA167" s="105"/>
      <c r="AB167" s="104"/>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row>
    <row r="168" spans="1:86" x14ac:dyDescent="0.2">
      <c r="A168" s="104"/>
      <c r="B168" s="105"/>
      <c r="C168" s="104"/>
      <c r="D168" s="105"/>
      <c r="E168" s="105"/>
      <c r="F168" s="105"/>
      <c r="G168" s="105"/>
      <c r="H168" s="105"/>
      <c r="I168" s="105"/>
      <c r="J168" s="105"/>
      <c r="K168" s="105"/>
      <c r="L168" s="105"/>
      <c r="M168" s="105"/>
      <c r="N168" s="105"/>
      <c r="O168" s="105"/>
      <c r="P168" s="105"/>
      <c r="Q168" s="105"/>
      <c r="R168" s="105"/>
      <c r="S168" s="105"/>
      <c r="T168" s="105"/>
      <c r="U168" s="105"/>
      <c r="V168" s="105"/>
      <c r="W168" s="104"/>
      <c r="X168" s="213"/>
      <c r="Y168" s="105"/>
      <c r="Z168" s="105"/>
      <c r="AA168" s="105"/>
      <c r="AB168" s="104"/>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row>
    <row r="169" spans="1:86" x14ac:dyDescent="0.2">
      <c r="A169" s="104"/>
      <c r="B169" s="105"/>
      <c r="C169" s="104"/>
      <c r="D169" s="105"/>
      <c r="E169" s="105"/>
      <c r="F169" s="105"/>
      <c r="G169" s="105"/>
      <c r="H169" s="105"/>
      <c r="I169" s="105"/>
      <c r="J169" s="105"/>
      <c r="K169" s="105"/>
      <c r="L169" s="105"/>
      <c r="M169" s="105"/>
      <c r="N169" s="105"/>
      <c r="O169" s="105"/>
      <c r="P169" s="105"/>
      <c r="Q169" s="105"/>
      <c r="R169" s="105"/>
      <c r="S169" s="105"/>
      <c r="T169" s="105"/>
      <c r="U169" s="105"/>
      <c r="V169" s="105"/>
      <c r="W169" s="104"/>
      <c r="X169" s="213"/>
      <c r="Y169" s="105"/>
      <c r="Z169" s="105"/>
      <c r="AA169" s="105"/>
      <c r="AB169" s="104"/>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row>
    <row r="170" spans="1:86" x14ac:dyDescent="0.2">
      <c r="A170" s="104"/>
      <c r="B170" s="105"/>
      <c r="C170" s="104"/>
      <c r="D170" s="105"/>
      <c r="E170" s="105"/>
      <c r="F170" s="105"/>
      <c r="G170" s="105"/>
      <c r="H170" s="105"/>
      <c r="I170" s="105"/>
      <c r="J170" s="105"/>
      <c r="K170" s="105"/>
      <c r="L170" s="105"/>
      <c r="M170" s="105"/>
      <c r="N170" s="105"/>
      <c r="O170" s="105"/>
      <c r="P170" s="105"/>
      <c r="Q170" s="105"/>
      <c r="R170" s="105"/>
      <c r="S170" s="105"/>
      <c r="T170" s="105"/>
      <c r="U170" s="105"/>
      <c r="V170" s="105"/>
      <c r="W170" s="104"/>
      <c r="X170" s="213"/>
      <c r="Y170" s="105"/>
      <c r="Z170" s="105"/>
      <c r="AA170" s="105"/>
      <c r="AB170" s="104"/>
      <c r="AC170" s="104"/>
      <c r="AD170" s="104"/>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row>
    <row r="171" spans="1:86" x14ac:dyDescent="0.2">
      <c r="A171" s="104"/>
      <c r="B171" s="105"/>
      <c r="C171" s="104"/>
      <c r="D171" s="105"/>
      <c r="E171" s="105"/>
      <c r="F171" s="105"/>
      <c r="G171" s="105"/>
      <c r="H171" s="105"/>
      <c r="I171" s="105"/>
      <c r="J171" s="105"/>
      <c r="K171" s="105"/>
      <c r="L171" s="105"/>
      <c r="M171" s="105"/>
      <c r="N171" s="105"/>
      <c r="O171" s="105"/>
      <c r="P171" s="105"/>
      <c r="Q171" s="105"/>
      <c r="R171" s="105"/>
      <c r="S171" s="105"/>
      <c r="T171" s="105"/>
      <c r="U171" s="105"/>
      <c r="V171" s="105"/>
      <c r="W171" s="104"/>
      <c r="X171" s="213"/>
      <c r="Y171" s="105"/>
      <c r="Z171" s="105"/>
      <c r="AA171" s="105"/>
      <c r="AB171" s="104"/>
      <c r="AC171" s="104"/>
      <c r="AD171" s="104"/>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row>
    <row r="172" spans="1:86" x14ac:dyDescent="0.2">
      <c r="A172" s="104"/>
      <c r="B172" s="105"/>
      <c r="C172" s="104"/>
      <c r="D172" s="105"/>
      <c r="E172" s="105"/>
      <c r="F172" s="105"/>
      <c r="G172" s="105"/>
      <c r="H172" s="105"/>
      <c r="I172" s="105"/>
      <c r="J172" s="105"/>
      <c r="K172" s="105"/>
      <c r="L172" s="105"/>
      <c r="M172" s="105"/>
      <c r="N172" s="105"/>
      <c r="O172" s="105"/>
      <c r="P172" s="105"/>
      <c r="Q172" s="105"/>
      <c r="R172" s="105"/>
      <c r="S172" s="105"/>
      <c r="T172" s="105"/>
      <c r="U172" s="105"/>
      <c r="V172" s="105"/>
      <c r="W172" s="104"/>
      <c r="X172" s="213"/>
      <c r="Y172" s="105"/>
      <c r="Z172" s="105"/>
      <c r="AA172" s="105"/>
      <c r="AB172" s="104"/>
      <c r="AC172" s="104"/>
      <c r="AD172" s="104"/>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row>
    <row r="173" spans="1:86" x14ac:dyDescent="0.2">
      <c r="A173" s="104"/>
      <c r="B173" s="105"/>
      <c r="C173" s="104"/>
      <c r="D173" s="105"/>
      <c r="E173" s="105"/>
      <c r="F173" s="105"/>
      <c r="G173" s="105"/>
      <c r="H173" s="105"/>
      <c r="I173" s="105"/>
      <c r="J173" s="105"/>
      <c r="K173" s="105"/>
      <c r="L173" s="105"/>
      <c r="M173" s="105"/>
      <c r="N173" s="105"/>
      <c r="O173" s="105"/>
      <c r="P173" s="105"/>
      <c r="Q173" s="105"/>
      <c r="R173" s="105"/>
      <c r="S173" s="105"/>
      <c r="T173" s="105"/>
      <c r="U173" s="105"/>
      <c r="V173" s="105"/>
      <c r="W173" s="104"/>
      <c r="X173" s="213"/>
      <c r="Y173" s="105"/>
      <c r="Z173" s="105"/>
      <c r="AA173" s="105"/>
      <c r="AB173" s="104"/>
      <c r="AC173" s="104"/>
      <c r="AD173" s="104"/>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row>
    <row r="174" spans="1:86" x14ac:dyDescent="0.2">
      <c r="A174" s="104"/>
      <c r="B174" s="105"/>
      <c r="C174" s="104"/>
      <c r="D174" s="105"/>
      <c r="E174" s="105"/>
      <c r="F174" s="105"/>
      <c r="G174" s="105"/>
      <c r="H174" s="105"/>
      <c r="I174" s="105"/>
      <c r="J174" s="105"/>
      <c r="K174" s="105"/>
      <c r="L174" s="105"/>
      <c r="M174" s="105"/>
      <c r="N174" s="105"/>
      <c r="O174" s="105"/>
      <c r="P174" s="105"/>
      <c r="Q174" s="105"/>
      <c r="R174" s="105"/>
      <c r="S174" s="105"/>
      <c r="T174" s="105"/>
      <c r="U174" s="105"/>
      <c r="V174" s="105"/>
      <c r="W174" s="104"/>
      <c r="X174" s="213"/>
      <c r="Y174" s="105"/>
      <c r="Z174" s="105"/>
      <c r="AA174" s="105"/>
      <c r="AB174" s="104"/>
      <c r="AC174" s="104"/>
      <c r="AD174" s="10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row>
    <row r="175" spans="1:86" x14ac:dyDescent="0.2">
      <c r="A175" s="104"/>
      <c r="B175" s="105"/>
      <c r="C175" s="104"/>
      <c r="D175" s="105"/>
      <c r="E175" s="105"/>
      <c r="F175" s="105"/>
      <c r="G175" s="105"/>
      <c r="H175" s="105"/>
      <c r="I175" s="105"/>
      <c r="J175" s="105"/>
      <c r="K175" s="105"/>
      <c r="L175" s="105"/>
      <c r="M175" s="105"/>
      <c r="N175" s="105"/>
      <c r="O175" s="105"/>
      <c r="P175" s="105"/>
      <c r="Q175" s="105"/>
      <c r="R175" s="105"/>
      <c r="S175" s="105"/>
      <c r="T175" s="105"/>
      <c r="U175" s="105"/>
      <c r="V175" s="105"/>
      <c r="W175" s="104"/>
      <c r="X175" s="213"/>
      <c r="Y175" s="105"/>
      <c r="Z175" s="105"/>
      <c r="AA175" s="105"/>
      <c r="AB175" s="104"/>
      <c r="AC175" s="104"/>
      <c r="AD175" s="104"/>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row>
    <row r="176" spans="1:86" x14ac:dyDescent="0.2">
      <c r="A176" s="104"/>
      <c r="B176" s="105"/>
      <c r="C176" s="104"/>
      <c r="D176" s="105"/>
      <c r="E176" s="105"/>
      <c r="F176" s="105"/>
      <c r="G176" s="105"/>
      <c r="H176" s="105"/>
      <c r="I176" s="105"/>
      <c r="J176" s="105"/>
      <c r="K176" s="105"/>
      <c r="L176" s="105"/>
      <c r="M176" s="105"/>
      <c r="N176" s="105"/>
      <c r="O176" s="105"/>
      <c r="P176" s="105"/>
      <c r="Q176" s="105"/>
      <c r="R176" s="105"/>
      <c r="S176" s="105"/>
      <c r="T176" s="105"/>
      <c r="U176" s="105"/>
      <c r="V176" s="105"/>
      <c r="W176" s="104"/>
      <c r="X176" s="213"/>
      <c r="Y176" s="105"/>
      <c r="Z176" s="105"/>
      <c r="AA176" s="105"/>
      <c r="AB176" s="104"/>
      <c r="AC176" s="104"/>
      <c r="AD176" s="104"/>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row>
    <row r="177" spans="1:32" x14ac:dyDescent="0.2">
      <c r="A177" s="104"/>
      <c r="B177" s="105"/>
      <c r="C177" s="104"/>
      <c r="D177" s="105"/>
      <c r="E177" s="105"/>
      <c r="F177" s="105"/>
      <c r="G177" s="105"/>
      <c r="H177" s="105"/>
      <c r="I177" s="105"/>
      <c r="J177" s="105"/>
      <c r="K177" s="105"/>
      <c r="L177" s="105"/>
      <c r="M177" s="105"/>
      <c r="N177" s="105"/>
      <c r="O177" s="105"/>
      <c r="P177" s="105"/>
      <c r="Q177" s="105"/>
      <c r="R177" s="105"/>
      <c r="S177" s="105"/>
      <c r="T177" s="105"/>
      <c r="U177" s="105"/>
      <c r="V177" s="105"/>
      <c r="W177" s="104"/>
      <c r="X177" s="213"/>
      <c r="Y177" s="105"/>
      <c r="Z177" s="105"/>
      <c r="AA177" s="105"/>
      <c r="AB177" s="104"/>
      <c r="AC177" s="104"/>
      <c r="AD177" s="104"/>
      <c r="AE177" s="104"/>
      <c r="AF177" s="104"/>
    </row>
    <row r="178" spans="1:32" x14ac:dyDescent="0.2">
      <c r="A178" s="104"/>
      <c r="B178" s="105"/>
      <c r="C178" s="104"/>
      <c r="D178" s="105"/>
      <c r="E178" s="105"/>
      <c r="F178" s="105"/>
      <c r="G178" s="105"/>
      <c r="H178" s="105"/>
      <c r="I178" s="105"/>
      <c r="J178" s="105"/>
      <c r="K178" s="105"/>
      <c r="L178" s="105"/>
      <c r="M178" s="105"/>
      <c r="N178" s="105"/>
      <c r="O178" s="105"/>
      <c r="P178" s="105"/>
      <c r="Q178" s="105"/>
      <c r="R178" s="105"/>
      <c r="S178" s="105"/>
      <c r="T178" s="105"/>
      <c r="U178" s="105"/>
      <c r="V178" s="105"/>
      <c r="W178" s="104"/>
      <c r="X178" s="213"/>
      <c r="Y178" s="105"/>
      <c r="Z178" s="105"/>
      <c r="AA178" s="105"/>
      <c r="AB178" s="104"/>
      <c r="AC178" s="104"/>
      <c r="AD178" s="104"/>
      <c r="AE178" s="104"/>
      <c r="AF178" s="104"/>
    </row>
    <row r="179" spans="1:32" x14ac:dyDescent="0.2">
      <c r="A179" s="104"/>
      <c r="B179" s="105"/>
      <c r="C179" s="104"/>
      <c r="D179" s="105"/>
      <c r="E179" s="105"/>
      <c r="F179" s="105"/>
      <c r="G179" s="105"/>
      <c r="H179" s="105"/>
      <c r="I179" s="105"/>
      <c r="J179" s="105"/>
      <c r="K179" s="105"/>
      <c r="L179" s="105"/>
      <c r="M179" s="105"/>
      <c r="N179" s="105"/>
      <c r="O179" s="105"/>
      <c r="P179" s="105"/>
      <c r="Q179" s="105"/>
      <c r="R179" s="105"/>
      <c r="S179" s="105"/>
      <c r="T179" s="105"/>
      <c r="U179" s="105"/>
      <c r="V179" s="105"/>
      <c r="W179" s="104"/>
      <c r="X179" s="213"/>
      <c r="Y179" s="105"/>
      <c r="Z179" s="105"/>
      <c r="AA179" s="105"/>
      <c r="AB179" s="104"/>
      <c r="AC179" s="104"/>
      <c r="AD179" s="104"/>
      <c r="AE179" s="104"/>
      <c r="AF179" s="104"/>
    </row>
    <row r="180" spans="1:32" x14ac:dyDescent="0.2">
      <c r="A180" s="104"/>
      <c r="B180" s="105"/>
      <c r="C180" s="104"/>
      <c r="D180" s="105"/>
      <c r="E180" s="105"/>
      <c r="F180" s="105"/>
      <c r="G180" s="105"/>
      <c r="H180" s="105"/>
      <c r="I180" s="105"/>
      <c r="J180" s="105"/>
      <c r="K180" s="105"/>
      <c r="L180" s="105"/>
      <c r="M180" s="105"/>
      <c r="N180" s="105"/>
      <c r="O180" s="105"/>
      <c r="P180" s="105"/>
      <c r="Q180" s="105"/>
      <c r="R180" s="105"/>
      <c r="S180" s="105"/>
      <c r="T180" s="105"/>
      <c r="U180" s="105"/>
      <c r="V180" s="105"/>
      <c r="W180" s="104"/>
      <c r="X180" s="213"/>
      <c r="Y180" s="105"/>
      <c r="Z180" s="105"/>
      <c r="AA180" s="105"/>
      <c r="AB180" s="104"/>
      <c r="AC180" s="104"/>
      <c r="AD180" s="104"/>
      <c r="AE180" s="104"/>
      <c r="AF180" s="104"/>
    </row>
    <row r="181" spans="1:32" x14ac:dyDescent="0.2">
      <c r="A181" s="104"/>
      <c r="B181" s="105"/>
      <c r="C181" s="104"/>
      <c r="D181" s="105"/>
      <c r="E181" s="105"/>
      <c r="F181" s="105"/>
      <c r="G181" s="105"/>
      <c r="H181" s="105"/>
      <c r="I181" s="105"/>
      <c r="J181" s="105"/>
      <c r="K181" s="105"/>
      <c r="L181" s="105"/>
      <c r="M181" s="105"/>
      <c r="N181" s="105"/>
      <c r="O181" s="105"/>
      <c r="P181" s="105"/>
      <c r="Q181" s="105"/>
      <c r="R181" s="105"/>
      <c r="S181" s="105"/>
      <c r="T181" s="105"/>
      <c r="U181" s="105"/>
      <c r="V181" s="105"/>
      <c r="W181" s="104"/>
      <c r="X181" s="213"/>
      <c r="Y181" s="105"/>
      <c r="Z181" s="105"/>
      <c r="AA181" s="105"/>
      <c r="AB181" s="104"/>
      <c r="AC181" s="104"/>
      <c r="AD181" s="104"/>
      <c r="AE181" s="104"/>
      <c r="AF181" s="104"/>
    </row>
    <row r="182" spans="1:32" x14ac:dyDescent="0.2">
      <c r="A182" s="104"/>
      <c r="B182" s="105"/>
      <c r="C182" s="104"/>
      <c r="D182" s="105"/>
      <c r="E182" s="105"/>
      <c r="F182" s="105"/>
      <c r="G182" s="105"/>
      <c r="H182" s="105"/>
      <c r="I182" s="105"/>
      <c r="J182" s="105"/>
      <c r="K182" s="105"/>
      <c r="L182" s="105"/>
      <c r="M182" s="105"/>
      <c r="N182" s="105"/>
      <c r="O182" s="105"/>
      <c r="P182" s="105"/>
      <c r="Q182" s="105"/>
      <c r="R182" s="105"/>
      <c r="S182" s="105"/>
      <c r="T182" s="105"/>
      <c r="U182" s="105"/>
      <c r="V182" s="105"/>
      <c r="W182" s="104"/>
      <c r="X182" s="213"/>
      <c r="Y182" s="105"/>
      <c r="Z182" s="105"/>
      <c r="AA182" s="105"/>
      <c r="AB182" s="104"/>
      <c r="AC182" s="104"/>
      <c r="AD182" s="104"/>
      <c r="AE182" s="104"/>
      <c r="AF182" s="104"/>
    </row>
    <row r="183" spans="1:32" x14ac:dyDescent="0.2">
      <c r="A183" s="104"/>
      <c r="B183" s="105"/>
      <c r="C183" s="104"/>
      <c r="D183" s="105"/>
      <c r="E183" s="105"/>
      <c r="F183" s="105"/>
      <c r="G183" s="105"/>
      <c r="H183" s="105"/>
      <c r="I183" s="105"/>
      <c r="J183" s="105"/>
      <c r="K183" s="105"/>
      <c r="L183" s="105"/>
      <c r="M183" s="105"/>
      <c r="N183" s="105"/>
      <c r="O183" s="105"/>
      <c r="P183" s="105"/>
      <c r="Q183" s="105"/>
      <c r="R183" s="105"/>
      <c r="S183" s="105"/>
      <c r="T183" s="105"/>
      <c r="U183" s="105"/>
      <c r="V183" s="105"/>
      <c r="W183" s="104"/>
      <c r="X183" s="213"/>
      <c r="Y183" s="105"/>
      <c r="Z183" s="105"/>
      <c r="AA183" s="105"/>
      <c r="AB183" s="104"/>
      <c r="AC183" s="104"/>
      <c r="AD183" s="104"/>
      <c r="AE183" s="104"/>
      <c r="AF183" s="104"/>
    </row>
  </sheetData>
  <mergeCells count="3">
    <mergeCell ref="AB77:AF77"/>
    <mergeCell ref="AB7:AF7"/>
    <mergeCell ref="AB49:AF49"/>
  </mergeCells>
  <pageMargins left="0.7" right="0.7" top="0.75" bottom="0.75" header="0.3" footer="0.3"/>
  <pageSetup scale="74" fitToWidth="0" fitToHeight="2" orientation="portrait" blackAndWhite="1"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A5A7F-99DB-4E38-8165-591744ED33F9}">
  <sheetPr>
    <pageSetUpPr fitToPage="1"/>
  </sheetPr>
  <dimension ref="A1:CH205"/>
  <sheetViews>
    <sheetView topLeftCell="A60" zoomScale="73" zoomScaleNormal="56" workbookViewId="0">
      <selection activeCell="N84" sqref="N84"/>
    </sheetView>
  </sheetViews>
  <sheetFormatPr defaultColWidth="9.42578125" defaultRowHeight="15" x14ac:dyDescent="0.2"/>
  <cols>
    <col min="1" max="1" width="11.42578125" style="140" customWidth="1"/>
    <col min="2" max="2" width="17.140625" style="141" customWidth="1"/>
    <col min="3" max="3" width="25.85546875" style="140" customWidth="1"/>
    <col min="4" max="4" width="10.42578125" style="141" customWidth="1"/>
    <col min="5" max="5" width="12.7109375" style="141" customWidth="1"/>
    <col min="6" max="6" width="10.42578125" style="141" customWidth="1"/>
    <col min="7" max="7" width="7.42578125" style="141" customWidth="1"/>
    <col min="8" max="8" width="8.42578125" style="141" customWidth="1"/>
    <col min="9" max="10" width="7.42578125" style="141" customWidth="1"/>
    <col min="11" max="11" width="8.42578125" style="141" customWidth="1"/>
    <col min="12" max="12" width="6.5703125" style="141" customWidth="1"/>
    <col min="13" max="13" width="8.42578125" style="141" customWidth="1"/>
    <col min="14" max="18" width="8.5703125" style="141" customWidth="1"/>
    <col min="19" max="19" width="10.42578125" style="141" customWidth="1"/>
    <col min="20" max="20" width="13" style="141" customWidth="1"/>
    <col min="21" max="21" width="12.42578125" style="141" customWidth="1"/>
    <col min="22" max="22" width="15" style="141" customWidth="1"/>
    <col min="23" max="23" width="14.28515625" style="140" customWidth="1"/>
    <col min="24" max="24" width="22.85546875" style="212" customWidth="1"/>
    <col min="25" max="25" width="19.140625" style="141" customWidth="1"/>
    <col min="26" max="27" width="10.42578125" style="141" customWidth="1"/>
    <col min="28" max="28" width="15.5703125" style="141" customWidth="1"/>
    <col min="29" max="29" width="12.28515625" style="140" customWidth="1"/>
    <col min="30" max="30" width="56.42578125" style="140" customWidth="1"/>
    <col min="31" max="31" width="47" style="140" customWidth="1"/>
    <col min="32" max="32" width="24.42578125" style="140" customWidth="1"/>
    <col min="33" max="86" width="9.42578125" style="140" customWidth="1"/>
    <col min="87" max="16384" width="9.42578125" style="140"/>
  </cols>
  <sheetData>
    <row r="1" spans="1:86" x14ac:dyDescent="0.2">
      <c r="A1" s="104"/>
      <c r="B1" s="105"/>
      <c r="C1" s="104"/>
      <c r="D1" s="105"/>
      <c r="E1" s="105"/>
      <c r="F1" s="105"/>
      <c r="G1" s="155"/>
      <c r="H1" s="105"/>
      <c r="I1" s="105"/>
      <c r="J1" s="105"/>
      <c r="K1" s="105"/>
      <c r="L1" s="105"/>
      <c r="M1" s="105"/>
      <c r="N1" s="105"/>
      <c r="O1" s="105"/>
      <c r="P1" s="105"/>
      <c r="Q1" s="105"/>
      <c r="R1" s="105"/>
      <c r="S1" s="105"/>
      <c r="T1" s="105"/>
      <c r="U1" s="105"/>
      <c r="V1" s="105"/>
      <c r="W1" s="105"/>
      <c r="X1" s="213"/>
      <c r="Y1" s="104"/>
      <c r="Z1" s="105"/>
      <c r="AA1" s="105"/>
      <c r="AB1" s="105"/>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row>
    <row r="2" spans="1:86" x14ac:dyDescent="0.2">
      <c r="A2" s="104"/>
      <c r="B2" s="105"/>
      <c r="C2" s="155" t="s">
        <v>35</v>
      </c>
      <c r="D2" s="105"/>
      <c r="E2" s="105"/>
      <c r="F2" s="105"/>
      <c r="G2" s="105"/>
      <c r="H2" s="105"/>
      <c r="I2" s="105"/>
      <c r="J2" s="105"/>
      <c r="K2" s="105"/>
      <c r="L2" s="105"/>
      <c r="M2" s="105"/>
      <c r="N2" s="105"/>
      <c r="O2" s="105"/>
      <c r="P2" s="105"/>
      <c r="Q2" s="105"/>
      <c r="R2" s="105"/>
      <c r="S2" s="105"/>
      <c r="T2" s="105"/>
      <c r="U2" s="105"/>
      <c r="V2" s="105"/>
      <c r="W2" s="105"/>
      <c r="X2" s="213"/>
      <c r="Y2" s="104"/>
      <c r="Z2" s="105"/>
      <c r="AA2" s="105"/>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row>
    <row r="3" spans="1:86" x14ac:dyDescent="0.2">
      <c r="A3" s="104"/>
      <c r="B3" s="105"/>
      <c r="C3" s="105"/>
      <c r="D3" s="105"/>
      <c r="E3" s="105"/>
      <c r="F3" s="105"/>
      <c r="G3" s="105"/>
      <c r="H3" s="105"/>
      <c r="I3" s="105"/>
      <c r="J3" s="105"/>
      <c r="K3" s="105"/>
      <c r="L3" s="105"/>
      <c r="M3" s="105"/>
      <c r="N3" s="105"/>
      <c r="O3" s="105"/>
      <c r="P3" s="105"/>
      <c r="Q3" s="105"/>
      <c r="R3" s="105"/>
      <c r="S3" s="105"/>
      <c r="T3" s="105"/>
      <c r="U3" s="105"/>
      <c r="V3" s="105"/>
      <c r="W3" s="105"/>
      <c r="X3" s="213"/>
      <c r="Y3" s="104"/>
      <c r="Z3" s="105"/>
      <c r="AA3" s="105"/>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row>
    <row r="4" spans="1:86" x14ac:dyDescent="0.2">
      <c r="A4" s="104"/>
      <c r="B4" s="105"/>
      <c r="C4" s="104"/>
      <c r="D4" s="105"/>
      <c r="E4" s="105"/>
      <c r="F4" s="105"/>
      <c r="G4" s="105"/>
      <c r="H4" s="105"/>
      <c r="I4" s="105"/>
      <c r="J4" s="105"/>
      <c r="K4" s="105"/>
      <c r="L4" s="105"/>
      <c r="M4" s="105"/>
      <c r="N4" s="105"/>
      <c r="O4" s="105"/>
      <c r="P4" s="105"/>
      <c r="Q4" s="105"/>
      <c r="R4" s="105"/>
      <c r="S4" s="105"/>
      <c r="T4" s="105"/>
      <c r="U4" s="105"/>
      <c r="V4" s="105"/>
      <c r="W4" s="105"/>
      <c r="X4" s="213"/>
      <c r="Y4" s="104"/>
      <c r="Z4" s="105"/>
      <c r="AA4" s="105"/>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row>
    <row r="5" spans="1:86" ht="15.75" thickBot="1" x14ac:dyDescent="0.25">
      <c r="A5" s="104"/>
      <c r="B5" s="105"/>
      <c r="C5" s="104"/>
      <c r="D5" s="105"/>
      <c r="E5" s="105"/>
      <c r="F5" s="105"/>
      <c r="G5" s="105"/>
      <c r="H5" s="105"/>
      <c r="I5" s="105"/>
      <c r="J5" s="105"/>
      <c r="K5" s="105"/>
      <c r="L5" s="105"/>
      <c r="M5" s="105"/>
      <c r="N5" s="105"/>
      <c r="O5" s="105"/>
      <c r="P5" s="105"/>
      <c r="Q5" s="105"/>
      <c r="R5" s="105"/>
      <c r="S5" s="105"/>
      <c r="T5" s="105"/>
      <c r="U5" s="105"/>
      <c r="V5" s="105"/>
      <c r="W5" s="105"/>
      <c r="X5" s="213"/>
      <c r="Y5" s="104"/>
      <c r="Z5" s="105"/>
      <c r="AA5" s="105"/>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row>
    <row r="6" spans="1:86" ht="16.5" thickBot="1" x14ac:dyDescent="0.3">
      <c r="A6" s="106"/>
      <c r="B6" s="217" t="s">
        <v>0</v>
      </c>
      <c r="C6" s="108"/>
      <c r="D6" s="108"/>
      <c r="E6" s="170"/>
      <c r="F6" s="170"/>
      <c r="G6" s="170"/>
      <c r="H6" s="170"/>
      <c r="I6" s="170"/>
      <c r="J6" s="170"/>
      <c r="K6" s="170"/>
      <c r="L6" s="170"/>
      <c r="M6" s="170"/>
      <c r="N6" s="170"/>
      <c r="O6" s="170"/>
      <c r="P6" s="170"/>
      <c r="Q6" s="170"/>
      <c r="R6" s="170"/>
      <c r="S6" s="170"/>
      <c r="T6" s="170"/>
      <c r="U6" s="170"/>
      <c r="V6" s="170"/>
      <c r="W6" s="151"/>
      <c r="X6" s="214" t="s">
        <v>0</v>
      </c>
      <c r="Y6" s="108"/>
      <c r="Z6" s="105"/>
      <c r="AA6" s="105"/>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row>
    <row r="7" spans="1:86" ht="48" thickBot="1" x14ac:dyDescent="0.3">
      <c r="A7" s="248" t="s">
        <v>60</v>
      </c>
      <c r="B7" s="83" t="s">
        <v>3</v>
      </c>
      <c r="C7" s="55" t="s">
        <v>2</v>
      </c>
      <c r="D7" s="56" t="s">
        <v>753</v>
      </c>
      <c r="E7" s="57" t="s">
        <v>566</v>
      </c>
      <c r="F7" s="57" t="s">
        <v>754</v>
      </c>
      <c r="G7" s="103" t="s">
        <v>4</v>
      </c>
      <c r="H7" s="58" t="s">
        <v>5</v>
      </c>
      <c r="I7" s="58" t="s">
        <v>6</v>
      </c>
      <c r="J7" s="58" t="s">
        <v>7</v>
      </c>
      <c r="K7" s="58" t="s">
        <v>8</v>
      </c>
      <c r="L7" s="58" t="s">
        <v>9</v>
      </c>
      <c r="M7" s="58" t="s">
        <v>10</v>
      </c>
      <c r="N7" s="58" t="s">
        <v>11</v>
      </c>
      <c r="O7" s="58" t="s">
        <v>12</v>
      </c>
      <c r="P7" s="58" t="s">
        <v>13</v>
      </c>
      <c r="Q7" s="58" t="s">
        <v>14</v>
      </c>
      <c r="R7" s="58" t="s">
        <v>15</v>
      </c>
      <c r="S7" s="59" t="s">
        <v>16</v>
      </c>
      <c r="T7" s="60" t="s">
        <v>755</v>
      </c>
      <c r="U7" s="57" t="s">
        <v>19</v>
      </c>
      <c r="V7" s="61" t="s">
        <v>41</v>
      </c>
      <c r="W7" s="211" t="s">
        <v>3</v>
      </c>
      <c r="X7" s="55" t="s">
        <v>2</v>
      </c>
      <c r="Y7" s="105"/>
      <c r="Z7" s="105"/>
      <c r="AA7" s="104"/>
      <c r="AB7" s="579" t="s">
        <v>756</v>
      </c>
      <c r="AC7" s="579"/>
      <c r="AD7" s="579"/>
      <c r="AE7" s="579"/>
      <c r="AF7" s="579"/>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row>
    <row r="8" spans="1:86" x14ac:dyDescent="0.2">
      <c r="A8" s="249"/>
      <c r="B8" s="251"/>
      <c r="C8" s="249"/>
      <c r="D8" s="250"/>
      <c r="E8" s="251"/>
      <c r="F8" s="251"/>
      <c r="G8" s="251"/>
      <c r="H8" s="251"/>
      <c r="I8" s="251"/>
      <c r="J8" s="251"/>
      <c r="K8" s="251"/>
      <c r="L8" s="251"/>
      <c r="M8" s="251"/>
      <c r="N8" s="251"/>
      <c r="O8" s="251"/>
      <c r="P8" s="251"/>
      <c r="Q8" s="251"/>
      <c r="R8" s="251"/>
      <c r="S8" s="509"/>
      <c r="T8" s="510"/>
      <c r="U8" s="511"/>
      <c r="V8" s="462"/>
      <c r="W8" s="264"/>
      <c r="X8" s="249"/>
      <c r="Y8" s="105"/>
      <c r="Z8" s="105"/>
      <c r="AA8" s="104"/>
      <c r="AB8" s="244" t="s">
        <v>144</v>
      </c>
      <c r="AC8" s="245" t="s">
        <v>147</v>
      </c>
      <c r="AD8" s="246" t="s">
        <v>2</v>
      </c>
      <c r="AE8" s="247" t="s">
        <v>570</v>
      </c>
      <c r="AF8" s="246" t="s">
        <v>571</v>
      </c>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row>
    <row r="9" spans="1:86" x14ac:dyDescent="0.2">
      <c r="A9" s="252">
        <v>30306</v>
      </c>
      <c r="B9" s="287">
        <v>2015</v>
      </c>
      <c r="C9" s="252" t="s">
        <v>244</v>
      </c>
      <c r="D9" s="512">
        <v>0.33333333333333331</v>
      </c>
      <c r="E9" s="241">
        <v>57</v>
      </c>
      <c r="F9" s="241">
        <v>0</v>
      </c>
      <c r="G9" s="241">
        <v>2</v>
      </c>
      <c r="H9" s="241">
        <v>3</v>
      </c>
      <c r="I9" s="241">
        <v>2</v>
      </c>
      <c r="J9" s="241">
        <v>1</v>
      </c>
      <c r="K9" s="241">
        <v>1</v>
      </c>
      <c r="L9" s="241">
        <v>2</v>
      </c>
      <c r="M9" s="241">
        <v>2</v>
      </c>
      <c r="N9" s="241">
        <v>1</v>
      </c>
      <c r="O9" s="241">
        <v>1</v>
      </c>
      <c r="P9" s="241">
        <v>2</v>
      </c>
      <c r="Q9" s="241">
        <v>2</v>
      </c>
      <c r="R9" s="241">
        <v>0</v>
      </c>
      <c r="S9" s="256">
        <f>SUM(G9:R9)</f>
        <v>19</v>
      </c>
      <c r="T9" s="512">
        <f>IFERROR((AVERAGE(G9:R9)),0)</f>
        <v>1.5833333333333333</v>
      </c>
      <c r="U9" s="513">
        <f>IFERROR((V9/T9),0)</f>
        <v>24</v>
      </c>
      <c r="V9" s="461">
        <f>E9+F9-S9</f>
        <v>38</v>
      </c>
      <c r="W9" s="288">
        <v>2015</v>
      </c>
      <c r="X9" s="252" t="s">
        <v>73</v>
      </c>
      <c r="Y9" s="105"/>
      <c r="Z9" s="105"/>
      <c r="AA9" s="104"/>
      <c r="AB9" s="244">
        <v>45721</v>
      </c>
      <c r="AC9" s="245">
        <v>2024</v>
      </c>
      <c r="AD9" s="246" t="s">
        <v>574</v>
      </c>
      <c r="AE9" s="247">
        <v>141</v>
      </c>
      <c r="AF9" s="246" t="s">
        <v>378</v>
      </c>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4"/>
      <c r="CH9" s="104"/>
    </row>
    <row r="10" spans="1:86" x14ac:dyDescent="0.2">
      <c r="A10" s="249"/>
      <c r="B10" s="251"/>
      <c r="C10" s="249"/>
      <c r="D10" s="251"/>
      <c r="E10" s="251"/>
      <c r="F10" s="251"/>
      <c r="G10" s="251"/>
      <c r="H10" s="251"/>
      <c r="I10" s="251"/>
      <c r="J10" s="251"/>
      <c r="K10" s="251"/>
      <c r="L10" s="251"/>
      <c r="M10" s="251"/>
      <c r="N10" s="251"/>
      <c r="O10" s="251"/>
      <c r="P10" s="251"/>
      <c r="Q10" s="251"/>
      <c r="R10" s="251"/>
      <c r="S10" s="251"/>
      <c r="T10" s="251"/>
      <c r="U10" s="251"/>
      <c r="V10" s="462"/>
      <c r="W10" s="264"/>
      <c r="X10" s="249"/>
      <c r="Y10" s="105"/>
      <c r="Z10" s="105"/>
      <c r="AA10" s="104"/>
      <c r="AB10" s="244">
        <v>45721</v>
      </c>
      <c r="AC10" s="245">
        <v>2024</v>
      </c>
      <c r="AD10" s="246" t="s">
        <v>384</v>
      </c>
      <c r="AE10" s="247">
        <v>338</v>
      </c>
      <c r="AF10" s="246" t="s">
        <v>378</v>
      </c>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row>
    <row r="11" spans="1:86" ht="15" customHeight="1" x14ac:dyDescent="0.2">
      <c r="A11" s="252">
        <v>133688</v>
      </c>
      <c r="B11" s="116">
        <v>2020</v>
      </c>
      <c r="C11" s="252" t="s">
        <v>23</v>
      </c>
      <c r="D11" s="512">
        <v>24.5</v>
      </c>
      <c r="E11" s="241">
        <v>188</v>
      </c>
      <c r="F11" s="241">
        <v>0</v>
      </c>
      <c r="G11" s="283">
        <v>35</v>
      </c>
      <c r="H11" s="283">
        <v>50</v>
      </c>
      <c r="I11" s="283">
        <v>35</v>
      </c>
      <c r="J11" s="283">
        <v>24</v>
      </c>
      <c r="K11" s="283">
        <v>36</v>
      </c>
      <c r="L11" s="283">
        <v>8</v>
      </c>
      <c r="M11" s="281"/>
      <c r="N11" s="281"/>
      <c r="O11" s="281"/>
      <c r="P11" s="281"/>
      <c r="Q11" s="281"/>
      <c r="R11" s="281"/>
      <c r="S11" s="256">
        <f t="shared" ref="S11:S28" si="0">SUM(G11:R11)</f>
        <v>188</v>
      </c>
      <c r="T11" s="512">
        <f t="shared" ref="T11:T17" si="1">IFERROR((AVERAGE(G11:R11)),0)</f>
        <v>31.333333333333332</v>
      </c>
      <c r="U11" s="513">
        <f t="shared" ref="U11:U17" si="2">IFERROR((V11/T11),0)</f>
        <v>0</v>
      </c>
      <c r="V11" s="461">
        <f t="shared" ref="V11:V17" si="3">E11+F11-S11</f>
        <v>0</v>
      </c>
      <c r="W11" s="314">
        <v>2020</v>
      </c>
      <c r="X11" s="252" t="s">
        <v>23</v>
      </c>
      <c r="Y11" s="105"/>
      <c r="Z11" s="105"/>
      <c r="AA11" s="104"/>
      <c r="AB11" s="244">
        <v>45721</v>
      </c>
      <c r="AC11" s="245">
        <v>2024</v>
      </c>
      <c r="AD11" s="246" t="s">
        <v>170</v>
      </c>
      <c r="AE11" s="247">
        <v>270</v>
      </c>
      <c r="AF11" s="246" t="s">
        <v>378</v>
      </c>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row>
    <row r="12" spans="1:86" ht="15" customHeight="1" x14ac:dyDescent="0.2">
      <c r="A12" s="252">
        <v>133687</v>
      </c>
      <c r="B12" s="116">
        <v>2020</v>
      </c>
      <c r="C12" s="252" t="s">
        <v>93</v>
      </c>
      <c r="D12" s="512">
        <v>15.666666666666666</v>
      </c>
      <c r="E12" s="241">
        <v>20</v>
      </c>
      <c r="F12" s="241">
        <v>0</v>
      </c>
      <c r="G12" s="283">
        <v>11</v>
      </c>
      <c r="H12" s="283">
        <v>9</v>
      </c>
      <c r="I12" s="281"/>
      <c r="J12" s="281"/>
      <c r="K12" s="281"/>
      <c r="L12" s="281"/>
      <c r="M12" s="281"/>
      <c r="N12" s="281"/>
      <c r="O12" s="281"/>
      <c r="P12" s="281"/>
      <c r="Q12" s="281"/>
      <c r="R12" s="281"/>
      <c r="S12" s="256">
        <f t="shared" si="0"/>
        <v>20</v>
      </c>
      <c r="T12" s="512">
        <f t="shared" si="1"/>
        <v>10</v>
      </c>
      <c r="U12" s="513">
        <f t="shared" si="2"/>
        <v>0</v>
      </c>
      <c r="V12" s="461">
        <f t="shared" si="3"/>
        <v>0</v>
      </c>
      <c r="W12" s="314">
        <v>2020</v>
      </c>
      <c r="X12" s="252" t="s">
        <v>393</v>
      </c>
      <c r="Y12" s="105"/>
      <c r="Z12" s="105"/>
      <c r="AA12" s="104"/>
      <c r="AB12" s="244">
        <v>45721</v>
      </c>
      <c r="AC12" s="245">
        <v>2023</v>
      </c>
      <c r="AD12" s="246" t="s">
        <v>757</v>
      </c>
      <c r="AE12" s="247">
        <v>459</v>
      </c>
      <c r="AF12" s="246" t="s">
        <v>378</v>
      </c>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row>
    <row r="13" spans="1:86" ht="15" customHeight="1" x14ac:dyDescent="0.2">
      <c r="A13" s="252">
        <v>135370</v>
      </c>
      <c r="B13" s="116">
        <v>2020</v>
      </c>
      <c r="C13" s="252" t="s">
        <v>217</v>
      </c>
      <c r="D13" s="512">
        <v>7.25</v>
      </c>
      <c r="E13" s="241">
        <v>86</v>
      </c>
      <c r="F13" s="241">
        <v>0</v>
      </c>
      <c r="G13" s="310">
        <v>23</v>
      </c>
      <c r="H13" s="283">
        <v>40</v>
      </c>
      <c r="I13" s="283">
        <v>17</v>
      </c>
      <c r="J13" s="283">
        <v>6</v>
      </c>
      <c r="K13" s="281"/>
      <c r="L13" s="281"/>
      <c r="M13" s="281"/>
      <c r="N13" s="281"/>
      <c r="O13" s="281"/>
      <c r="P13" s="281"/>
      <c r="Q13" s="281"/>
      <c r="R13" s="281"/>
      <c r="S13" s="256">
        <f t="shared" si="0"/>
        <v>86</v>
      </c>
      <c r="T13" s="512">
        <f t="shared" si="1"/>
        <v>21.5</v>
      </c>
      <c r="U13" s="513">
        <f t="shared" si="2"/>
        <v>0</v>
      </c>
      <c r="V13" s="461">
        <f t="shared" si="3"/>
        <v>0</v>
      </c>
      <c r="W13" s="314">
        <v>2020</v>
      </c>
      <c r="X13" s="252" t="s">
        <v>505</v>
      </c>
      <c r="Y13" s="105"/>
      <c r="Z13" s="105"/>
      <c r="AA13" s="104"/>
      <c r="AB13" s="244">
        <v>45757</v>
      </c>
      <c r="AC13" s="245">
        <v>2024</v>
      </c>
      <c r="AD13" s="246" t="s">
        <v>758</v>
      </c>
      <c r="AE13" s="247">
        <v>56</v>
      </c>
      <c r="AF13" s="246" t="s">
        <v>378</v>
      </c>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row>
    <row r="14" spans="1:86" x14ac:dyDescent="0.2">
      <c r="A14" s="252">
        <v>133687</v>
      </c>
      <c r="B14" s="116">
        <v>2020</v>
      </c>
      <c r="C14" s="252" t="s">
        <v>278</v>
      </c>
      <c r="D14" s="512">
        <v>30.166666666666668</v>
      </c>
      <c r="E14" s="241">
        <v>481</v>
      </c>
      <c r="F14" s="241">
        <v>0</v>
      </c>
      <c r="G14" s="283">
        <v>23</v>
      </c>
      <c r="H14" s="283">
        <v>31</v>
      </c>
      <c r="I14" s="283">
        <v>39</v>
      </c>
      <c r="J14" s="283">
        <v>27</v>
      </c>
      <c r="K14" s="283">
        <v>29</v>
      </c>
      <c r="L14" s="283">
        <v>30</v>
      </c>
      <c r="M14" s="283">
        <v>20</v>
      </c>
      <c r="N14" s="283">
        <v>83</v>
      </c>
      <c r="O14" s="283">
        <v>44</v>
      </c>
      <c r="P14" s="283">
        <v>28</v>
      </c>
      <c r="Q14" s="283">
        <v>57</v>
      </c>
      <c r="R14" s="283">
        <f>37-4</f>
        <v>33</v>
      </c>
      <c r="S14" s="256">
        <f t="shared" si="0"/>
        <v>444</v>
      </c>
      <c r="T14" s="512">
        <f t="shared" si="1"/>
        <v>37</v>
      </c>
      <c r="U14" s="513">
        <f t="shared" si="2"/>
        <v>1</v>
      </c>
      <c r="V14" s="461">
        <f t="shared" si="3"/>
        <v>37</v>
      </c>
      <c r="W14" s="314">
        <v>2020</v>
      </c>
      <c r="X14" s="252" t="s">
        <v>278</v>
      </c>
      <c r="Y14" s="105"/>
      <c r="Z14" s="105"/>
      <c r="AA14" s="104"/>
      <c r="AB14" s="244">
        <v>45757</v>
      </c>
      <c r="AC14" s="245">
        <v>2024</v>
      </c>
      <c r="AD14" s="246" t="s">
        <v>297</v>
      </c>
      <c r="AE14" s="247">
        <v>297</v>
      </c>
      <c r="AF14" s="246" t="s">
        <v>378</v>
      </c>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row>
    <row r="15" spans="1:86" x14ac:dyDescent="0.2">
      <c r="A15" s="252"/>
      <c r="B15" s="116">
        <v>2020</v>
      </c>
      <c r="C15" s="252" t="s">
        <v>556</v>
      </c>
      <c r="D15" s="512">
        <v>0</v>
      </c>
      <c r="E15" s="241">
        <v>0</v>
      </c>
      <c r="F15" s="241">
        <f>1548/12</f>
        <v>129</v>
      </c>
      <c r="G15" s="293"/>
      <c r="H15" s="293"/>
      <c r="I15" s="293"/>
      <c r="J15" s="293"/>
      <c r="K15" s="293"/>
      <c r="L15" s="293"/>
      <c r="M15" s="293" t="s">
        <v>35</v>
      </c>
      <c r="N15" s="293"/>
      <c r="O15" s="293"/>
      <c r="P15" s="283">
        <v>10</v>
      </c>
      <c r="Q15" s="283">
        <v>52</v>
      </c>
      <c r="R15" s="283">
        <v>14</v>
      </c>
      <c r="S15" s="256">
        <f t="shared" ref="S15" si="4">SUM(G15:R15)</f>
        <v>76</v>
      </c>
      <c r="T15" s="512">
        <f t="shared" si="1"/>
        <v>25.333333333333332</v>
      </c>
      <c r="U15" s="513">
        <f t="shared" si="2"/>
        <v>2.0921052631578947</v>
      </c>
      <c r="V15" s="461">
        <f t="shared" si="3"/>
        <v>53</v>
      </c>
      <c r="W15" s="314">
        <v>2020</v>
      </c>
      <c r="X15" s="252" t="s">
        <v>556</v>
      </c>
      <c r="Y15" s="105"/>
      <c r="Z15" s="105"/>
      <c r="AA15" s="104"/>
      <c r="AB15" s="244"/>
      <c r="AC15" s="245"/>
      <c r="AD15" s="246"/>
      <c r="AE15" s="247"/>
      <c r="AF15" s="246"/>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row>
    <row r="16" spans="1:86" ht="15" customHeight="1" x14ac:dyDescent="0.2">
      <c r="A16" s="252">
        <v>115264</v>
      </c>
      <c r="B16" s="116">
        <v>2020</v>
      </c>
      <c r="C16" s="252" t="s">
        <v>589</v>
      </c>
      <c r="D16" s="512">
        <v>2</v>
      </c>
      <c r="E16" s="241">
        <v>14</v>
      </c>
      <c r="F16" s="241">
        <v>0</v>
      </c>
      <c r="G16" s="283">
        <v>5</v>
      </c>
      <c r="H16" s="283">
        <v>6</v>
      </c>
      <c r="I16" s="283">
        <v>3</v>
      </c>
      <c r="J16" s="281"/>
      <c r="K16" s="281"/>
      <c r="L16" s="281"/>
      <c r="M16" s="281"/>
      <c r="N16" s="281"/>
      <c r="O16" s="281"/>
      <c r="P16" s="281"/>
      <c r="Q16" s="281"/>
      <c r="R16" s="281"/>
      <c r="S16" s="256">
        <f t="shared" si="0"/>
        <v>14</v>
      </c>
      <c r="T16" s="512">
        <f t="shared" si="1"/>
        <v>4.666666666666667</v>
      </c>
      <c r="U16" s="513">
        <f t="shared" si="2"/>
        <v>0</v>
      </c>
      <c r="V16" s="461">
        <f t="shared" si="3"/>
        <v>0</v>
      </c>
      <c r="W16" s="314">
        <v>2020</v>
      </c>
      <c r="X16" s="252" t="s">
        <v>590</v>
      </c>
      <c r="Y16" s="105"/>
      <c r="Z16" s="105"/>
      <c r="AA16" s="104"/>
      <c r="AB16" s="244">
        <v>45757</v>
      </c>
      <c r="AC16" s="245">
        <v>2024</v>
      </c>
      <c r="AD16" s="246" t="s">
        <v>468</v>
      </c>
      <c r="AE16" s="247">
        <v>333</v>
      </c>
      <c r="AF16" s="246" t="s">
        <v>378</v>
      </c>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row>
    <row r="17" spans="1:86" ht="15" customHeight="1" x14ac:dyDescent="0.2">
      <c r="A17" s="252"/>
      <c r="B17" s="116">
        <v>2020</v>
      </c>
      <c r="C17" s="252" t="s">
        <v>678</v>
      </c>
      <c r="D17" s="512">
        <v>0</v>
      </c>
      <c r="E17" s="528">
        <v>111</v>
      </c>
      <c r="F17" s="241">
        <v>0</v>
      </c>
      <c r="G17" s="293"/>
      <c r="H17" s="293"/>
      <c r="I17" s="293"/>
      <c r="J17" s="293">
        <v>1</v>
      </c>
      <c r="K17" s="241">
        <v>7</v>
      </c>
      <c r="L17" s="241">
        <v>4</v>
      </c>
      <c r="M17" s="241">
        <v>4</v>
      </c>
      <c r="N17" s="241">
        <v>2</v>
      </c>
      <c r="O17" s="241">
        <v>1</v>
      </c>
      <c r="P17" s="241">
        <v>2</v>
      </c>
      <c r="Q17" s="241">
        <v>2</v>
      </c>
      <c r="R17" s="241">
        <f>1-1</f>
        <v>0</v>
      </c>
      <c r="S17" s="256">
        <f t="shared" si="0"/>
        <v>23</v>
      </c>
      <c r="T17" s="512">
        <f t="shared" si="1"/>
        <v>2.5555555555555554</v>
      </c>
      <c r="U17" s="513">
        <f t="shared" si="2"/>
        <v>34.434782608695656</v>
      </c>
      <c r="V17" s="461">
        <f t="shared" si="3"/>
        <v>88</v>
      </c>
      <c r="W17" s="314">
        <v>2020</v>
      </c>
      <c r="X17" s="252" t="s">
        <v>678</v>
      </c>
      <c r="Y17" s="105"/>
      <c r="Z17" s="105"/>
      <c r="AA17" s="104"/>
      <c r="AB17" s="244">
        <v>45757</v>
      </c>
      <c r="AC17" s="245">
        <v>2024</v>
      </c>
      <c r="AD17" s="246" t="s">
        <v>295</v>
      </c>
      <c r="AE17" s="247">
        <v>104</v>
      </c>
      <c r="AF17" s="246" t="s">
        <v>378</v>
      </c>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c r="CH17" s="104"/>
    </row>
    <row r="18" spans="1:86" ht="15" customHeight="1" x14ac:dyDescent="0.25">
      <c r="A18" s="249"/>
      <c r="B18" s="315"/>
      <c r="C18" s="249"/>
      <c r="D18" s="510"/>
      <c r="E18" s="509"/>
      <c r="F18" s="509"/>
      <c r="G18" s="251"/>
      <c r="H18" s="251"/>
      <c r="I18" s="251"/>
      <c r="J18" s="251"/>
      <c r="K18" s="251"/>
      <c r="L18" s="251"/>
      <c r="M18" s="251"/>
      <c r="N18" s="251"/>
      <c r="O18" s="251"/>
      <c r="P18" s="251"/>
      <c r="Q18" s="251"/>
      <c r="R18" s="251"/>
      <c r="S18" s="251">
        <f t="shared" si="0"/>
        <v>0</v>
      </c>
      <c r="T18" s="510"/>
      <c r="U18" s="511"/>
      <c r="V18" s="462"/>
      <c r="W18" s="316"/>
      <c r="X18" s="249"/>
      <c r="Y18" s="105"/>
      <c r="Z18" s="105"/>
      <c r="AA18" s="104"/>
      <c r="AB18" s="244">
        <v>45757</v>
      </c>
      <c r="AC18" s="245">
        <v>2024</v>
      </c>
      <c r="AD18" s="246" t="s">
        <v>759</v>
      </c>
      <c r="AE18" s="247">
        <v>573</v>
      </c>
      <c r="AF18" s="246" t="s">
        <v>378</v>
      </c>
      <c r="AG18" s="104"/>
      <c r="AH18" s="238" t="s">
        <v>35</v>
      </c>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c r="CH18" s="104"/>
    </row>
    <row r="19" spans="1:86" ht="15" customHeight="1" x14ac:dyDescent="0.25">
      <c r="A19" s="252">
        <v>57632</v>
      </c>
      <c r="B19" s="116">
        <v>2021</v>
      </c>
      <c r="C19" s="252" t="s">
        <v>31</v>
      </c>
      <c r="D19" s="512">
        <v>4</v>
      </c>
      <c r="E19" s="241">
        <v>232</v>
      </c>
      <c r="F19" s="241">
        <v>0</v>
      </c>
      <c r="G19" s="283">
        <v>13</v>
      </c>
      <c r="H19" s="241">
        <v>73</v>
      </c>
      <c r="I19" s="241">
        <v>17</v>
      </c>
      <c r="J19" s="241">
        <v>19</v>
      </c>
      <c r="K19" s="241">
        <v>27</v>
      </c>
      <c r="L19" s="241">
        <v>18</v>
      </c>
      <c r="M19" s="241">
        <v>14</v>
      </c>
      <c r="N19" s="241">
        <v>26</v>
      </c>
      <c r="O19" s="241">
        <v>20</v>
      </c>
      <c r="P19" s="241">
        <v>5</v>
      </c>
      <c r="Q19" s="281"/>
      <c r="R19" s="281"/>
      <c r="S19" s="256">
        <f t="shared" si="0"/>
        <v>232</v>
      </c>
      <c r="T19" s="512">
        <f t="shared" ref="T19:T28" si="5">IFERROR((AVERAGE(G19:R19)),0)</f>
        <v>23.2</v>
      </c>
      <c r="U19" s="513">
        <f t="shared" ref="U19:U28" si="6">IFERROR((V19/T19),0)</f>
        <v>0</v>
      </c>
      <c r="V19" s="461">
        <f t="shared" ref="V19:V28" si="7">E19+F19-S19</f>
        <v>0</v>
      </c>
      <c r="W19" s="314">
        <v>2021</v>
      </c>
      <c r="X19" s="252" t="s">
        <v>31</v>
      </c>
      <c r="Y19" s="105"/>
      <c r="Z19" s="105"/>
      <c r="AA19" s="104"/>
      <c r="AB19" s="244">
        <v>45757</v>
      </c>
      <c r="AC19" s="245">
        <v>2024</v>
      </c>
      <c r="AD19" s="246" t="s">
        <v>575</v>
      </c>
      <c r="AE19" s="247">
        <v>322</v>
      </c>
      <c r="AF19" s="246" t="s">
        <v>378</v>
      </c>
      <c r="AG19" s="104"/>
      <c r="AH19" s="238" t="s">
        <v>35</v>
      </c>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c r="CH19" s="104"/>
    </row>
    <row r="20" spans="1:86" ht="15" customHeight="1" x14ac:dyDescent="0.25">
      <c r="A20" s="252">
        <v>57630</v>
      </c>
      <c r="B20" s="116">
        <v>2021</v>
      </c>
      <c r="C20" s="252" t="s">
        <v>25</v>
      </c>
      <c r="D20" s="512">
        <v>31</v>
      </c>
      <c r="E20" s="241">
        <v>42</v>
      </c>
      <c r="F20" s="241">
        <v>0</v>
      </c>
      <c r="G20" s="241">
        <v>12</v>
      </c>
      <c r="H20" s="241">
        <v>16</v>
      </c>
      <c r="I20" s="241">
        <v>14</v>
      </c>
      <c r="J20" s="281"/>
      <c r="K20" s="281"/>
      <c r="L20" s="281"/>
      <c r="M20" s="281"/>
      <c r="N20" s="281"/>
      <c r="O20" s="281"/>
      <c r="P20" s="281"/>
      <c r="Q20" s="281"/>
      <c r="R20" s="281"/>
      <c r="S20" s="256">
        <f t="shared" si="0"/>
        <v>42</v>
      </c>
      <c r="T20" s="512">
        <f t="shared" si="5"/>
        <v>14</v>
      </c>
      <c r="U20" s="513">
        <f t="shared" si="6"/>
        <v>0</v>
      </c>
      <c r="V20" s="461">
        <f t="shared" si="7"/>
        <v>0</v>
      </c>
      <c r="W20" s="314">
        <v>2021</v>
      </c>
      <c r="X20" s="252" t="s">
        <v>25</v>
      </c>
      <c r="Y20" s="105"/>
      <c r="Z20" s="105"/>
      <c r="AA20" s="104"/>
      <c r="AB20" s="244">
        <v>45758</v>
      </c>
      <c r="AC20" s="245">
        <v>2023</v>
      </c>
      <c r="AD20" s="246" t="s">
        <v>760</v>
      </c>
      <c r="AE20" s="247">
        <v>112</v>
      </c>
      <c r="AF20" s="246" t="s">
        <v>378</v>
      </c>
      <c r="AG20" s="104"/>
      <c r="AH20" s="238" t="s">
        <v>35</v>
      </c>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row>
    <row r="21" spans="1:86" ht="15.75" x14ac:dyDescent="0.25">
      <c r="A21" s="252">
        <v>133688</v>
      </c>
      <c r="B21" s="116">
        <v>2021</v>
      </c>
      <c r="C21" s="252" t="s">
        <v>23</v>
      </c>
      <c r="D21" s="512">
        <v>0</v>
      </c>
      <c r="E21" s="241">
        <v>286</v>
      </c>
      <c r="F21" s="241">
        <v>0</v>
      </c>
      <c r="G21" s="293"/>
      <c r="H21" s="293"/>
      <c r="I21" s="293"/>
      <c r="J21" s="293"/>
      <c r="K21" s="293"/>
      <c r="L21" s="241">
        <v>23</v>
      </c>
      <c r="M21" s="241">
        <v>8</v>
      </c>
      <c r="N21" s="241">
        <v>27</v>
      </c>
      <c r="O21" s="241">
        <v>28</v>
      </c>
      <c r="P21" s="241">
        <v>35</v>
      </c>
      <c r="Q21" s="241">
        <v>34</v>
      </c>
      <c r="R21" s="241">
        <f>19-4</f>
        <v>15</v>
      </c>
      <c r="S21" s="256">
        <f t="shared" si="0"/>
        <v>170</v>
      </c>
      <c r="T21" s="512">
        <f t="shared" si="5"/>
        <v>24.285714285714285</v>
      </c>
      <c r="U21" s="513">
        <f t="shared" si="6"/>
        <v>4.776470588235294</v>
      </c>
      <c r="V21" s="461">
        <f t="shared" si="7"/>
        <v>116</v>
      </c>
      <c r="W21" s="314">
        <v>2021</v>
      </c>
      <c r="X21" s="252" t="s">
        <v>23</v>
      </c>
      <c r="Y21" s="105"/>
      <c r="Z21" s="105"/>
      <c r="AA21" s="104"/>
      <c r="AB21" s="244">
        <v>45758</v>
      </c>
      <c r="AC21" s="245">
        <v>2024</v>
      </c>
      <c r="AD21" s="246" t="s">
        <v>300</v>
      </c>
      <c r="AE21" s="247">
        <v>139</v>
      </c>
      <c r="AF21" s="246" t="s">
        <v>378</v>
      </c>
      <c r="AG21" s="104"/>
      <c r="AH21" s="238" t="s">
        <v>35</v>
      </c>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row>
    <row r="22" spans="1:86" ht="15.75" customHeight="1" x14ac:dyDescent="0.25">
      <c r="A22" s="252">
        <v>133687</v>
      </c>
      <c r="B22" s="116">
        <v>2021</v>
      </c>
      <c r="C22" s="252" t="s">
        <v>93</v>
      </c>
      <c r="D22" s="512">
        <v>4</v>
      </c>
      <c r="E22" s="241">
        <v>325</v>
      </c>
      <c r="F22" s="241">
        <v>0</v>
      </c>
      <c r="G22" s="293">
        <v>3</v>
      </c>
      <c r="H22" s="293">
        <v>1</v>
      </c>
      <c r="I22" s="241">
        <v>10</v>
      </c>
      <c r="J22" s="241">
        <v>6</v>
      </c>
      <c r="K22" s="241">
        <v>14</v>
      </c>
      <c r="L22" s="241">
        <v>16</v>
      </c>
      <c r="M22" s="241">
        <v>6</v>
      </c>
      <c r="N22" s="241">
        <v>0</v>
      </c>
      <c r="O22" s="241">
        <v>9</v>
      </c>
      <c r="P22" s="241">
        <v>23</v>
      </c>
      <c r="Q22" s="241">
        <v>64</v>
      </c>
      <c r="R22" s="241">
        <f>14-2</f>
        <v>12</v>
      </c>
      <c r="S22" s="256">
        <f t="shared" si="0"/>
        <v>164</v>
      </c>
      <c r="T22" s="512">
        <f t="shared" si="5"/>
        <v>13.666666666666666</v>
      </c>
      <c r="U22" s="513">
        <f t="shared" si="6"/>
        <v>11.780487804878049</v>
      </c>
      <c r="V22" s="461">
        <f t="shared" si="7"/>
        <v>161</v>
      </c>
      <c r="W22" s="314">
        <v>2021</v>
      </c>
      <c r="X22" s="252" t="s">
        <v>93</v>
      </c>
      <c r="Y22" s="105"/>
      <c r="Z22" s="105"/>
      <c r="AA22" s="104"/>
      <c r="AB22" s="244">
        <v>45758</v>
      </c>
      <c r="AC22" s="245">
        <v>2024</v>
      </c>
      <c r="AD22" s="246" t="s">
        <v>761</v>
      </c>
      <c r="AE22" s="247">
        <v>168</v>
      </c>
      <c r="AF22" s="246" t="s">
        <v>378</v>
      </c>
      <c r="AG22" s="104"/>
      <c r="AH22" s="238" t="s">
        <v>35</v>
      </c>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04"/>
      <c r="BZ22" s="104"/>
      <c r="CA22" s="104"/>
      <c r="CB22" s="104"/>
      <c r="CC22" s="104"/>
      <c r="CD22" s="104"/>
      <c r="CE22" s="104"/>
      <c r="CF22" s="104"/>
      <c r="CG22" s="104"/>
      <c r="CH22" s="104"/>
    </row>
    <row r="23" spans="1:86" ht="15.75" customHeight="1" x14ac:dyDescent="0.25">
      <c r="A23" s="252">
        <v>135370</v>
      </c>
      <c r="B23" s="116">
        <v>2021</v>
      </c>
      <c r="C23" s="252" t="s">
        <v>217</v>
      </c>
      <c r="D23" s="512">
        <v>0</v>
      </c>
      <c r="E23" s="241">
        <v>132</v>
      </c>
      <c r="F23" s="241">
        <v>0</v>
      </c>
      <c r="G23" s="293"/>
      <c r="H23" s="293"/>
      <c r="I23" s="293"/>
      <c r="J23" s="241">
        <v>7</v>
      </c>
      <c r="K23" s="241">
        <v>11</v>
      </c>
      <c r="L23" s="241">
        <v>12</v>
      </c>
      <c r="M23" s="241">
        <v>8</v>
      </c>
      <c r="N23" s="241">
        <v>9</v>
      </c>
      <c r="O23" s="241">
        <v>11</v>
      </c>
      <c r="P23" s="241">
        <v>7</v>
      </c>
      <c r="Q23" s="241">
        <v>15</v>
      </c>
      <c r="R23" s="241">
        <f>9-2</f>
        <v>7</v>
      </c>
      <c r="S23" s="256">
        <f t="shared" si="0"/>
        <v>87</v>
      </c>
      <c r="T23" s="512">
        <f t="shared" si="5"/>
        <v>9.6666666666666661</v>
      </c>
      <c r="U23" s="513">
        <f t="shared" si="6"/>
        <v>4.6551724137931041</v>
      </c>
      <c r="V23" s="461">
        <f t="shared" si="7"/>
        <v>45</v>
      </c>
      <c r="W23" s="314">
        <v>2021</v>
      </c>
      <c r="X23" s="252" t="s">
        <v>505</v>
      </c>
      <c r="Y23" s="105"/>
      <c r="Z23" s="105"/>
      <c r="AA23" s="104"/>
      <c r="AB23" s="244">
        <v>45758</v>
      </c>
      <c r="AC23" s="245">
        <v>2024</v>
      </c>
      <c r="AD23" s="246" t="s">
        <v>254</v>
      </c>
      <c r="AE23" s="247">
        <v>258</v>
      </c>
      <c r="AF23" s="246" t="s">
        <v>378</v>
      </c>
      <c r="AG23" s="104"/>
      <c r="AH23" s="238" t="s">
        <v>35</v>
      </c>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4"/>
      <c r="CD23" s="104"/>
      <c r="CE23" s="104"/>
      <c r="CF23" s="104"/>
      <c r="CG23" s="104"/>
      <c r="CH23" s="104"/>
    </row>
    <row r="24" spans="1:86" ht="15.75" customHeight="1" x14ac:dyDescent="0.2">
      <c r="A24" s="104">
        <v>27736</v>
      </c>
      <c r="B24" s="116">
        <v>2021</v>
      </c>
      <c r="C24" s="252" t="s">
        <v>70</v>
      </c>
      <c r="D24" s="512">
        <v>20.375</v>
      </c>
      <c r="E24" s="241">
        <v>178</v>
      </c>
      <c r="F24" s="241">
        <v>0</v>
      </c>
      <c r="G24" s="241">
        <v>23</v>
      </c>
      <c r="H24" s="241">
        <v>9</v>
      </c>
      <c r="I24" s="241">
        <v>15</v>
      </c>
      <c r="J24" s="241">
        <v>6</v>
      </c>
      <c r="K24" s="241">
        <v>17</v>
      </c>
      <c r="L24" s="241">
        <v>13</v>
      </c>
      <c r="M24" s="241">
        <v>6</v>
      </c>
      <c r="N24" s="241">
        <v>16</v>
      </c>
      <c r="O24" s="241">
        <v>13</v>
      </c>
      <c r="P24" s="241">
        <v>21</v>
      </c>
      <c r="Q24" s="241">
        <v>19</v>
      </c>
      <c r="R24" s="241">
        <f>19-4</f>
        <v>15</v>
      </c>
      <c r="S24" s="256">
        <f t="shared" si="0"/>
        <v>173</v>
      </c>
      <c r="T24" s="512">
        <f t="shared" si="5"/>
        <v>14.416666666666666</v>
      </c>
      <c r="U24" s="513">
        <f t="shared" si="6"/>
        <v>0.34682080924855491</v>
      </c>
      <c r="V24" s="461">
        <f t="shared" si="7"/>
        <v>5</v>
      </c>
      <c r="W24" s="314">
        <v>2021</v>
      </c>
      <c r="X24" s="252" t="s">
        <v>70</v>
      </c>
      <c r="Y24" s="105"/>
      <c r="Z24" s="105"/>
      <c r="AA24" s="104"/>
      <c r="AB24" s="244">
        <v>45758</v>
      </c>
      <c r="AC24" s="245">
        <v>2024</v>
      </c>
      <c r="AD24" s="246" t="s">
        <v>301</v>
      </c>
      <c r="AE24" s="247">
        <v>436</v>
      </c>
      <c r="AF24" s="246" t="s">
        <v>378</v>
      </c>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4"/>
      <c r="CD24" s="104"/>
      <c r="CE24" s="104"/>
      <c r="CF24" s="104"/>
      <c r="CG24" s="104"/>
      <c r="CH24" s="104"/>
    </row>
    <row r="25" spans="1:86" ht="15.75" customHeight="1" x14ac:dyDescent="0.2">
      <c r="A25" s="522">
        <v>34641</v>
      </c>
      <c r="B25" s="116">
        <v>2021</v>
      </c>
      <c r="C25" s="252" t="s">
        <v>118</v>
      </c>
      <c r="D25" s="512">
        <v>11</v>
      </c>
      <c r="E25" s="241">
        <v>531</v>
      </c>
      <c r="F25" s="241">
        <v>0</v>
      </c>
      <c r="G25" s="283">
        <v>10</v>
      </c>
      <c r="H25" s="283">
        <v>5</v>
      </c>
      <c r="I25" s="283">
        <v>7</v>
      </c>
      <c r="J25" s="283">
        <v>17</v>
      </c>
      <c r="K25" s="283">
        <v>45</v>
      </c>
      <c r="L25" s="283">
        <v>14</v>
      </c>
      <c r="M25" s="283">
        <v>4</v>
      </c>
      <c r="N25" s="283">
        <v>15</v>
      </c>
      <c r="O25" s="283">
        <v>10</v>
      </c>
      <c r="P25" s="283">
        <v>8</v>
      </c>
      <c r="Q25" s="241">
        <v>29</v>
      </c>
      <c r="R25" s="241">
        <f>13-3</f>
        <v>10</v>
      </c>
      <c r="S25" s="256">
        <f t="shared" si="0"/>
        <v>174</v>
      </c>
      <c r="T25" s="512">
        <f t="shared" si="5"/>
        <v>14.5</v>
      </c>
      <c r="U25" s="513">
        <f t="shared" si="6"/>
        <v>24.620689655172413</v>
      </c>
      <c r="V25" s="461">
        <f t="shared" si="7"/>
        <v>357</v>
      </c>
      <c r="W25" s="314">
        <v>2021</v>
      </c>
      <c r="X25" s="252" t="s">
        <v>118</v>
      </c>
      <c r="Y25" s="105"/>
      <c r="Z25" s="105"/>
      <c r="AA25" s="104"/>
      <c r="AB25" s="244">
        <v>46001</v>
      </c>
      <c r="AC25" s="245">
        <v>2024</v>
      </c>
      <c r="AD25" s="246" t="s">
        <v>762</v>
      </c>
      <c r="AE25" s="247">
        <v>113</v>
      </c>
      <c r="AF25" s="246" t="s">
        <v>378</v>
      </c>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104"/>
      <c r="CG25" s="104"/>
      <c r="CH25" s="104"/>
    </row>
    <row r="26" spans="1:86" ht="15.75" customHeight="1" x14ac:dyDescent="0.2">
      <c r="A26" s="252">
        <v>135371</v>
      </c>
      <c r="B26" s="116">
        <v>2021</v>
      </c>
      <c r="C26" s="252" t="s">
        <v>307</v>
      </c>
      <c r="D26" s="512">
        <v>17.333333333333332</v>
      </c>
      <c r="E26" s="241">
        <v>28</v>
      </c>
      <c r="F26" s="241">
        <v>0</v>
      </c>
      <c r="G26" s="241">
        <v>11</v>
      </c>
      <c r="H26" s="241">
        <v>12</v>
      </c>
      <c r="I26" s="241">
        <v>5</v>
      </c>
      <c r="J26" s="281"/>
      <c r="K26" s="281"/>
      <c r="L26" s="281"/>
      <c r="M26" s="281"/>
      <c r="N26" s="281"/>
      <c r="O26" s="281"/>
      <c r="P26" s="281"/>
      <c r="Q26" s="281"/>
      <c r="R26" s="281"/>
      <c r="S26" s="256">
        <f t="shared" si="0"/>
        <v>28</v>
      </c>
      <c r="T26" s="512">
        <f t="shared" si="5"/>
        <v>9.3333333333333339</v>
      </c>
      <c r="U26" s="513">
        <f t="shared" si="6"/>
        <v>0</v>
      </c>
      <c r="V26" s="461">
        <f t="shared" si="7"/>
        <v>0</v>
      </c>
      <c r="W26" s="314">
        <v>2021</v>
      </c>
      <c r="X26" s="252" t="s">
        <v>307</v>
      </c>
      <c r="Y26" s="105"/>
      <c r="Z26" s="105"/>
      <c r="AA26" s="104"/>
      <c r="AB26" s="244">
        <v>46001</v>
      </c>
      <c r="AC26" s="245">
        <v>2024</v>
      </c>
      <c r="AD26" s="246" t="s">
        <v>584</v>
      </c>
      <c r="AE26" s="247">
        <v>203</v>
      </c>
      <c r="AF26" s="246" t="s">
        <v>378</v>
      </c>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row>
    <row r="27" spans="1:86" ht="15.75" customHeight="1" x14ac:dyDescent="0.2">
      <c r="A27" s="252">
        <v>133687</v>
      </c>
      <c r="B27" s="116">
        <v>2021</v>
      </c>
      <c r="C27" s="252" t="s">
        <v>278</v>
      </c>
      <c r="D27" s="512">
        <v>0</v>
      </c>
      <c r="E27" s="241">
        <v>556</v>
      </c>
      <c r="F27" s="241">
        <v>0</v>
      </c>
      <c r="G27" s="283">
        <v>3</v>
      </c>
      <c r="H27" s="283"/>
      <c r="I27" s="283"/>
      <c r="J27" s="283"/>
      <c r="K27" s="283"/>
      <c r="L27" s="283"/>
      <c r="M27" s="283"/>
      <c r="N27" s="283"/>
      <c r="O27" s="283"/>
      <c r="P27" s="283"/>
      <c r="Q27" s="283"/>
      <c r="R27" s="283"/>
      <c r="S27" s="256">
        <f t="shared" si="0"/>
        <v>3</v>
      </c>
      <c r="T27" s="512">
        <f t="shared" si="5"/>
        <v>3</v>
      </c>
      <c r="U27" s="513">
        <f t="shared" si="6"/>
        <v>184.33333333333334</v>
      </c>
      <c r="V27" s="461">
        <f t="shared" si="7"/>
        <v>553</v>
      </c>
      <c r="W27" s="314">
        <v>2021</v>
      </c>
      <c r="X27" s="252" t="s">
        <v>278</v>
      </c>
      <c r="Y27" s="105"/>
      <c r="Z27" s="105"/>
      <c r="AA27" s="104"/>
      <c r="AB27" s="244">
        <v>46001</v>
      </c>
      <c r="AC27" s="245">
        <v>2024</v>
      </c>
      <c r="AD27" s="246" t="s">
        <v>22</v>
      </c>
      <c r="AE27" s="247">
        <v>254</v>
      </c>
      <c r="AF27" s="246" t="s">
        <v>378</v>
      </c>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c r="BU27" s="104"/>
      <c r="BV27" s="104"/>
      <c r="BW27" s="104"/>
      <c r="BX27" s="104"/>
      <c r="BY27" s="104"/>
      <c r="BZ27" s="104"/>
      <c r="CA27" s="104"/>
      <c r="CB27" s="104"/>
      <c r="CC27" s="104"/>
      <c r="CD27" s="104"/>
      <c r="CE27" s="104"/>
      <c r="CF27" s="104"/>
      <c r="CG27" s="104"/>
      <c r="CH27" s="104"/>
    </row>
    <row r="28" spans="1:86" ht="15.75" customHeight="1" x14ac:dyDescent="0.2">
      <c r="A28" s="252">
        <v>168932</v>
      </c>
      <c r="B28" s="116" t="s">
        <v>35</v>
      </c>
      <c r="C28" s="252" t="s">
        <v>549</v>
      </c>
      <c r="D28" s="512">
        <v>51</v>
      </c>
      <c r="E28" s="241">
        <v>338</v>
      </c>
      <c r="F28" s="241">
        <v>0</v>
      </c>
      <c r="G28" s="241">
        <v>25</v>
      </c>
      <c r="H28" s="241">
        <v>31</v>
      </c>
      <c r="I28" s="241">
        <v>20</v>
      </c>
      <c r="J28" s="241">
        <v>24</v>
      </c>
      <c r="K28" s="241">
        <v>61</v>
      </c>
      <c r="L28" s="241">
        <v>23</v>
      </c>
      <c r="M28" s="241">
        <v>37</v>
      </c>
      <c r="N28" s="241">
        <v>58</v>
      </c>
      <c r="O28" s="241">
        <v>55</v>
      </c>
      <c r="P28" s="241">
        <v>4</v>
      </c>
      <c r="Q28" s="281"/>
      <c r="R28" s="281"/>
      <c r="S28" s="256">
        <f t="shared" si="0"/>
        <v>338</v>
      </c>
      <c r="T28" s="512">
        <f t="shared" si="5"/>
        <v>33.799999999999997</v>
      </c>
      <c r="U28" s="513">
        <f t="shared" si="6"/>
        <v>0</v>
      </c>
      <c r="V28" s="461">
        <f t="shared" si="7"/>
        <v>0</v>
      </c>
      <c r="W28" s="314" t="s">
        <v>550</v>
      </c>
      <c r="X28" s="252"/>
      <c r="Y28" s="105"/>
      <c r="Z28" s="105"/>
      <c r="AA28" s="104"/>
      <c r="AB28" s="244">
        <v>46001</v>
      </c>
      <c r="AC28" s="245">
        <v>2024</v>
      </c>
      <c r="AD28" s="246" t="s">
        <v>547</v>
      </c>
      <c r="AE28" s="247">
        <v>121</v>
      </c>
      <c r="AF28" s="246" t="s">
        <v>378</v>
      </c>
      <c r="AG28" s="104"/>
      <c r="AH28" s="104"/>
      <c r="AI28" s="104"/>
      <c r="AJ28" s="104" t="s">
        <v>35</v>
      </c>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c r="BP28" s="104"/>
      <c r="BQ28" s="104"/>
      <c r="BR28" s="104"/>
      <c r="BS28" s="104"/>
      <c r="BT28" s="104"/>
      <c r="BU28" s="104"/>
      <c r="BV28" s="104"/>
      <c r="BW28" s="104"/>
      <c r="BX28" s="104"/>
      <c r="BY28" s="104"/>
      <c r="BZ28" s="104"/>
      <c r="CA28" s="104"/>
      <c r="CB28" s="104"/>
      <c r="CC28" s="104"/>
      <c r="CD28" s="104"/>
      <c r="CE28" s="104"/>
      <c r="CF28" s="104"/>
      <c r="CG28" s="104"/>
      <c r="CH28" s="104"/>
    </row>
    <row r="29" spans="1:86" ht="15.75" customHeight="1" x14ac:dyDescent="0.2">
      <c r="A29" s="249"/>
      <c r="B29" s="315"/>
      <c r="C29" s="249"/>
      <c r="D29" s="510"/>
      <c r="E29" s="530"/>
      <c r="F29" s="530"/>
      <c r="G29" s="294"/>
      <c r="H29" s="294"/>
      <c r="I29" s="294"/>
      <c r="J29" s="294"/>
      <c r="K29" s="294"/>
      <c r="L29" s="294"/>
      <c r="M29" s="294"/>
      <c r="N29" s="294"/>
      <c r="O29" s="294"/>
      <c r="P29" s="294"/>
      <c r="Q29" s="294"/>
      <c r="R29" s="294"/>
      <c r="S29" s="251"/>
      <c r="T29" s="510"/>
      <c r="U29" s="511"/>
      <c r="V29" s="462"/>
      <c r="W29" s="316"/>
      <c r="X29" s="249"/>
      <c r="Y29" s="105"/>
      <c r="Z29" s="105"/>
      <c r="AA29" s="104"/>
      <c r="AB29" s="244">
        <v>46001</v>
      </c>
      <c r="AC29" s="245">
        <v>2024</v>
      </c>
      <c r="AD29" s="246" t="s">
        <v>763</v>
      </c>
      <c r="AE29" s="247">
        <v>608</v>
      </c>
      <c r="AF29" s="246" t="s">
        <v>378</v>
      </c>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row>
    <row r="30" spans="1:86" ht="15.75" customHeight="1" x14ac:dyDescent="0.2">
      <c r="A30" s="487">
        <v>11198</v>
      </c>
      <c r="B30" s="255">
        <v>2022</v>
      </c>
      <c r="C30" s="252" t="s">
        <v>46</v>
      </c>
      <c r="D30" s="512">
        <v>26.25</v>
      </c>
      <c r="E30" s="241">
        <v>71</v>
      </c>
      <c r="F30" s="241">
        <v>0</v>
      </c>
      <c r="G30" s="241">
        <v>12</v>
      </c>
      <c r="H30" s="241">
        <v>14</v>
      </c>
      <c r="I30" s="241">
        <v>20</v>
      </c>
      <c r="J30" s="241">
        <v>25</v>
      </c>
      <c r="K30" s="281"/>
      <c r="L30" s="281"/>
      <c r="M30" s="281"/>
      <c r="N30" s="281"/>
      <c r="O30" s="281"/>
      <c r="P30" s="281"/>
      <c r="Q30" s="281"/>
      <c r="R30" s="281"/>
      <c r="S30" s="256">
        <f t="shared" ref="S30:S34" si="8">SUM(G30:R30)</f>
        <v>71</v>
      </c>
      <c r="T30" s="512">
        <f t="shared" ref="T30:T96" si="9">IFERROR((AVERAGE(G30:R30)),0)</f>
        <v>17.75</v>
      </c>
      <c r="U30" s="513">
        <f t="shared" ref="U30:U96" si="10">IFERROR((V30/T30),0)</f>
        <v>0</v>
      </c>
      <c r="V30" s="461">
        <f t="shared" ref="V30:V45" si="11">E30+F30-S30</f>
        <v>0</v>
      </c>
      <c r="W30" s="314">
        <v>2022</v>
      </c>
      <c r="X30" s="252" t="s">
        <v>46</v>
      </c>
      <c r="Y30" s="105"/>
      <c r="Z30" s="105"/>
      <c r="AA30" s="104"/>
      <c r="AB30" s="244">
        <v>46001</v>
      </c>
      <c r="AC30" s="245">
        <v>2024</v>
      </c>
      <c r="AD30" s="246" t="s">
        <v>764</v>
      </c>
      <c r="AE30" s="247">
        <v>174</v>
      </c>
      <c r="AF30" s="246" t="s">
        <v>378</v>
      </c>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row>
    <row r="31" spans="1:86" ht="15.75" customHeight="1" x14ac:dyDescent="0.2">
      <c r="A31" s="487">
        <v>57632</v>
      </c>
      <c r="B31" s="255">
        <v>2022</v>
      </c>
      <c r="C31" s="252" t="s">
        <v>31</v>
      </c>
      <c r="D31" s="512">
        <v>0</v>
      </c>
      <c r="E31" s="241">
        <v>215</v>
      </c>
      <c r="F31" s="241">
        <v>0</v>
      </c>
      <c r="G31" s="310">
        <v>11</v>
      </c>
      <c r="H31" s="293"/>
      <c r="I31" s="293"/>
      <c r="J31" s="293"/>
      <c r="K31" s="293"/>
      <c r="L31" s="293"/>
      <c r="M31" s="293"/>
      <c r="N31" s="293"/>
      <c r="O31" s="293"/>
      <c r="P31" s="293"/>
      <c r="Q31" s="241">
        <v>81</v>
      </c>
      <c r="R31" s="241">
        <f>14-4</f>
        <v>10</v>
      </c>
      <c r="S31" s="256">
        <f t="shared" si="8"/>
        <v>102</v>
      </c>
      <c r="T31" s="512">
        <f t="shared" si="9"/>
        <v>34</v>
      </c>
      <c r="U31" s="513">
        <f t="shared" si="10"/>
        <v>3.3235294117647061</v>
      </c>
      <c r="V31" s="461">
        <f t="shared" si="11"/>
        <v>113</v>
      </c>
      <c r="W31" s="314">
        <v>2022</v>
      </c>
      <c r="X31" s="252" t="s">
        <v>31</v>
      </c>
      <c r="Y31" s="105"/>
      <c r="Z31" s="105"/>
      <c r="AA31" s="104"/>
      <c r="AB31" s="244"/>
      <c r="AC31" s="245"/>
      <c r="AD31" s="246"/>
      <c r="AE31" s="247"/>
      <c r="AF31" s="246"/>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104"/>
      <c r="CG31" s="104"/>
      <c r="CH31" s="104"/>
    </row>
    <row r="32" spans="1:86" ht="15.75" customHeight="1" x14ac:dyDescent="0.2">
      <c r="A32" s="487">
        <v>57632</v>
      </c>
      <c r="B32" s="255">
        <v>2022</v>
      </c>
      <c r="C32" s="252" t="s">
        <v>615</v>
      </c>
      <c r="D32" s="512">
        <v>3.4444444444444446</v>
      </c>
      <c r="E32" s="241">
        <v>11</v>
      </c>
      <c r="F32" s="241">
        <v>0</v>
      </c>
      <c r="G32" s="293">
        <v>3</v>
      </c>
      <c r="H32" s="293">
        <v>2</v>
      </c>
      <c r="I32" s="293">
        <v>6</v>
      </c>
      <c r="J32" s="281"/>
      <c r="K32" s="281"/>
      <c r="L32" s="281"/>
      <c r="M32" s="281"/>
      <c r="N32" s="281"/>
      <c r="O32" s="281"/>
      <c r="P32" s="281"/>
      <c r="Q32" s="281"/>
      <c r="R32" s="281"/>
      <c r="S32" s="256">
        <f t="shared" si="8"/>
        <v>11</v>
      </c>
      <c r="T32" s="512">
        <f t="shared" si="9"/>
        <v>3.6666666666666665</v>
      </c>
      <c r="U32" s="513">
        <f t="shared" si="10"/>
        <v>0</v>
      </c>
      <c r="V32" s="461">
        <f t="shared" si="11"/>
        <v>0</v>
      </c>
      <c r="W32" s="314">
        <v>2022</v>
      </c>
      <c r="X32" s="252" t="s">
        <v>31</v>
      </c>
      <c r="Y32" s="105"/>
      <c r="Z32" s="105"/>
      <c r="AA32" s="104"/>
      <c r="AB32" s="244"/>
      <c r="AC32" s="245"/>
      <c r="AD32" s="246"/>
      <c r="AE32" s="247"/>
      <c r="AF32" s="246"/>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c r="BY32" s="104"/>
      <c r="BZ32" s="104"/>
      <c r="CA32" s="104"/>
      <c r="CB32" s="104"/>
      <c r="CC32" s="104"/>
      <c r="CD32" s="104"/>
      <c r="CE32" s="104"/>
      <c r="CF32" s="104"/>
      <c r="CG32" s="104"/>
      <c r="CH32" s="104"/>
    </row>
    <row r="33" spans="1:86" ht="15.75" customHeight="1" x14ac:dyDescent="0.2">
      <c r="A33" s="487">
        <v>57630</v>
      </c>
      <c r="B33" s="255">
        <v>2022</v>
      </c>
      <c r="C33" s="252" t="s">
        <v>25</v>
      </c>
      <c r="D33" s="512">
        <v>4</v>
      </c>
      <c r="E33" s="241">
        <v>338</v>
      </c>
      <c r="F33" s="241">
        <v>0</v>
      </c>
      <c r="G33" s="310">
        <v>10</v>
      </c>
      <c r="H33" s="293"/>
      <c r="I33" s="241">
        <v>14</v>
      </c>
      <c r="J33" s="241">
        <v>23</v>
      </c>
      <c r="K33" s="241">
        <v>33</v>
      </c>
      <c r="L33" s="241">
        <v>27</v>
      </c>
      <c r="M33" s="241">
        <v>25</v>
      </c>
      <c r="N33" s="241">
        <v>55</v>
      </c>
      <c r="O33" s="241">
        <v>38</v>
      </c>
      <c r="P33" s="241">
        <v>28</v>
      </c>
      <c r="Q33" s="241">
        <v>26</v>
      </c>
      <c r="R33" s="241">
        <f>19-3</f>
        <v>16</v>
      </c>
      <c r="S33" s="256">
        <f t="shared" si="8"/>
        <v>295</v>
      </c>
      <c r="T33" s="512">
        <f t="shared" si="9"/>
        <v>26.818181818181817</v>
      </c>
      <c r="U33" s="513">
        <f t="shared" si="10"/>
        <v>1.6033898305084746</v>
      </c>
      <c r="V33" s="461">
        <f t="shared" si="11"/>
        <v>43</v>
      </c>
      <c r="W33" s="314">
        <v>2022</v>
      </c>
      <c r="X33" s="252" t="s">
        <v>25</v>
      </c>
      <c r="Y33" s="105"/>
      <c r="Z33" s="105"/>
      <c r="AA33" s="104"/>
      <c r="AB33" s="244"/>
      <c r="AC33" s="245"/>
      <c r="AD33" s="246"/>
      <c r="AE33" s="247"/>
      <c r="AF33" s="246"/>
      <c r="AG33" s="104"/>
      <c r="AH33" s="104" t="s">
        <v>35</v>
      </c>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4"/>
      <c r="CD33" s="104"/>
      <c r="CE33" s="104"/>
      <c r="CF33" s="104"/>
      <c r="CG33" s="104"/>
      <c r="CH33" s="104"/>
    </row>
    <row r="34" spans="1:86" ht="15.75" customHeight="1" x14ac:dyDescent="0.2">
      <c r="A34" s="487">
        <v>111575</v>
      </c>
      <c r="B34" s="255">
        <v>2022</v>
      </c>
      <c r="C34" s="252" t="s">
        <v>110</v>
      </c>
      <c r="D34" s="512">
        <v>24</v>
      </c>
      <c r="E34" s="241">
        <v>90</v>
      </c>
      <c r="F34" s="241">
        <v>0</v>
      </c>
      <c r="G34" s="241">
        <v>29</v>
      </c>
      <c r="H34" s="241">
        <v>43</v>
      </c>
      <c r="I34" s="241">
        <v>18</v>
      </c>
      <c r="J34" s="311"/>
      <c r="K34" s="311"/>
      <c r="L34" s="311"/>
      <c r="M34" s="311"/>
      <c r="N34" s="311"/>
      <c r="O34" s="311"/>
      <c r="P34" s="311"/>
      <c r="Q34" s="311"/>
      <c r="R34" s="311"/>
      <c r="S34" s="256">
        <f t="shared" si="8"/>
        <v>90</v>
      </c>
      <c r="T34" s="512">
        <f t="shared" si="9"/>
        <v>30</v>
      </c>
      <c r="U34" s="513">
        <f t="shared" si="10"/>
        <v>0</v>
      </c>
      <c r="V34" s="461">
        <f t="shared" si="11"/>
        <v>0</v>
      </c>
      <c r="W34" s="314">
        <v>2022</v>
      </c>
      <c r="X34" s="252" t="s">
        <v>110</v>
      </c>
      <c r="Y34" s="105"/>
      <c r="Z34" s="105"/>
      <c r="AA34" s="104"/>
      <c r="AB34" s="244"/>
      <c r="AC34" s="245"/>
      <c r="AD34" s="246"/>
      <c r="AE34" s="247"/>
      <c r="AF34" s="246"/>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4"/>
      <c r="CG34" s="104"/>
      <c r="CH34" s="104"/>
    </row>
    <row r="35" spans="1:86" ht="15.75" customHeight="1" x14ac:dyDescent="0.2">
      <c r="A35" s="487">
        <v>133688</v>
      </c>
      <c r="B35" s="255">
        <v>2022</v>
      </c>
      <c r="C35" s="252" t="s">
        <v>23</v>
      </c>
      <c r="D35" s="512">
        <v>18</v>
      </c>
      <c r="E35" s="241">
        <v>202</v>
      </c>
      <c r="F35" s="241">
        <v>0</v>
      </c>
      <c r="G35" s="293">
        <v>1</v>
      </c>
      <c r="H35" s="293"/>
      <c r="I35" s="293"/>
      <c r="J35" s="293"/>
      <c r="K35" s="293"/>
      <c r="L35" s="293"/>
      <c r="M35" s="293"/>
      <c r="N35" s="293"/>
      <c r="O35" s="293"/>
      <c r="P35" s="293"/>
      <c r="Q35" s="293"/>
      <c r="R35" s="293"/>
      <c r="S35" s="256">
        <f t="shared" ref="S35:S45" si="12">SUM(G35:R35)</f>
        <v>1</v>
      </c>
      <c r="T35" s="512">
        <f t="shared" si="9"/>
        <v>1</v>
      </c>
      <c r="U35" s="513">
        <f t="shared" si="10"/>
        <v>201</v>
      </c>
      <c r="V35" s="461">
        <f t="shared" si="11"/>
        <v>201</v>
      </c>
      <c r="W35" s="314">
        <v>2022</v>
      </c>
      <c r="X35" s="252" t="s">
        <v>23</v>
      </c>
      <c r="Y35" s="105"/>
      <c r="Z35" s="105"/>
      <c r="AA35" s="104"/>
      <c r="AB35" s="244"/>
      <c r="AC35" s="245"/>
      <c r="AD35" s="246"/>
      <c r="AE35" s="247"/>
      <c r="AF35" s="246"/>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4"/>
      <c r="CG35" s="104"/>
      <c r="CH35" s="104"/>
    </row>
    <row r="36" spans="1:86" ht="15.75" customHeight="1" x14ac:dyDescent="0.2">
      <c r="A36" s="487">
        <v>133687</v>
      </c>
      <c r="B36" s="255">
        <v>2022</v>
      </c>
      <c r="C36" s="252" t="s">
        <v>93</v>
      </c>
      <c r="D36" s="512">
        <v>8</v>
      </c>
      <c r="E36" s="241">
        <v>90</v>
      </c>
      <c r="F36" s="241">
        <v>0</v>
      </c>
      <c r="G36" s="293" t="s">
        <v>35</v>
      </c>
      <c r="H36" s="293"/>
      <c r="I36" s="293"/>
      <c r="J36" s="293"/>
      <c r="K36" s="293"/>
      <c r="L36" s="293"/>
      <c r="M36" s="293"/>
      <c r="N36" s="293"/>
      <c r="O36" s="293"/>
      <c r="P36" s="293"/>
      <c r="Q36" s="293"/>
      <c r="R36" s="293"/>
      <c r="S36" s="256">
        <f t="shared" si="12"/>
        <v>0</v>
      </c>
      <c r="T36" s="512">
        <f t="shared" si="9"/>
        <v>0</v>
      </c>
      <c r="U36" s="513">
        <f t="shared" si="10"/>
        <v>0</v>
      </c>
      <c r="V36" s="461">
        <f t="shared" si="11"/>
        <v>90</v>
      </c>
      <c r="W36" s="314">
        <v>2022</v>
      </c>
      <c r="X36" s="252" t="s">
        <v>393</v>
      </c>
      <c r="Y36" s="105"/>
      <c r="Z36" s="105"/>
      <c r="AA36" s="104"/>
      <c r="AB36" s="244"/>
      <c r="AC36" s="245"/>
      <c r="AD36" s="246"/>
      <c r="AE36" s="247"/>
      <c r="AF36" s="246"/>
      <c r="AG36" s="104"/>
      <c r="AH36" s="104"/>
      <c r="AI36" s="104" t="s">
        <v>682</v>
      </c>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row>
    <row r="37" spans="1:86" ht="15.75" customHeight="1" x14ac:dyDescent="0.2">
      <c r="A37" s="104">
        <v>27736</v>
      </c>
      <c r="B37" s="255">
        <v>2022</v>
      </c>
      <c r="C37" s="252" t="s">
        <v>70</v>
      </c>
      <c r="D37" s="512">
        <v>13</v>
      </c>
      <c r="E37" s="241">
        <v>294</v>
      </c>
      <c r="F37" s="241">
        <v>0</v>
      </c>
      <c r="G37" s="293"/>
      <c r="H37" s="293"/>
      <c r="I37" s="293"/>
      <c r="J37" s="293"/>
      <c r="K37" s="293"/>
      <c r="L37" s="293"/>
      <c r="M37" s="293"/>
      <c r="N37" s="293"/>
      <c r="O37" s="293"/>
      <c r="P37" s="293"/>
      <c r="Q37" s="293"/>
      <c r="R37" s="293"/>
      <c r="S37" s="256">
        <f t="shared" si="12"/>
        <v>0</v>
      </c>
      <c r="T37" s="512">
        <f t="shared" si="9"/>
        <v>0</v>
      </c>
      <c r="U37" s="513">
        <f t="shared" si="10"/>
        <v>0</v>
      </c>
      <c r="V37" s="461">
        <f t="shared" si="11"/>
        <v>294</v>
      </c>
      <c r="W37" s="314">
        <v>2022</v>
      </c>
      <c r="X37" s="252" t="s">
        <v>116</v>
      </c>
      <c r="Y37"/>
      <c r="Z37"/>
      <c r="AA37" s="104"/>
      <c r="AB37" s="244"/>
      <c r="AC37" s="245"/>
      <c r="AD37" s="246"/>
      <c r="AE37" s="247"/>
      <c r="AF37" s="246"/>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04"/>
      <c r="BZ37" s="104"/>
      <c r="CA37" s="104"/>
      <c r="CB37" s="104"/>
      <c r="CC37" s="104"/>
      <c r="CD37" s="104"/>
      <c r="CE37" s="104"/>
      <c r="CF37" s="104"/>
      <c r="CG37" s="104"/>
      <c r="CH37" s="104"/>
    </row>
    <row r="38" spans="1:86" ht="15.75" customHeight="1" x14ac:dyDescent="0.2">
      <c r="A38" s="535">
        <v>34641</v>
      </c>
      <c r="B38" s="255">
        <v>2022</v>
      </c>
      <c r="C38" s="252" t="s">
        <v>118</v>
      </c>
      <c r="D38" s="512">
        <v>4.4000000000000004</v>
      </c>
      <c r="E38" s="241">
        <v>331</v>
      </c>
      <c r="F38" s="241">
        <v>0</v>
      </c>
      <c r="G38" s="293">
        <v>4</v>
      </c>
      <c r="H38" s="293"/>
      <c r="I38" s="293"/>
      <c r="J38" s="293"/>
      <c r="K38" s="293"/>
      <c r="L38" s="293"/>
      <c r="M38" s="293"/>
      <c r="N38" s="293"/>
      <c r="O38" s="293"/>
      <c r="P38" s="293"/>
      <c r="Q38" s="293"/>
      <c r="R38" s="293">
        <v>2</v>
      </c>
      <c r="S38" s="256">
        <f t="shared" si="12"/>
        <v>6</v>
      </c>
      <c r="T38" s="512">
        <f t="shared" si="9"/>
        <v>3</v>
      </c>
      <c r="U38" s="513">
        <f t="shared" si="10"/>
        <v>108.33333333333333</v>
      </c>
      <c r="V38" s="461">
        <f t="shared" si="11"/>
        <v>325</v>
      </c>
      <c r="W38" s="314">
        <v>2022</v>
      </c>
      <c r="X38" s="252" t="s">
        <v>118</v>
      </c>
      <c r="Y38"/>
      <c r="Z38"/>
      <c r="AA38" s="104"/>
      <c r="AB38" s="244"/>
      <c r="AC38" s="245"/>
      <c r="AD38" s="246"/>
      <c r="AE38" s="247"/>
      <c r="AF38" s="246"/>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4"/>
      <c r="CG38" s="104"/>
      <c r="CH38" s="104"/>
    </row>
    <row r="39" spans="1:86" ht="15.75" customHeight="1" x14ac:dyDescent="0.2">
      <c r="A39" s="104"/>
      <c r="B39" s="255">
        <v>2022</v>
      </c>
      <c r="C39" s="252" t="s">
        <v>695</v>
      </c>
      <c r="D39" s="512">
        <v>3</v>
      </c>
      <c r="E39" s="241">
        <v>17</v>
      </c>
      <c r="F39" s="241">
        <v>0</v>
      </c>
      <c r="G39" s="241"/>
      <c r="H39" s="241"/>
      <c r="I39" s="241">
        <v>7</v>
      </c>
      <c r="J39" s="241">
        <v>4</v>
      </c>
      <c r="K39" s="241">
        <v>4</v>
      </c>
      <c r="L39" s="241">
        <v>1</v>
      </c>
      <c r="M39" s="241">
        <v>0</v>
      </c>
      <c r="N39" s="241">
        <v>0</v>
      </c>
      <c r="O39" s="241">
        <v>0</v>
      </c>
      <c r="P39" s="241">
        <v>1</v>
      </c>
      <c r="Q39" s="281"/>
      <c r="R39" s="281"/>
      <c r="S39" s="256">
        <f>SUM(G39:R39)</f>
        <v>17</v>
      </c>
      <c r="T39" s="512">
        <f>IFERROR((AVERAGE(G39:R39)),0)</f>
        <v>2.125</v>
      </c>
      <c r="U39" s="513">
        <f>IFERROR((V39/T39),0)</f>
        <v>0</v>
      </c>
      <c r="V39" s="461">
        <f>E39+F39-S39</f>
        <v>0</v>
      </c>
      <c r="W39" s="314">
        <v>2022</v>
      </c>
      <c r="X39" s="252" t="s">
        <v>695</v>
      </c>
      <c r="Y39"/>
      <c r="Z39"/>
      <c r="AA39" s="104"/>
      <c r="AB39" s="244"/>
      <c r="AC39" s="245"/>
      <c r="AD39" s="246"/>
      <c r="AE39" s="247"/>
      <c r="AF39" s="246"/>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4"/>
      <c r="CH39" s="104"/>
    </row>
    <row r="40" spans="1:86" ht="15.75" customHeight="1" x14ac:dyDescent="0.2">
      <c r="A40" s="104">
        <v>196105</v>
      </c>
      <c r="B40" s="255">
        <v>2022</v>
      </c>
      <c r="C40" s="252" t="s">
        <v>547</v>
      </c>
      <c r="D40" s="512">
        <v>6.8888888888888893</v>
      </c>
      <c r="E40" s="241">
        <v>194</v>
      </c>
      <c r="F40" s="241">
        <v>0</v>
      </c>
      <c r="G40" s="283">
        <v>8</v>
      </c>
      <c r="H40" s="283"/>
      <c r="I40" s="283"/>
      <c r="J40" s="283">
        <v>13</v>
      </c>
      <c r="K40" s="283">
        <v>10</v>
      </c>
      <c r="L40" s="283">
        <v>7</v>
      </c>
      <c r="M40" s="283">
        <v>11</v>
      </c>
      <c r="N40" s="283">
        <v>8</v>
      </c>
      <c r="O40" s="283">
        <v>11</v>
      </c>
      <c r="P40" s="283">
        <v>10</v>
      </c>
      <c r="Q40" s="283">
        <v>4</v>
      </c>
      <c r="R40" s="283">
        <v>14</v>
      </c>
      <c r="S40" s="256">
        <f t="shared" si="12"/>
        <v>96</v>
      </c>
      <c r="T40" s="512">
        <f t="shared" si="9"/>
        <v>9.6</v>
      </c>
      <c r="U40" s="513">
        <f t="shared" si="10"/>
        <v>10.208333333333334</v>
      </c>
      <c r="V40" s="461">
        <f t="shared" si="11"/>
        <v>98</v>
      </c>
      <c r="W40" s="314">
        <v>2022</v>
      </c>
      <c r="X40" s="252" t="s">
        <v>548</v>
      </c>
      <c r="Y40"/>
      <c r="Z40"/>
      <c r="AA40" s="104"/>
      <c r="AB40" s="244"/>
      <c r="AC40" s="245"/>
      <c r="AD40" s="246"/>
      <c r="AE40" s="247"/>
      <c r="AF40" s="246"/>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4"/>
      <c r="CH40" s="104"/>
    </row>
    <row r="41" spans="1:86" x14ac:dyDescent="0.2">
      <c r="A41" s="487">
        <v>135371</v>
      </c>
      <c r="B41" s="255">
        <v>2022</v>
      </c>
      <c r="C41" s="252" t="s">
        <v>307</v>
      </c>
      <c r="D41" s="512">
        <v>5.5</v>
      </c>
      <c r="E41" s="241">
        <v>229</v>
      </c>
      <c r="F41" s="241">
        <v>0</v>
      </c>
      <c r="G41" s="293">
        <v>5</v>
      </c>
      <c r="H41" s="293"/>
      <c r="I41" s="241">
        <v>1</v>
      </c>
      <c r="J41" s="241">
        <v>7</v>
      </c>
      <c r="K41" s="241">
        <v>12</v>
      </c>
      <c r="L41" s="241">
        <v>7</v>
      </c>
      <c r="M41" s="241">
        <v>4</v>
      </c>
      <c r="N41" s="241">
        <v>9</v>
      </c>
      <c r="O41" s="241">
        <v>8</v>
      </c>
      <c r="P41" s="241">
        <v>11</v>
      </c>
      <c r="Q41" s="241">
        <v>24</v>
      </c>
      <c r="R41" s="241">
        <f>13-3</f>
        <v>10</v>
      </c>
      <c r="S41" s="256">
        <f t="shared" si="12"/>
        <v>98</v>
      </c>
      <c r="T41" s="512">
        <f t="shared" si="9"/>
        <v>8.9090909090909083</v>
      </c>
      <c r="U41" s="513">
        <f t="shared" si="10"/>
        <v>14.704081632653063</v>
      </c>
      <c r="V41" s="461">
        <f t="shared" si="11"/>
        <v>131</v>
      </c>
      <c r="W41" s="314">
        <v>2022</v>
      </c>
      <c r="X41" s="252" t="s">
        <v>627</v>
      </c>
      <c r="Y41"/>
      <c r="Z41"/>
      <c r="AA41" s="104"/>
      <c r="AB41" s="244"/>
      <c r="AC41" s="245"/>
      <c r="AD41" s="246"/>
      <c r="AE41" s="247"/>
      <c r="AF41" s="246"/>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row>
    <row r="42" spans="1:86" ht="15.75" customHeight="1" x14ac:dyDescent="0.2">
      <c r="A42" s="487">
        <v>133687</v>
      </c>
      <c r="B42" s="255">
        <v>2022</v>
      </c>
      <c r="C42" s="252" t="s">
        <v>278</v>
      </c>
      <c r="D42" s="512">
        <v>1.5</v>
      </c>
      <c r="E42" s="241">
        <v>391</v>
      </c>
      <c r="F42" s="241">
        <v>0</v>
      </c>
      <c r="G42" s="293"/>
      <c r="H42" s="293"/>
      <c r="I42" s="293"/>
      <c r="J42" s="293"/>
      <c r="K42" s="293"/>
      <c r="L42" s="293"/>
      <c r="M42" s="293"/>
      <c r="N42" s="293"/>
      <c r="O42" s="293"/>
      <c r="P42" s="293"/>
      <c r="Q42" s="293"/>
      <c r="R42" s="293"/>
      <c r="S42" s="256">
        <f t="shared" si="12"/>
        <v>0</v>
      </c>
      <c r="T42" s="512">
        <f t="shared" si="9"/>
        <v>0</v>
      </c>
      <c r="U42" s="513">
        <f t="shared" si="10"/>
        <v>0</v>
      </c>
      <c r="V42" s="461">
        <f t="shared" si="11"/>
        <v>391</v>
      </c>
      <c r="W42" s="314">
        <v>2022</v>
      </c>
      <c r="X42" s="252" t="s">
        <v>278</v>
      </c>
      <c r="Y42"/>
      <c r="Z42" s="124"/>
      <c r="AA42" s="104"/>
      <c r="AB42" s="244"/>
      <c r="AC42" s="245"/>
      <c r="AD42" s="246"/>
      <c r="AE42" s="247"/>
      <c r="AF42" s="246"/>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4"/>
      <c r="CA42" s="104"/>
      <c r="CB42" s="104"/>
      <c r="CC42" s="104"/>
      <c r="CD42" s="104"/>
      <c r="CE42" s="104"/>
      <c r="CF42" s="104"/>
      <c r="CG42" s="104"/>
      <c r="CH42" s="104"/>
    </row>
    <row r="43" spans="1:86" ht="15.75" customHeight="1" x14ac:dyDescent="0.2">
      <c r="A43" s="487">
        <v>168932</v>
      </c>
      <c r="B43" s="255">
        <v>2022</v>
      </c>
      <c r="C43" s="252" t="s">
        <v>630</v>
      </c>
      <c r="D43" s="512">
        <v>6.5</v>
      </c>
      <c r="E43" s="241">
        <v>496</v>
      </c>
      <c r="F43" s="241">
        <v>0</v>
      </c>
      <c r="G43" s="293">
        <v>1</v>
      </c>
      <c r="H43" s="293"/>
      <c r="I43" s="293">
        <v>1</v>
      </c>
      <c r="J43" s="293"/>
      <c r="K43" s="293"/>
      <c r="L43" s="293"/>
      <c r="M43" s="293"/>
      <c r="N43" s="293"/>
      <c r="O43" s="293"/>
      <c r="P43" s="241">
        <v>55</v>
      </c>
      <c r="Q43" s="241">
        <v>107</v>
      </c>
      <c r="R43" s="241">
        <f>41-4</f>
        <v>37</v>
      </c>
      <c r="S43" s="256">
        <f t="shared" si="12"/>
        <v>201</v>
      </c>
      <c r="T43" s="512">
        <f t="shared" si="9"/>
        <v>40.200000000000003</v>
      </c>
      <c r="U43" s="513">
        <f t="shared" si="10"/>
        <v>7.3383084577114426</v>
      </c>
      <c r="V43" s="461">
        <f t="shared" si="11"/>
        <v>295</v>
      </c>
      <c r="W43" s="314" t="s">
        <v>631</v>
      </c>
      <c r="X43" s="252"/>
      <c r="Y43"/>
      <c r="Z43" s="124"/>
      <c r="AA43" s="105"/>
      <c r="AB43" s="244"/>
      <c r="AC43" s="245"/>
      <c r="AD43" s="246"/>
      <c r="AE43" s="247"/>
      <c r="AF43" s="246"/>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row>
    <row r="44" spans="1:86" ht="15.75" customHeight="1" x14ac:dyDescent="0.2">
      <c r="A44" s="487"/>
      <c r="B44" s="255"/>
      <c r="C44" s="252" t="s">
        <v>134</v>
      </c>
      <c r="D44" s="512">
        <v>6.666666666666667</v>
      </c>
      <c r="E44" s="241">
        <v>-2</v>
      </c>
      <c r="F44" s="241">
        <v>0</v>
      </c>
      <c r="G44" s="311"/>
      <c r="H44" s="311"/>
      <c r="I44" s="311"/>
      <c r="J44" s="311"/>
      <c r="K44" s="311"/>
      <c r="L44" s="311"/>
      <c r="M44" s="311"/>
      <c r="N44" s="311"/>
      <c r="O44" s="311"/>
      <c r="P44" s="311"/>
      <c r="Q44" s="311"/>
      <c r="R44" s="311"/>
      <c r="S44" s="256">
        <f t="shared" si="12"/>
        <v>0</v>
      </c>
      <c r="T44" s="512">
        <f t="shared" si="9"/>
        <v>0</v>
      </c>
      <c r="U44" s="513">
        <f t="shared" si="10"/>
        <v>0</v>
      </c>
      <c r="V44" s="461">
        <f t="shared" si="11"/>
        <v>-2</v>
      </c>
      <c r="W44" s="314"/>
      <c r="X44" s="252" t="s">
        <v>134</v>
      </c>
      <c r="Y44"/>
      <c r="Z44" s="124"/>
      <c r="AA44" s="105"/>
      <c r="AB44" s="244"/>
      <c r="AC44" s="245"/>
      <c r="AD44" s="246"/>
      <c r="AE44" s="247"/>
      <c r="AF44" s="246"/>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row>
    <row r="45" spans="1:86" ht="15.75" customHeight="1" x14ac:dyDescent="0.2">
      <c r="A45" s="252"/>
      <c r="B45" s="116">
        <v>2022</v>
      </c>
      <c r="C45" s="252" t="s">
        <v>633</v>
      </c>
      <c r="D45" s="512">
        <v>5.4444444444444446</v>
      </c>
      <c r="E45" s="241">
        <v>6</v>
      </c>
      <c r="F45" s="241">
        <v>0</v>
      </c>
      <c r="G45" s="293"/>
      <c r="H45" s="293">
        <v>1</v>
      </c>
      <c r="I45" s="293">
        <v>5</v>
      </c>
      <c r="J45" s="281"/>
      <c r="K45" s="281"/>
      <c r="L45" s="281"/>
      <c r="M45" s="281"/>
      <c r="N45" s="281"/>
      <c r="O45" s="281"/>
      <c r="P45" s="281"/>
      <c r="Q45" s="281"/>
      <c r="R45" s="281"/>
      <c r="S45" s="256">
        <f t="shared" si="12"/>
        <v>6</v>
      </c>
      <c r="T45" s="512">
        <f t="shared" si="9"/>
        <v>3</v>
      </c>
      <c r="U45" s="513">
        <f t="shared" si="10"/>
        <v>0</v>
      </c>
      <c r="V45" s="461">
        <f t="shared" si="11"/>
        <v>0</v>
      </c>
      <c r="W45" s="314">
        <v>2022</v>
      </c>
      <c r="X45" s="252" t="s">
        <v>633</v>
      </c>
      <c r="Y45"/>
      <c r="Z45" s="124"/>
      <c r="AA45" s="105"/>
      <c r="AB45" s="244"/>
      <c r="AC45" s="245"/>
      <c r="AD45" s="246"/>
      <c r="AE45" s="247"/>
      <c r="AF45" s="246"/>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row>
    <row r="46" spans="1:86" ht="15.75" customHeight="1" x14ac:dyDescent="0.2">
      <c r="A46" s="249"/>
      <c r="B46" s="315" t="s">
        <v>35</v>
      </c>
      <c r="C46" s="249"/>
      <c r="D46" s="510"/>
      <c r="E46" s="530"/>
      <c r="F46" s="530"/>
      <c r="G46" s="530"/>
      <c r="H46" s="530"/>
      <c r="I46" s="530"/>
      <c r="J46" s="530"/>
      <c r="K46" s="530"/>
      <c r="L46" s="530"/>
      <c r="M46" s="530"/>
      <c r="N46" s="530"/>
      <c r="O46" s="530"/>
      <c r="P46" s="530"/>
      <c r="Q46" s="530"/>
      <c r="R46" s="530"/>
      <c r="S46" s="251"/>
      <c r="T46" s="510"/>
      <c r="U46" s="511"/>
      <c r="V46" s="462"/>
      <c r="W46" s="316"/>
      <c r="X46" s="127"/>
      <c r="Y46"/>
      <c r="Z46" s="124"/>
      <c r="AA46" s="124"/>
      <c r="AB46" s="244"/>
      <c r="AC46" s="245"/>
      <c r="AD46" s="246"/>
      <c r="AE46" s="247"/>
      <c r="AF46" s="246"/>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04"/>
      <c r="BU46" s="104"/>
      <c r="BV46" s="104"/>
      <c r="BW46" s="104"/>
      <c r="BX46" s="104"/>
      <c r="BY46" s="104"/>
      <c r="BZ46" s="104"/>
      <c r="CA46" s="104"/>
      <c r="CB46" s="104"/>
      <c r="CC46" s="104"/>
      <c r="CD46" s="104"/>
      <c r="CE46" s="104"/>
      <c r="CF46" s="104"/>
      <c r="CG46" s="104"/>
      <c r="CH46" s="104"/>
    </row>
    <row r="47" spans="1:86" ht="15.75" customHeight="1" x14ac:dyDescent="0.2">
      <c r="A47" s="487">
        <v>11198</v>
      </c>
      <c r="B47" s="255">
        <v>2023</v>
      </c>
      <c r="C47" s="252" t="s">
        <v>46</v>
      </c>
      <c r="D47" s="512">
        <v>21.5</v>
      </c>
      <c r="E47" s="241">
        <v>284</v>
      </c>
      <c r="F47" s="241">
        <v>0</v>
      </c>
      <c r="G47" s="293"/>
      <c r="H47" s="293"/>
      <c r="I47" s="293"/>
      <c r="J47" s="293"/>
      <c r="K47" s="241">
        <v>43</v>
      </c>
      <c r="L47" s="241">
        <v>22</v>
      </c>
      <c r="M47" s="241">
        <v>22</v>
      </c>
      <c r="N47" s="241">
        <v>26</v>
      </c>
      <c r="O47" s="241">
        <v>21</v>
      </c>
      <c r="P47" s="241">
        <v>32</v>
      </c>
      <c r="Q47" s="241">
        <v>19</v>
      </c>
      <c r="R47" s="241">
        <f>14-5</f>
        <v>9</v>
      </c>
      <c r="S47" s="256">
        <f t="shared" ref="S47:S66" si="13">SUM(G47:R47)</f>
        <v>194</v>
      </c>
      <c r="T47" s="512">
        <f t="shared" ref="T47:T67" si="14">IFERROR((AVERAGE(G47:R47)),0)</f>
        <v>24.25</v>
      </c>
      <c r="U47" s="513">
        <f t="shared" ref="U47:U67" si="15">IFERROR((V47/T47),0)</f>
        <v>3.7113402061855671</v>
      </c>
      <c r="V47" s="461">
        <f t="shared" ref="V47:V66" si="16">E47+F47-S47</f>
        <v>90</v>
      </c>
      <c r="W47" s="255">
        <v>2023</v>
      </c>
      <c r="X47" s="252" t="s">
        <v>46</v>
      </c>
      <c r="Y47"/>
      <c r="Z47" s="124"/>
      <c r="AA47" s="104"/>
      <c r="AB47" s="244"/>
      <c r="AC47" s="245"/>
      <c r="AD47" s="246"/>
      <c r="AE47" s="247"/>
      <c r="AF47" s="246" t="s">
        <v>35</v>
      </c>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04"/>
      <c r="BU47" s="104"/>
      <c r="BV47" s="104"/>
      <c r="BW47" s="104"/>
      <c r="BX47" s="104"/>
      <c r="BY47" s="104"/>
      <c r="BZ47" s="104"/>
      <c r="CA47" s="104"/>
      <c r="CB47" s="104"/>
      <c r="CC47" s="104"/>
      <c r="CD47" s="104"/>
      <c r="CE47" s="104"/>
      <c r="CF47" s="104"/>
      <c r="CG47" s="104"/>
      <c r="CH47" s="104"/>
    </row>
    <row r="48" spans="1:86" ht="15.75" customHeight="1" x14ac:dyDescent="0.2">
      <c r="A48" s="487">
        <v>168933</v>
      </c>
      <c r="B48" s="255">
        <v>2023</v>
      </c>
      <c r="C48" s="252" t="s">
        <v>468</v>
      </c>
      <c r="D48" s="512">
        <v>14</v>
      </c>
      <c r="E48" s="241">
        <v>190</v>
      </c>
      <c r="F48" s="241">
        <v>0</v>
      </c>
      <c r="G48" s="241">
        <v>10</v>
      </c>
      <c r="H48" s="241">
        <v>7</v>
      </c>
      <c r="I48" s="241">
        <v>8</v>
      </c>
      <c r="J48" s="241">
        <v>12</v>
      </c>
      <c r="K48" s="241">
        <v>16</v>
      </c>
      <c r="L48" s="241">
        <v>15</v>
      </c>
      <c r="M48" s="241">
        <v>10</v>
      </c>
      <c r="N48" s="241">
        <v>17</v>
      </c>
      <c r="O48" s="241">
        <v>15</v>
      </c>
      <c r="P48" s="241">
        <v>9</v>
      </c>
      <c r="Q48" s="241">
        <v>8</v>
      </c>
      <c r="R48" s="241">
        <f>8-4</f>
        <v>4</v>
      </c>
      <c r="S48" s="256">
        <f t="shared" si="13"/>
        <v>131</v>
      </c>
      <c r="T48" s="512">
        <f t="shared" si="14"/>
        <v>10.916666666666666</v>
      </c>
      <c r="U48" s="513">
        <f t="shared" si="15"/>
        <v>5.4045801526717563</v>
      </c>
      <c r="V48" s="461">
        <f t="shared" si="16"/>
        <v>59</v>
      </c>
      <c r="W48" s="255">
        <v>2023</v>
      </c>
      <c r="X48" s="252" t="s">
        <v>468</v>
      </c>
      <c r="Y48"/>
      <c r="Z48" s="124"/>
      <c r="AA48" s="104"/>
      <c r="AB48" s="150"/>
      <c r="AC48" s="104"/>
      <c r="AD48" s="104"/>
      <c r="AE48" s="104" t="s">
        <v>35</v>
      </c>
      <c r="AF48" s="104"/>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c r="CH48" s="104"/>
    </row>
    <row r="49" spans="1:86" ht="15.75" customHeight="1" x14ac:dyDescent="0.2">
      <c r="A49" s="487">
        <v>57632</v>
      </c>
      <c r="B49" s="255">
        <v>2023</v>
      </c>
      <c r="C49" s="252" t="s">
        <v>31</v>
      </c>
      <c r="D49" s="512">
        <v>9</v>
      </c>
      <c r="E49" s="241">
        <v>212</v>
      </c>
      <c r="F49" s="241">
        <v>0</v>
      </c>
      <c r="G49" s="293"/>
      <c r="H49" s="293"/>
      <c r="I49" s="293"/>
      <c r="J49" s="293"/>
      <c r="K49" s="293"/>
      <c r="L49" s="293"/>
      <c r="M49" s="293"/>
      <c r="N49" s="293"/>
      <c r="O49" s="293"/>
      <c r="P49" s="293"/>
      <c r="Q49" s="293"/>
      <c r="R49" s="293">
        <v>3</v>
      </c>
      <c r="S49" s="256">
        <f t="shared" si="13"/>
        <v>3</v>
      </c>
      <c r="T49" s="512">
        <f t="shared" si="14"/>
        <v>3</v>
      </c>
      <c r="U49" s="513">
        <f>IFERROR((V49/T49),0)</f>
        <v>69.666666666666671</v>
      </c>
      <c r="V49" s="461">
        <f t="shared" si="16"/>
        <v>209</v>
      </c>
      <c r="W49" s="255">
        <v>2023</v>
      </c>
      <c r="X49" s="252" t="s">
        <v>31</v>
      </c>
      <c r="Y49"/>
      <c r="Z49" s="124"/>
      <c r="AA49" s="104"/>
      <c r="AB49" s="150"/>
      <c r="AC49" s="104"/>
      <c r="AD49" s="104"/>
      <c r="AE49" s="104" t="s">
        <v>35</v>
      </c>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row>
    <row r="50" spans="1:86" ht="15.75" customHeight="1" x14ac:dyDescent="0.2">
      <c r="A50" s="487">
        <v>196808</v>
      </c>
      <c r="B50" s="255">
        <v>2023</v>
      </c>
      <c r="C50" s="252" t="s">
        <v>575</v>
      </c>
      <c r="D50" s="512">
        <v>13.875</v>
      </c>
      <c r="E50" s="241">
        <v>2</v>
      </c>
      <c r="F50" s="241">
        <v>0</v>
      </c>
      <c r="G50" s="241">
        <v>2</v>
      </c>
      <c r="H50" s="281"/>
      <c r="I50" s="281"/>
      <c r="J50" s="281"/>
      <c r="K50" s="281"/>
      <c r="L50" s="281"/>
      <c r="M50" s="281"/>
      <c r="N50" s="281"/>
      <c r="O50" s="281"/>
      <c r="P50" s="281"/>
      <c r="Q50" s="281"/>
      <c r="R50" s="281"/>
      <c r="S50" s="256">
        <f t="shared" si="13"/>
        <v>2</v>
      </c>
      <c r="T50" s="512">
        <f t="shared" si="14"/>
        <v>2</v>
      </c>
      <c r="U50" s="513">
        <f t="shared" si="15"/>
        <v>0</v>
      </c>
      <c r="V50" s="461">
        <f t="shared" si="16"/>
        <v>0</v>
      </c>
      <c r="W50" s="255">
        <v>2023</v>
      </c>
      <c r="X50" s="252" t="s">
        <v>25</v>
      </c>
      <c r="Y50"/>
      <c r="Z50" s="124"/>
      <c r="AA50" s="104"/>
      <c r="AB50"/>
      <c r="AC50"/>
      <c r="AD50"/>
      <c r="AE50" s="71" t="s">
        <v>35</v>
      </c>
      <c r="AF50"/>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4"/>
      <c r="CD50" s="104"/>
      <c r="CE50" s="104"/>
      <c r="CF50" s="104"/>
      <c r="CG50" s="104"/>
      <c r="CH50" s="104"/>
    </row>
    <row r="51" spans="1:86" ht="15.75" customHeight="1" x14ac:dyDescent="0.25">
      <c r="A51" s="487">
        <v>57632</v>
      </c>
      <c r="B51" s="255">
        <v>2023</v>
      </c>
      <c r="C51" s="252" t="s">
        <v>615</v>
      </c>
      <c r="D51" s="512">
        <v>0</v>
      </c>
      <c r="E51" s="241">
        <v>0</v>
      </c>
      <c r="F51" s="241">
        <v>0</v>
      </c>
      <c r="G51" s="293"/>
      <c r="H51" s="293"/>
      <c r="I51" s="293"/>
      <c r="J51" s="293"/>
      <c r="K51" s="293"/>
      <c r="L51" s="293"/>
      <c r="M51" s="293"/>
      <c r="N51" s="293"/>
      <c r="O51" s="293"/>
      <c r="P51" s="293"/>
      <c r="Q51" s="293"/>
      <c r="R51" s="293"/>
      <c r="S51" s="256">
        <f t="shared" si="13"/>
        <v>0</v>
      </c>
      <c r="T51" s="512">
        <f t="shared" si="14"/>
        <v>0</v>
      </c>
      <c r="U51" s="513">
        <f t="shared" si="15"/>
        <v>0</v>
      </c>
      <c r="V51" s="461">
        <f t="shared" si="16"/>
        <v>0</v>
      </c>
      <c r="W51" s="255">
        <v>2023</v>
      </c>
      <c r="X51" s="252" t="s">
        <v>615</v>
      </c>
      <c r="Y51"/>
      <c r="Z51" s="124"/>
      <c r="AA51" s="104"/>
      <c r="AB51" s="580" t="s">
        <v>765</v>
      </c>
      <c r="AC51" s="580"/>
      <c r="AD51" s="580"/>
      <c r="AE51" s="580"/>
      <c r="AF51" s="580"/>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4"/>
      <c r="BU51" s="104"/>
      <c r="BV51" s="104"/>
      <c r="BW51" s="104"/>
      <c r="BX51" s="104"/>
      <c r="BY51" s="104"/>
      <c r="BZ51" s="104"/>
      <c r="CA51" s="104"/>
      <c r="CB51" s="104"/>
      <c r="CC51" s="104"/>
      <c r="CD51" s="104"/>
      <c r="CE51" s="104"/>
      <c r="CF51" s="104"/>
      <c r="CG51" s="104"/>
      <c r="CH51" s="104"/>
    </row>
    <row r="52" spans="1:86" ht="15.75" customHeight="1" x14ac:dyDescent="0.2">
      <c r="A52" s="487">
        <v>57630</v>
      </c>
      <c r="B52" s="255">
        <v>2023</v>
      </c>
      <c r="C52" s="252" t="s">
        <v>25</v>
      </c>
      <c r="D52" s="512">
        <v>10</v>
      </c>
      <c r="E52" s="241">
        <v>340</v>
      </c>
      <c r="F52" s="241">
        <v>0</v>
      </c>
      <c r="G52" s="310">
        <v>10</v>
      </c>
      <c r="H52" s="293"/>
      <c r="I52" s="293"/>
      <c r="J52" s="293"/>
      <c r="K52" s="293"/>
      <c r="L52" s="293"/>
      <c r="M52" s="293"/>
      <c r="N52" s="293"/>
      <c r="O52" s="293"/>
      <c r="P52" s="293"/>
      <c r="Q52" s="293"/>
      <c r="R52" s="293"/>
      <c r="S52" s="256">
        <f t="shared" si="13"/>
        <v>10</v>
      </c>
      <c r="T52" s="512">
        <f t="shared" si="14"/>
        <v>10</v>
      </c>
      <c r="U52" s="513">
        <f t="shared" si="15"/>
        <v>33</v>
      </c>
      <c r="V52" s="461">
        <f t="shared" si="16"/>
        <v>330</v>
      </c>
      <c r="W52" s="255">
        <v>2023</v>
      </c>
      <c r="X52" s="252" t="s">
        <v>25</v>
      </c>
      <c r="Y52"/>
      <c r="Z52"/>
      <c r="AA52" s="104"/>
      <c r="AB52" s="266" t="s">
        <v>395</v>
      </c>
      <c r="AC52" s="267" t="s">
        <v>396</v>
      </c>
      <c r="AD52" s="267" t="s">
        <v>397</v>
      </c>
      <c r="AE52" s="267" t="s">
        <v>398</v>
      </c>
      <c r="AF52" s="267" t="s">
        <v>399</v>
      </c>
      <c r="AG52" s="104"/>
      <c r="AH52" s="104"/>
      <c r="AI52" s="104"/>
      <c r="AJ52" s="104"/>
      <c r="AK52" s="104"/>
      <c r="AL52" s="104"/>
      <c r="AM52" s="104"/>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4"/>
      <c r="BR52" s="104"/>
      <c r="BS52" s="104"/>
      <c r="BT52" s="104"/>
      <c r="BU52" s="104"/>
      <c r="BV52" s="104"/>
      <c r="BW52" s="104"/>
      <c r="BX52" s="104"/>
      <c r="BY52" s="104"/>
      <c r="BZ52" s="104"/>
      <c r="CA52" s="104"/>
      <c r="CB52" s="104"/>
      <c r="CC52" s="104"/>
      <c r="CD52" s="104"/>
      <c r="CE52" s="104"/>
      <c r="CF52" s="104"/>
      <c r="CG52" s="104"/>
      <c r="CH52" s="104"/>
    </row>
    <row r="53" spans="1:86" ht="15.75" customHeight="1" x14ac:dyDescent="0.2">
      <c r="A53" s="487">
        <v>111575</v>
      </c>
      <c r="B53" s="255">
        <v>2023</v>
      </c>
      <c r="C53" s="252" t="s">
        <v>110</v>
      </c>
      <c r="D53" s="512">
        <v>2</v>
      </c>
      <c r="E53" s="241">
        <v>354</v>
      </c>
      <c r="F53" s="241">
        <v>0</v>
      </c>
      <c r="G53" s="293"/>
      <c r="H53" s="293"/>
      <c r="I53" s="241">
        <v>9</v>
      </c>
      <c r="J53" s="241">
        <v>16</v>
      </c>
      <c r="K53" s="241">
        <v>29</v>
      </c>
      <c r="L53" s="241">
        <v>15</v>
      </c>
      <c r="M53" s="241">
        <v>15</v>
      </c>
      <c r="N53" s="241">
        <v>46</v>
      </c>
      <c r="O53" s="241">
        <v>32</v>
      </c>
      <c r="P53" s="241">
        <v>13</v>
      </c>
      <c r="Q53" s="241">
        <v>24</v>
      </c>
      <c r="R53" s="241">
        <f>11-4</f>
        <v>7</v>
      </c>
      <c r="S53" s="256">
        <f t="shared" si="13"/>
        <v>206</v>
      </c>
      <c r="T53" s="512">
        <f t="shared" si="14"/>
        <v>20.6</v>
      </c>
      <c r="U53" s="513">
        <f t="shared" si="15"/>
        <v>7.1844660194174752</v>
      </c>
      <c r="V53" s="461">
        <f t="shared" si="16"/>
        <v>148</v>
      </c>
      <c r="W53" s="255">
        <v>2023</v>
      </c>
      <c r="X53" s="252" t="s">
        <v>110</v>
      </c>
      <c r="Y53"/>
      <c r="Z53"/>
      <c r="AA53" s="104"/>
      <c r="AB53" s="265">
        <v>45721</v>
      </c>
      <c r="AC53" s="267">
        <v>2024</v>
      </c>
      <c r="AD53" s="265" t="s">
        <v>766</v>
      </c>
      <c r="AE53" s="269">
        <v>141</v>
      </c>
      <c r="AF53" s="265" t="s">
        <v>378</v>
      </c>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4"/>
      <c r="CH53" s="104"/>
    </row>
    <row r="54" spans="1:86" ht="15.75" customHeight="1" x14ac:dyDescent="0.2">
      <c r="A54" s="487"/>
      <c r="B54" s="255">
        <v>2023</v>
      </c>
      <c r="C54" s="252" t="s">
        <v>705</v>
      </c>
      <c r="D54" s="512">
        <v>1.8</v>
      </c>
      <c r="E54" s="241">
        <v>105</v>
      </c>
      <c r="F54" s="241">
        <v>0</v>
      </c>
      <c r="G54" s="241"/>
      <c r="H54" s="241"/>
      <c r="I54" s="241"/>
      <c r="J54" s="241">
        <v>52</v>
      </c>
      <c r="K54" s="241"/>
      <c r="L54" s="241">
        <v>2</v>
      </c>
      <c r="M54" s="241">
        <v>11</v>
      </c>
      <c r="N54" s="241">
        <v>8</v>
      </c>
      <c r="O54" s="241">
        <v>2</v>
      </c>
      <c r="P54" s="241">
        <v>1</v>
      </c>
      <c r="Q54" s="241">
        <v>3</v>
      </c>
      <c r="R54" s="241">
        <v>1</v>
      </c>
      <c r="S54" s="256">
        <f>SUM(G54:R54)</f>
        <v>80</v>
      </c>
      <c r="T54" s="512">
        <f>IFERROR((AVERAGE(G54:R54)),0)</f>
        <v>10</v>
      </c>
      <c r="U54" s="513">
        <f>IFERROR((V54/T54),0)</f>
        <v>2.5</v>
      </c>
      <c r="V54" s="461">
        <f>E54+F54-S54</f>
        <v>25</v>
      </c>
      <c r="W54" s="255">
        <v>2023</v>
      </c>
      <c r="X54" s="252" t="s">
        <v>705</v>
      </c>
      <c r="Y54"/>
      <c r="Z54"/>
      <c r="AA54" s="104"/>
      <c r="AB54" s="265">
        <v>45721</v>
      </c>
      <c r="AC54" s="267">
        <v>2024</v>
      </c>
      <c r="AD54" s="265" t="s">
        <v>767</v>
      </c>
      <c r="AE54" s="269">
        <v>338</v>
      </c>
      <c r="AF54" s="265" t="s">
        <v>378</v>
      </c>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4"/>
      <c r="CB54" s="104"/>
      <c r="CC54" s="104"/>
      <c r="CD54" s="104"/>
      <c r="CE54" s="104"/>
      <c r="CF54" s="104"/>
      <c r="CG54" s="104"/>
      <c r="CH54" s="104"/>
    </row>
    <row r="55" spans="1:86" ht="15.75" customHeight="1" x14ac:dyDescent="0.2">
      <c r="A55" s="487">
        <v>133688</v>
      </c>
      <c r="B55" s="255">
        <v>2023</v>
      </c>
      <c r="C55" s="252" t="s">
        <v>23</v>
      </c>
      <c r="D55" s="512">
        <v>0</v>
      </c>
      <c r="E55" s="241">
        <v>324</v>
      </c>
      <c r="F55" s="241">
        <v>0</v>
      </c>
      <c r="G55" s="293"/>
      <c r="H55" s="293"/>
      <c r="I55" s="293"/>
      <c r="J55" s="293"/>
      <c r="K55" s="293"/>
      <c r="L55" s="293"/>
      <c r="M55" s="293"/>
      <c r="N55" s="293"/>
      <c r="O55" s="293"/>
      <c r="P55" s="293">
        <v>7</v>
      </c>
      <c r="Q55" s="293">
        <v>7</v>
      </c>
      <c r="R55" s="293">
        <v>8</v>
      </c>
      <c r="S55" s="256">
        <f t="shared" si="13"/>
        <v>22</v>
      </c>
      <c r="T55" s="512">
        <f t="shared" si="14"/>
        <v>7.333333333333333</v>
      </c>
      <c r="U55" s="513">
        <f t="shared" si="15"/>
        <v>41.181818181818187</v>
      </c>
      <c r="V55" s="461">
        <f t="shared" si="16"/>
        <v>302</v>
      </c>
      <c r="W55" s="255">
        <v>2023</v>
      </c>
      <c r="X55" s="252" t="s">
        <v>23</v>
      </c>
      <c r="Y55"/>
      <c r="Z55"/>
      <c r="AA55" s="104"/>
      <c r="AB55" s="265">
        <v>45757</v>
      </c>
      <c r="AC55" s="267">
        <v>2024</v>
      </c>
      <c r="AD55" s="265" t="s">
        <v>768</v>
      </c>
      <c r="AE55" s="269">
        <v>297</v>
      </c>
      <c r="AF55" s="265" t="s">
        <v>378</v>
      </c>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row>
    <row r="56" spans="1:86" ht="15.75" customHeight="1" x14ac:dyDescent="0.2">
      <c r="A56" s="487">
        <v>133687</v>
      </c>
      <c r="B56" s="255">
        <v>2023</v>
      </c>
      <c r="C56" s="252" t="s">
        <v>93</v>
      </c>
      <c r="D56" s="512">
        <v>0</v>
      </c>
      <c r="E56" s="241">
        <v>140</v>
      </c>
      <c r="F56" s="241">
        <v>0</v>
      </c>
      <c r="G56" s="293"/>
      <c r="H56" s="293"/>
      <c r="I56" s="293"/>
      <c r="J56" s="293"/>
      <c r="K56" s="293"/>
      <c r="L56" s="293"/>
      <c r="M56" s="293"/>
      <c r="N56" s="293"/>
      <c r="O56" s="293"/>
      <c r="P56" s="293"/>
      <c r="Q56" s="293"/>
      <c r="R56" s="293"/>
      <c r="S56" s="256">
        <f t="shared" si="13"/>
        <v>0</v>
      </c>
      <c r="T56" s="512">
        <f t="shared" si="14"/>
        <v>0</v>
      </c>
      <c r="U56" s="513">
        <f t="shared" si="15"/>
        <v>0</v>
      </c>
      <c r="V56" s="461">
        <f t="shared" si="16"/>
        <v>140</v>
      </c>
      <c r="W56" s="255">
        <v>2023</v>
      </c>
      <c r="X56" s="252" t="s">
        <v>393</v>
      </c>
      <c r="Y56"/>
      <c r="Z56"/>
      <c r="AA56" s="104"/>
      <c r="AB56" s="265">
        <v>45757</v>
      </c>
      <c r="AC56" s="267">
        <v>2024</v>
      </c>
      <c r="AD56" s="265" t="s">
        <v>769</v>
      </c>
      <c r="AE56" s="269">
        <v>104</v>
      </c>
      <c r="AF56" s="265" t="s">
        <v>378</v>
      </c>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row>
    <row r="57" spans="1:86" ht="15.75" customHeight="1" x14ac:dyDescent="0.2">
      <c r="A57" s="252">
        <v>22384</v>
      </c>
      <c r="B57" s="255">
        <v>2023</v>
      </c>
      <c r="C57" s="252" t="s">
        <v>26</v>
      </c>
      <c r="D57" s="512">
        <v>0</v>
      </c>
      <c r="E57" s="241">
        <v>128</v>
      </c>
      <c r="F57" s="241">
        <v>0</v>
      </c>
      <c r="G57" s="293"/>
      <c r="H57" s="293"/>
      <c r="I57" s="293"/>
      <c r="J57" s="293"/>
      <c r="K57" s="293"/>
      <c r="L57" s="293"/>
      <c r="M57" s="293"/>
      <c r="N57" s="293"/>
      <c r="O57" s="293"/>
      <c r="P57" s="293"/>
      <c r="Q57" s="293"/>
      <c r="R57" s="293"/>
      <c r="S57" s="256">
        <f t="shared" ref="S57" si="17">SUM(G57:R57)</f>
        <v>0</v>
      </c>
      <c r="T57" s="512">
        <f t="shared" si="14"/>
        <v>0</v>
      </c>
      <c r="U57" s="513">
        <f t="shared" si="15"/>
        <v>0</v>
      </c>
      <c r="V57" s="461">
        <f t="shared" si="16"/>
        <v>128</v>
      </c>
      <c r="W57" s="255">
        <v>2023</v>
      </c>
      <c r="X57" s="252" t="s">
        <v>26</v>
      </c>
      <c r="Y57"/>
      <c r="Z57"/>
      <c r="AA57" s="104"/>
      <c r="AB57" s="265">
        <v>45758</v>
      </c>
      <c r="AC57" s="267">
        <v>2024</v>
      </c>
      <c r="AD57" s="265" t="s">
        <v>770</v>
      </c>
      <c r="AE57" s="269">
        <v>112</v>
      </c>
      <c r="AF57" s="265" t="s">
        <v>378</v>
      </c>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row>
    <row r="58" spans="1:86" ht="15.75" customHeight="1" x14ac:dyDescent="0.2">
      <c r="A58" s="104">
        <v>27736</v>
      </c>
      <c r="B58" s="255">
        <v>2023</v>
      </c>
      <c r="C58" s="252" t="s">
        <v>70</v>
      </c>
      <c r="D58" s="512">
        <v>0</v>
      </c>
      <c r="E58" s="283">
        <v>319</v>
      </c>
      <c r="F58" s="241">
        <v>0</v>
      </c>
      <c r="G58" s="293"/>
      <c r="H58" s="293"/>
      <c r="I58" s="293"/>
      <c r="J58" s="293"/>
      <c r="K58" s="293"/>
      <c r="L58" s="293"/>
      <c r="M58" s="293"/>
      <c r="N58" s="293"/>
      <c r="O58" s="293"/>
      <c r="P58" s="293">
        <v>6</v>
      </c>
      <c r="Q58" s="293">
        <v>6</v>
      </c>
      <c r="R58" s="293">
        <v>5</v>
      </c>
      <c r="S58" s="256">
        <f t="shared" si="13"/>
        <v>17</v>
      </c>
      <c r="T58" s="512">
        <f t="shared" si="14"/>
        <v>5.666666666666667</v>
      </c>
      <c r="U58" s="513">
        <f t="shared" si="15"/>
        <v>53.294117647058819</v>
      </c>
      <c r="V58" s="461">
        <f t="shared" si="16"/>
        <v>302</v>
      </c>
      <c r="W58" s="255">
        <v>2023</v>
      </c>
      <c r="X58" s="252" t="s">
        <v>116</v>
      </c>
      <c r="Y58"/>
      <c r="Z58"/>
      <c r="AA58" s="104"/>
      <c r="AB58" s="265">
        <v>45758</v>
      </c>
      <c r="AC58" s="267">
        <v>2024</v>
      </c>
      <c r="AD58" s="265" t="s">
        <v>771</v>
      </c>
      <c r="AE58" s="269">
        <v>139</v>
      </c>
      <c r="AF58" s="265" t="s">
        <v>378</v>
      </c>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row>
    <row r="59" spans="1:86" ht="15.75" customHeight="1" x14ac:dyDescent="0.2">
      <c r="A59" s="252">
        <v>135370</v>
      </c>
      <c r="B59" s="116">
        <v>2023</v>
      </c>
      <c r="C59" s="252" t="s">
        <v>217</v>
      </c>
      <c r="D59" s="512">
        <v>0</v>
      </c>
      <c r="E59" s="283">
        <v>230</v>
      </c>
      <c r="F59" s="241">
        <v>0</v>
      </c>
      <c r="G59" s="507" t="s">
        <v>35</v>
      </c>
      <c r="H59" s="293"/>
      <c r="I59" s="293"/>
      <c r="J59" s="293"/>
      <c r="K59" s="293"/>
      <c r="L59" s="293"/>
      <c r="M59" s="293"/>
      <c r="N59" s="293"/>
      <c r="O59" s="293"/>
      <c r="P59" s="293">
        <v>6</v>
      </c>
      <c r="Q59" s="293">
        <v>6</v>
      </c>
      <c r="R59" s="293">
        <v>5</v>
      </c>
      <c r="S59" s="256">
        <f t="shared" ref="S59" si="18">SUM(G59:R59)</f>
        <v>17</v>
      </c>
      <c r="T59" s="512">
        <f t="shared" si="14"/>
        <v>5.666666666666667</v>
      </c>
      <c r="U59" s="513">
        <f t="shared" si="15"/>
        <v>37.588235294117645</v>
      </c>
      <c r="V59" s="461">
        <f t="shared" si="16"/>
        <v>213</v>
      </c>
      <c r="W59" s="255">
        <v>2023</v>
      </c>
      <c r="X59" s="252" t="s">
        <v>505</v>
      </c>
      <c r="Y59"/>
      <c r="Z59"/>
      <c r="AA59" s="104"/>
      <c r="AB59" s="265">
        <v>45758</v>
      </c>
      <c r="AC59" s="267">
        <v>2024</v>
      </c>
      <c r="AD59" s="265" t="s">
        <v>772</v>
      </c>
      <c r="AE59" s="269">
        <v>56</v>
      </c>
      <c r="AF59" s="265" t="s">
        <v>378</v>
      </c>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row>
    <row r="60" spans="1:86" ht="15.75" customHeight="1" x14ac:dyDescent="0.2">
      <c r="A60" s="535">
        <v>34641</v>
      </c>
      <c r="B60" s="255">
        <v>2023</v>
      </c>
      <c r="C60" s="252" t="s">
        <v>118</v>
      </c>
      <c r="D60" s="512">
        <v>0</v>
      </c>
      <c r="E60" s="241">
        <v>230</v>
      </c>
      <c r="F60" s="241">
        <v>180</v>
      </c>
      <c r="G60" s="293"/>
      <c r="H60" s="293"/>
      <c r="I60" s="293"/>
      <c r="J60" s="293"/>
      <c r="K60" s="293"/>
      <c r="L60" s="293"/>
      <c r="M60" s="293"/>
      <c r="N60" s="293"/>
      <c r="O60" s="293"/>
      <c r="P60" s="293"/>
      <c r="Q60" s="293"/>
      <c r="R60" s="293"/>
      <c r="S60" s="256">
        <f t="shared" si="13"/>
        <v>0</v>
      </c>
      <c r="T60" s="512">
        <f t="shared" si="14"/>
        <v>0</v>
      </c>
      <c r="U60" s="513">
        <f t="shared" si="15"/>
        <v>0</v>
      </c>
      <c r="V60" s="461">
        <f t="shared" si="16"/>
        <v>410</v>
      </c>
      <c r="W60" s="255">
        <v>2023</v>
      </c>
      <c r="X60" s="252" t="s">
        <v>118</v>
      </c>
      <c r="Y60"/>
      <c r="Z60"/>
      <c r="AA60" s="104"/>
      <c r="AB60" s="265">
        <v>45758</v>
      </c>
      <c r="AC60" s="267">
        <v>2024</v>
      </c>
      <c r="AD60" s="267" t="s">
        <v>773</v>
      </c>
      <c r="AE60" s="267">
        <v>436</v>
      </c>
      <c r="AF60" s="267" t="s">
        <v>378</v>
      </c>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row>
    <row r="61" spans="1:86" ht="15.75" customHeight="1" x14ac:dyDescent="0.2">
      <c r="A61" s="104">
        <v>196105</v>
      </c>
      <c r="B61" s="255">
        <v>2023</v>
      </c>
      <c r="C61" s="252" t="s">
        <v>547</v>
      </c>
      <c r="D61" s="512">
        <v>0</v>
      </c>
      <c r="E61" s="241">
        <v>0</v>
      </c>
      <c r="F61" s="241">
        <v>0</v>
      </c>
      <c r="G61" s="293"/>
      <c r="H61" s="293"/>
      <c r="I61" s="293"/>
      <c r="J61" s="293"/>
      <c r="K61" s="293"/>
      <c r="L61" s="293"/>
      <c r="M61" s="293"/>
      <c r="N61" s="293"/>
      <c r="O61" s="293"/>
      <c r="P61" s="293"/>
      <c r="Q61" s="293"/>
      <c r="R61" s="293"/>
      <c r="S61" s="256">
        <f t="shared" si="13"/>
        <v>0</v>
      </c>
      <c r="T61" s="512">
        <f t="shared" si="14"/>
        <v>0</v>
      </c>
      <c r="U61" s="513">
        <f t="shared" si="15"/>
        <v>0</v>
      </c>
      <c r="V61" s="461">
        <f t="shared" si="16"/>
        <v>0</v>
      </c>
      <c r="W61" s="255">
        <v>2023</v>
      </c>
      <c r="X61" s="252" t="s">
        <v>548</v>
      </c>
      <c r="Y61"/>
      <c r="Z61"/>
      <c r="AA61" s="104"/>
      <c r="AB61" s="265">
        <v>45758</v>
      </c>
      <c r="AC61" s="267">
        <v>2024</v>
      </c>
      <c r="AD61" s="267" t="s">
        <v>774</v>
      </c>
      <c r="AE61" s="269">
        <v>56</v>
      </c>
      <c r="AF61" s="265" t="s">
        <v>378</v>
      </c>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row>
    <row r="62" spans="1:86" ht="15.75" customHeight="1" x14ac:dyDescent="0.2">
      <c r="A62" s="487">
        <v>135371</v>
      </c>
      <c r="B62" s="255">
        <v>2023</v>
      </c>
      <c r="C62" s="252" t="s">
        <v>307</v>
      </c>
      <c r="D62" s="512">
        <v>0</v>
      </c>
      <c r="E62" s="241">
        <v>135</v>
      </c>
      <c r="F62" s="241">
        <v>0</v>
      </c>
      <c r="G62" s="293"/>
      <c r="H62" s="293"/>
      <c r="I62" s="293"/>
      <c r="J62" s="293"/>
      <c r="K62" s="293"/>
      <c r="L62" s="293"/>
      <c r="M62" s="293"/>
      <c r="N62" s="293"/>
      <c r="O62" s="293"/>
      <c r="P62" s="293"/>
      <c r="Q62" s="293"/>
      <c r="R62" s="293"/>
      <c r="S62" s="256">
        <f t="shared" si="13"/>
        <v>0</v>
      </c>
      <c r="T62" s="512">
        <f t="shared" si="14"/>
        <v>0</v>
      </c>
      <c r="U62" s="513">
        <f t="shared" si="15"/>
        <v>0</v>
      </c>
      <c r="V62" s="461">
        <f t="shared" si="16"/>
        <v>135</v>
      </c>
      <c r="W62" s="255">
        <v>2023</v>
      </c>
      <c r="X62" s="252" t="s">
        <v>627</v>
      </c>
      <c r="Y62"/>
      <c r="Z62"/>
      <c r="AA62" s="104"/>
      <c r="AB62" s="265">
        <v>45791</v>
      </c>
      <c r="AC62" s="267">
        <v>2024</v>
      </c>
      <c r="AD62" s="267" t="s">
        <v>774</v>
      </c>
      <c r="AE62" s="267">
        <v>56</v>
      </c>
      <c r="AF62" s="267" t="s">
        <v>378</v>
      </c>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row>
    <row r="63" spans="1:86" ht="15.75" customHeight="1" x14ac:dyDescent="0.2">
      <c r="A63" s="487">
        <v>133687</v>
      </c>
      <c r="B63" s="255">
        <v>2023</v>
      </c>
      <c r="C63" s="252" t="s">
        <v>278</v>
      </c>
      <c r="D63" s="512">
        <v>0</v>
      </c>
      <c r="E63" s="241">
        <v>422</v>
      </c>
      <c r="F63" s="241">
        <v>0</v>
      </c>
      <c r="G63" s="293"/>
      <c r="H63" s="293"/>
      <c r="I63" s="293"/>
      <c r="J63" s="293"/>
      <c r="K63" s="293"/>
      <c r="L63" s="293"/>
      <c r="M63" s="293"/>
      <c r="N63" s="293"/>
      <c r="O63" s="293"/>
      <c r="P63" s="293"/>
      <c r="Q63" s="293"/>
      <c r="R63" s="293"/>
      <c r="S63" s="256">
        <f t="shared" si="13"/>
        <v>0</v>
      </c>
      <c r="T63" s="512">
        <f t="shared" si="14"/>
        <v>0</v>
      </c>
      <c r="U63" s="513">
        <f t="shared" si="15"/>
        <v>0</v>
      </c>
      <c r="V63" s="461">
        <f t="shared" si="16"/>
        <v>422</v>
      </c>
      <c r="W63" s="255">
        <v>2023</v>
      </c>
      <c r="X63" s="252" t="s">
        <v>278</v>
      </c>
      <c r="Y63"/>
      <c r="Z63"/>
      <c r="AA63" s="104"/>
      <c r="AB63" s="265">
        <v>45870</v>
      </c>
      <c r="AC63" s="267">
        <v>2024</v>
      </c>
      <c r="AD63" s="267" t="s">
        <v>774</v>
      </c>
      <c r="AE63" s="267">
        <v>56</v>
      </c>
      <c r="AF63" s="267" t="s">
        <v>378</v>
      </c>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row>
    <row r="64" spans="1:86" ht="15.75" customHeight="1" x14ac:dyDescent="0.2">
      <c r="A64" s="487">
        <v>168932</v>
      </c>
      <c r="B64" s="255">
        <v>2023</v>
      </c>
      <c r="C64" s="252" t="s">
        <v>712</v>
      </c>
      <c r="D64" s="512">
        <v>0</v>
      </c>
      <c r="E64" s="241">
        <v>599</v>
      </c>
      <c r="F64" s="241">
        <v>0</v>
      </c>
      <c r="G64" s="293"/>
      <c r="H64" s="293"/>
      <c r="I64" s="293"/>
      <c r="J64" s="293"/>
      <c r="K64" s="293"/>
      <c r="L64" s="293"/>
      <c r="M64" s="293"/>
      <c r="N64" s="293"/>
      <c r="O64" s="293"/>
      <c r="P64" s="293"/>
      <c r="Q64" s="293"/>
      <c r="R64" s="293"/>
      <c r="S64" s="256">
        <f t="shared" si="13"/>
        <v>0</v>
      </c>
      <c r="T64" s="512">
        <f t="shared" si="14"/>
        <v>0</v>
      </c>
      <c r="U64" s="513">
        <f t="shared" si="15"/>
        <v>0</v>
      </c>
      <c r="V64" s="461">
        <f t="shared" si="16"/>
        <v>599</v>
      </c>
      <c r="W64" s="255">
        <v>2023</v>
      </c>
      <c r="X64" s="252" t="s">
        <v>712</v>
      </c>
      <c r="Y64"/>
      <c r="Z64"/>
      <c r="AA64" s="104"/>
      <c r="AB64" s="265">
        <v>45875</v>
      </c>
      <c r="AC64" s="267">
        <v>2024</v>
      </c>
      <c r="AD64" s="267" t="s">
        <v>194</v>
      </c>
      <c r="AE64" s="267">
        <v>216</v>
      </c>
      <c r="AF64" s="267" t="s">
        <v>378</v>
      </c>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row>
    <row r="65" spans="1:86" ht="15.75" customHeight="1" x14ac:dyDescent="0.2">
      <c r="A65" s="487"/>
      <c r="B65" s="255"/>
      <c r="C65" s="252" t="s">
        <v>134</v>
      </c>
      <c r="D65" s="512">
        <v>4</v>
      </c>
      <c r="E65" s="241">
        <v>18</v>
      </c>
      <c r="F65" s="241">
        <v>114</v>
      </c>
      <c r="G65" s="241">
        <v>5</v>
      </c>
      <c r="H65" s="241"/>
      <c r="I65" s="241">
        <v>12</v>
      </c>
      <c r="J65" s="241">
        <v>8</v>
      </c>
      <c r="K65" s="241">
        <v>8</v>
      </c>
      <c r="L65" s="241">
        <v>5</v>
      </c>
      <c r="M65" s="241">
        <v>10</v>
      </c>
      <c r="N65" s="241">
        <v>9</v>
      </c>
      <c r="O65" s="241">
        <v>8</v>
      </c>
      <c r="P65" s="241">
        <v>16</v>
      </c>
      <c r="Q65" s="241">
        <v>15</v>
      </c>
      <c r="R65" s="241">
        <f>6-2</f>
        <v>4</v>
      </c>
      <c r="S65" s="256">
        <f t="shared" si="13"/>
        <v>100</v>
      </c>
      <c r="T65" s="512">
        <f t="shared" si="14"/>
        <v>9.0909090909090917</v>
      </c>
      <c r="U65" s="513">
        <f t="shared" si="15"/>
        <v>3.5199999999999996</v>
      </c>
      <c r="V65" s="461">
        <f t="shared" si="16"/>
        <v>32</v>
      </c>
      <c r="W65" s="314"/>
      <c r="X65" s="252" t="s">
        <v>134</v>
      </c>
      <c r="Y65"/>
      <c r="Z65" s="124"/>
      <c r="AA65" s="104"/>
      <c r="AB65" s="265">
        <v>45875</v>
      </c>
      <c r="AC65" s="267">
        <v>2024</v>
      </c>
      <c r="AD65" s="267" t="s">
        <v>302</v>
      </c>
      <c r="AE65" s="267">
        <v>112</v>
      </c>
      <c r="AF65" s="267" t="s">
        <v>378</v>
      </c>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row>
    <row r="66" spans="1:86" ht="15.75" customHeight="1" x14ac:dyDescent="0.2">
      <c r="A66" s="252">
        <v>196107</v>
      </c>
      <c r="B66" s="116">
        <v>2023</v>
      </c>
      <c r="C66" s="252" t="s">
        <v>633</v>
      </c>
      <c r="D66" s="512">
        <v>2</v>
      </c>
      <c r="E66" s="241">
        <v>20</v>
      </c>
      <c r="F66" s="241">
        <v>0</v>
      </c>
      <c r="G66" s="293"/>
      <c r="H66" s="293"/>
      <c r="I66" s="293"/>
      <c r="J66" s="293"/>
      <c r="K66" s="293"/>
      <c r="L66" s="293"/>
      <c r="M66" s="293"/>
      <c r="N66" s="241">
        <v>20</v>
      </c>
      <c r="O66" s="293"/>
      <c r="P66" s="293"/>
      <c r="Q66" s="293"/>
      <c r="R66" s="293"/>
      <c r="S66" s="256">
        <f t="shared" si="13"/>
        <v>20</v>
      </c>
      <c r="T66" s="512">
        <f t="shared" si="14"/>
        <v>20</v>
      </c>
      <c r="U66" s="513">
        <f t="shared" si="15"/>
        <v>0</v>
      </c>
      <c r="V66" s="461">
        <f t="shared" si="16"/>
        <v>0</v>
      </c>
      <c r="W66" s="314">
        <v>2023</v>
      </c>
      <c r="X66" s="252" t="s">
        <v>633</v>
      </c>
      <c r="Y66"/>
      <c r="Z66" s="124"/>
      <c r="AA66" s="104"/>
      <c r="AB66" s="265">
        <v>45875</v>
      </c>
      <c r="AC66" s="267">
        <v>2024</v>
      </c>
      <c r="AD66" s="267" t="s">
        <v>680</v>
      </c>
      <c r="AE66" s="267">
        <v>325</v>
      </c>
      <c r="AF66" s="267" t="s">
        <v>378</v>
      </c>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row>
    <row r="67" spans="1:86" ht="15.75" customHeight="1" x14ac:dyDescent="0.2">
      <c r="A67" s="249"/>
      <c r="B67" s="315"/>
      <c r="C67" s="249"/>
      <c r="D67" s="249">
        <v>0</v>
      </c>
      <c r="E67" s="509"/>
      <c r="F67" s="509"/>
      <c r="G67" s="509"/>
      <c r="H67" s="509"/>
      <c r="I67" s="509"/>
      <c r="J67" s="509"/>
      <c r="K67" s="509"/>
      <c r="L67" s="509"/>
      <c r="M67" s="509"/>
      <c r="N67" s="509"/>
      <c r="O67" s="509"/>
      <c r="P67" s="509"/>
      <c r="Q67" s="509"/>
      <c r="R67" s="509"/>
      <c r="S67" s="251">
        <f t="shared" ref="S67" si="19">SUM(G67:R67)</f>
        <v>0</v>
      </c>
      <c r="T67" s="510">
        <f t="shared" si="14"/>
        <v>0</v>
      </c>
      <c r="U67" s="511">
        <f t="shared" si="15"/>
        <v>0</v>
      </c>
      <c r="V67" s="462"/>
      <c r="W67" s="316"/>
      <c r="X67" s="104"/>
      <c r="Y67"/>
      <c r="Z67" s="124"/>
      <c r="AA67" s="104"/>
      <c r="AB67" s="265">
        <v>45875</v>
      </c>
      <c r="AC67" s="267">
        <v>2024</v>
      </c>
      <c r="AD67" s="267" t="s">
        <v>195</v>
      </c>
      <c r="AE67" s="267">
        <v>336</v>
      </c>
      <c r="AF67" s="267" t="s">
        <v>378</v>
      </c>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row>
    <row r="68" spans="1:86" ht="15.75" customHeight="1" x14ac:dyDescent="0.2">
      <c r="A68" s="487">
        <v>11198</v>
      </c>
      <c r="B68" s="255">
        <v>2024</v>
      </c>
      <c r="C68" s="252" t="s">
        <v>46</v>
      </c>
      <c r="D68" s="512">
        <v>21.5</v>
      </c>
      <c r="E68" s="241">
        <v>0</v>
      </c>
      <c r="F68" s="241">
        <v>160</v>
      </c>
      <c r="G68" s="293" t="s">
        <v>35</v>
      </c>
      <c r="H68" s="293"/>
      <c r="I68" s="293">
        <v>33</v>
      </c>
      <c r="J68" s="293">
        <v>2</v>
      </c>
      <c r="K68" s="293">
        <v>5</v>
      </c>
      <c r="L68" s="293"/>
      <c r="M68" s="293"/>
      <c r="N68" s="293">
        <v>1</v>
      </c>
      <c r="O68" s="293"/>
      <c r="P68" s="293"/>
      <c r="Q68" s="293"/>
      <c r="R68" s="293"/>
      <c r="S68" s="256">
        <f t="shared" ref="S68:S76" si="20">SUM(G68:R68)</f>
        <v>41</v>
      </c>
      <c r="T68" s="512">
        <f t="shared" ref="T68:T76" si="21">IFERROR((AVERAGE(G68:R68)),0)</f>
        <v>10.25</v>
      </c>
      <c r="U68" s="513">
        <f t="shared" ref="U68:U76" si="22">IFERROR((V68/T68),0)</f>
        <v>11.609756097560975</v>
      </c>
      <c r="V68" s="461">
        <f t="shared" ref="V68:V76" si="23">E68+F68-S68</f>
        <v>119</v>
      </c>
      <c r="W68" s="255">
        <v>2024</v>
      </c>
      <c r="X68" s="252" t="s">
        <v>46</v>
      </c>
      <c r="Y68"/>
      <c r="Z68" s="124"/>
      <c r="AA68" s="104"/>
      <c r="AB68" s="265">
        <v>45875</v>
      </c>
      <c r="AC68" s="267">
        <v>2024</v>
      </c>
      <c r="AD68" s="267" t="s">
        <v>392</v>
      </c>
      <c r="AE68" s="267">
        <v>138</v>
      </c>
      <c r="AF68" s="267" t="s">
        <v>378</v>
      </c>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row>
    <row r="69" spans="1:86" ht="15.75" customHeight="1" x14ac:dyDescent="0.2">
      <c r="A69" s="487"/>
      <c r="B69" s="255">
        <v>2024</v>
      </c>
      <c r="C69" s="252" t="s">
        <v>775</v>
      </c>
      <c r="D69" s="512"/>
      <c r="E69" s="241">
        <v>0</v>
      </c>
      <c r="F69" s="241">
        <v>110</v>
      </c>
      <c r="G69" s="293" t="s">
        <v>35</v>
      </c>
      <c r="H69" s="293"/>
      <c r="I69" s="293" t="s">
        <v>35</v>
      </c>
      <c r="J69" s="293" t="s">
        <v>35</v>
      </c>
      <c r="K69" s="293" t="s">
        <v>35</v>
      </c>
      <c r="L69" s="293"/>
      <c r="M69" s="293"/>
      <c r="N69" s="293">
        <v>10</v>
      </c>
      <c r="O69" s="293">
        <v>5</v>
      </c>
      <c r="P69" s="293">
        <v>9</v>
      </c>
      <c r="Q69" s="293">
        <v>1</v>
      </c>
      <c r="R69" s="293"/>
      <c r="S69" s="256">
        <f t="shared" ref="S69" si="24">SUM(G69:R69)</f>
        <v>25</v>
      </c>
      <c r="T69" s="512">
        <f t="shared" ref="T69" si="25">IFERROR((AVERAGE(G69:R69)),0)</f>
        <v>6.25</v>
      </c>
      <c r="U69" s="513">
        <f t="shared" ref="U69" si="26">IFERROR((V69/T69),0)</f>
        <v>13.6</v>
      </c>
      <c r="V69" s="461">
        <f t="shared" ref="V69" si="27">E69+F69-S69</f>
        <v>85</v>
      </c>
      <c r="W69" s="255">
        <v>2024</v>
      </c>
      <c r="X69" s="252" t="s">
        <v>46</v>
      </c>
      <c r="Y69"/>
      <c r="Z69" s="124"/>
      <c r="AA69" s="104"/>
      <c r="AB69" s="265">
        <v>45875</v>
      </c>
      <c r="AC69" s="267">
        <v>2024</v>
      </c>
      <c r="AD69" s="267" t="s">
        <v>581</v>
      </c>
      <c r="AE69" s="267">
        <v>357</v>
      </c>
      <c r="AF69" s="267" t="s">
        <v>378</v>
      </c>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row>
    <row r="70" spans="1:86" ht="15.75" customHeight="1" x14ac:dyDescent="0.2">
      <c r="A70" s="487">
        <v>168933</v>
      </c>
      <c r="B70" s="255">
        <v>2024</v>
      </c>
      <c r="C70" s="252" t="s">
        <v>468</v>
      </c>
      <c r="D70" s="512">
        <v>14</v>
      </c>
      <c r="E70" s="241">
        <v>0</v>
      </c>
      <c r="F70" s="241">
        <v>263</v>
      </c>
      <c r="G70" s="293" t="s">
        <v>35</v>
      </c>
      <c r="H70" s="293"/>
      <c r="I70" s="293"/>
      <c r="J70" s="293"/>
      <c r="K70" s="293" t="s">
        <v>35</v>
      </c>
      <c r="L70" s="293"/>
      <c r="M70" s="293"/>
      <c r="N70" s="293"/>
      <c r="O70" s="293"/>
      <c r="P70" s="293"/>
      <c r="Q70" s="293"/>
      <c r="R70" s="293"/>
      <c r="S70" s="256">
        <f t="shared" si="20"/>
        <v>0</v>
      </c>
      <c r="T70" s="512">
        <f t="shared" si="21"/>
        <v>0</v>
      </c>
      <c r="U70" s="513">
        <f t="shared" si="22"/>
        <v>0</v>
      </c>
      <c r="V70" s="461">
        <f t="shared" si="23"/>
        <v>263</v>
      </c>
      <c r="W70" s="255">
        <v>2024</v>
      </c>
      <c r="X70" s="252" t="s">
        <v>468</v>
      </c>
      <c r="Y70"/>
      <c r="Z70" s="124"/>
      <c r="AA70" s="104"/>
      <c r="AB70" s="265">
        <v>45875</v>
      </c>
      <c r="AC70" s="267">
        <v>2024</v>
      </c>
      <c r="AD70" s="267" t="s">
        <v>776</v>
      </c>
      <c r="AE70" s="267">
        <v>112</v>
      </c>
      <c r="AF70" s="267" t="s">
        <v>378</v>
      </c>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row>
    <row r="71" spans="1:86" ht="15.75" customHeight="1" x14ac:dyDescent="0.2">
      <c r="A71" s="487" t="s">
        <v>35</v>
      </c>
      <c r="B71" s="255">
        <v>2024</v>
      </c>
      <c r="C71" s="252" t="s">
        <v>777</v>
      </c>
      <c r="D71" s="512">
        <v>14</v>
      </c>
      <c r="E71" s="241">
        <v>0</v>
      </c>
      <c r="F71" s="241">
        <v>70</v>
      </c>
      <c r="G71" s="293" t="s">
        <v>35</v>
      </c>
      <c r="H71" s="293"/>
      <c r="I71" s="293"/>
      <c r="J71" s="293"/>
      <c r="K71" s="293" t="s">
        <v>35</v>
      </c>
      <c r="L71" s="293"/>
      <c r="M71" s="293"/>
      <c r="N71" s="293"/>
      <c r="O71" s="293"/>
      <c r="P71" s="293">
        <v>5</v>
      </c>
      <c r="Q71" s="293"/>
      <c r="R71" s="293"/>
      <c r="S71" s="256">
        <f t="shared" ref="S71" si="28">SUM(G71:R71)</f>
        <v>5</v>
      </c>
      <c r="T71" s="512">
        <f t="shared" ref="T71" si="29">IFERROR((AVERAGE(G71:R71)),0)</f>
        <v>5</v>
      </c>
      <c r="U71" s="513">
        <f t="shared" ref="U71" si="30">IFERROR((V71/T71),0)</f>
        <v>13</v>
      </c>
      <c r="V71" s="461">
        <f t="shared" ref="V71" si="31">E71+F71-S71</f>
        <v>65</v>
      </c>
      <c r="W71" s="255">
        <v>2024</v>
      </c>
      <c r="X71" s="252" t="s">
        <v>778</v>
      </c>
      <c r="Y71"/>
      <c r="Z71" s="124"/>
      <c r="AA71" s="104"/>
      <c r="AB71" s="265">
        <v>45936</v>
      </c>
      <c r="AC71" s="495">
        <v>2025</v>
      </c>
      <c r="AD71" s="267" t="s">
        <v>779</v>
      </c>
      <c r="AE71" s="267">
        <v>265</v>
      </c>
      <c r="AF71" s="267" t="s">
        <v>609</v>
      </c>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row>
    <row r="72" spans="1:86" ht="15.75" customHeight="1" x14ac:dyDescent="0.2">
      <c r="A72" s="487">
        <v>57632</v>
      </c>
      <c r="B72" s="255">
        <v>2024</v>
      </c>
      <c r="C72" s="252" t="s">
        <v>31</v>
      </c>
      <c r="D72" s="512">
        <v>9</v>
      </c>
      <c r="E72" s="241">
        <v>0</v>
      </c>
      <c r="F72" s="241">
        <v>216</v>
      </c>
      <c r="G72" s="293"/>
      <c r="H72" s="293"/>
      <c r="I72" s="293"/>
      <c r="J72" s="293"/>
      <c r="K72" s="293"/>
      <c r="L72" s="293"/>
      <c r="M72" s="293"/>
      <c r="N72" s="293"/>
      <c r="O72" s="293" t="s">
        <v>35</v>
      </c>
      <c r="P72" s="293"/>
      <c r="Q72" s="293"/>
      <c r="R72" s="293"/>
      <c r="S72" s="256">
        <f t="shared" si="20"/>
        <v>0</v>
      </c>
      <c r="T72" s="512">
        <f t="shared" si="21"/>
        <v>0</v>
      </c>
      <c r="U72" s="513">
        <f t="shared" si="22"/>
        <v>0</v>
      </c>
      <c r="V72" s="461">
        <f t="shared" si="23"/>
        <v>216</v>
      </c>
      <c r="W72" s="255">
        <v>2024</v>
      </c>
      <c r="X72" s="252" t="s">
        <v>31</v>
      </c>
      <c r="Y72"/>
      <c r="Z72" s="124"/>
      <c r="AA72" s="104"/>
      <c r="AB72" s="265">
        <v>45936</v>
      </c>
      <c r="AC72" s="495">
        <v>2025</v>
      </c>
      <c r="AD72" s="267" t="s">
        <v>780</v>
      </c>
      <c r="AE72" s="267">
        <v>275</v>
      </c>
      <c r="AF72" s="267" t="s">
        <v>609</v>
      </c>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row>
    <row r="73" spans="1:86" ht="15.75" customHeight="1" x14ac:dyDescent="0.2">
      <c r="A73" s="487">
        <v>57630</v>
      </c>
      <c r="B73" s="255">
        <v>2024</v>
      </c>
      <c r="C73" s="252" t="s">
        <v>25</v>
      </c>
      <c r="D73" s="512">
        <v>10</v>
      </c>
      <c r="E73" s="241">
        <v>0</v>
      </c>
      <c r="F73" s="241">
        <v>336</v>
      </c>
      <c r="G73" s="293"/>
      <c r="H73" s="293"/>
      <c r="I73" s="293"/>
      <c r="J73" s="293"/>
      <c r="K73" s="293"/>
      <c r="L73" s="293"/>
      <c r="M73" s="293"/>
      <c r="N73" s="293"/>
      <c r="O73" s="293"/>
      <c r="P73" s="293"/>
      <c r="Q73" s="293"/>
      <c r="R73" s="293"/>
      <c r="S73" s="256">
        <f t="shared" si="20"/>
        <v>0</v>
      </c>
      <c r="T73" s="512">
        <f t="shared" si="21"/>
        <v>0</v>
      </c>
      <c r="U73" s="513">
        <f t="shared" si="22"/>
        <v>0</v>
      </c>
      <c r="V73" s="461">
        <f t="shared" si="23"/>
        <v>336</v>
      </c>
      <c r="W73" s="255">
        <v>2024</v>
      </c>
      <c r="X73" s="252" t="s">
        <v>25</v>
      </c>
      <c r="Y73"/>
      <c r="Z73" s="124"/>
      <c r="AA73" s="104"/>
      <c r="AB73" s="265">
        <v>45936</v>
      </c>
      <c r="AC73" s="495">
        <v>2025</v>
      </c>
      <c r="AD73" s="267" t="s">
        <v>781</v>
      </c>
      <c r="AE73" s="267">
        <v>275</v>
      </c>
      <c r="AF73" s="267" t="s">
        <v>609</v>
      </c>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row>
    <row r="74" spans="1:86" ht="15.75" customHeight="1" x14ac:dyDescent="0.2">
      <c r="A74" s="487">
        <v>111575</v>
      </c>
      <c r="B74" s="255">
        <v>2024</v>
      </c>
      <c r="C74" s="252" t="s">
        <v>110</v>
      </c>
      <c r="D74" s="512">
        <v>2</v>
      </c>
      <c r="E74" s="241">
        <v>0</v>
      </c>
      <c r="F74" s="241">
        <v>258</v>
      </c>
      <c r="G74" s="293"/>
      <c r="H74" s="293"/>
      <c r="I74" s="293"/>
      <c r="J74" s="293"/>
      <c r="K74" s="293"/>
      <c r="L74" s="293"/>
      <c r="M74" s="293"/>
      <c r="N74" s="293"/>
      <c r="O74" s="293"/>
      <c r="P74" s="293"/>
      <c r="Q74" s="293"/>
      <c r="R74" s="293"/>
      <c r="S74" s="256">
        <f t="shared" si="20"/>
        <v>0</v>
      </c>
      <c r="T74" s="512">
        <f t="shared" si="21"/>
        <v>0</v>
      </c>
      <c r="U74" s="513">
        <f t="shared" si="22"/>
        <v>0</v>
      </c>
      <c r="V74" s="461">
        <f t="shared" si="23"/>
        <v>258</v>
      </c>
      <c r="W74" s="255">
        <v>2024</v>
      </c>
      <c r="X74" s="252" t="s">
        <v>110</v>
      </c>
      <c r="Y74"/>
      <c r="Z74" s="124"/>
      <c r="AA74" s="104"/>
      <c r="AB74" s="265">
        <v>45936</v>
      </c>
      <c r="AC74" s="495">
        <v>2025</v>
      </c>
      <c r="AD74" s="267" t="s">
        <v>782</v>
      </c>
      <c r="AE74" s="267">
        <v>275</v>
      </c>
      <c r="AF74" s="267" t="s">
        <v>609</v>
      </c>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row>
    <row r="75" spans="1:86" ht="15.75" customHeight="1" x14ac:dyDescent="0.2">
      <c r="A75" s="487" t="s">
        <v>35</v>
      </c>
      <c r="B75" s="255">
        <v>2024</v>
      </c>
      <c r="C75" s="252" t="s">
        <v>761</v>
      </c>
      <c r="D75" s="512">
        <v>2</v>
      </c>
      <c r="E75" s="241">
        <v>0</v>
      </c>
      <c r="F75" s="241">
        <v>168</v>
      </c>
      <c r="G75" s="293"/>
      <c r="H75" s="293"/>
      <c r="I75" s="293"/>
      <c r="J75" s="293"/>
      <c r="K75" s="293"/>
      <c r="L75" s="293"/>
      <c r="M75" s="293"/>
      <c r="N75" s="241">
        <v>24</v>
      </c>
      <c r="O75" s="241">
        <v>8</v>
      </c>
      <c r="P75" s="241">
        <v>8</v>
      </c>
      <c r="Q75" s="241">
        <v>2</v>
      </c>
      <c r="R75" s="241">
        <v>3</v>
      </c>
      <c r="S75" s="256">
        <f t="shared" ref="S75" si="32">SUM(G75:R75)</f>
        <v>45</v>
      </c>
      <c r="T75" s="512">
        <f t="shared" ref="T75" si="33">IFERROR((AVERAGE(G75:R75)),0)</f>
        <v>9</v>
      </c>
      <c r="U75" s="513">
        <f t="shared" ref="U75" si="34">IFERROR((V75/T75),0)</f>
        <v>13.666666666666666</v>
      </c>
      <c r="V75" s="461">
        <f t="shared" ref="V75" si="35">E75+F75-S75</f>
        <v>123</v>
      </c>
      <c r="W75" s="255">
        <v>2024</v>
      </c>
      <c r="X75" s="252" t="s">
        <v>633</v>
      </c>
      <c r="Y75"/>
      <c r="Z75" s="124"/>
      <c r="AA75" s="104"/>
      <c r="AB75" s="265">
        <v>45936</v>
      </c>
      <c r="AC75" s="495">
        <v>2025</v>
      </c>
      <c r="AD75" s="267" t="s">
        <v>783</v>
      </c>
      <c r="AE75" s="267">
        <v>330</v>
      </c>
      <c r="AF75" s="267" t="s">
        <v>609</v>
      </c>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row>
    <row r="76" spans="1:86" ht="15.75" customHeight="1" x14ac:dyDescent="0.2">
      <c r="A76" s="487">
        <v>196808</v>
      </c>
      <c r="B76" s="255">
        <v>2024</v>
      </c>
      <c r="C76" s="252" t="s">
        <v>575</v>
      </c>
      <c r="D76" s="512">
        <v>13.875</v>
      </c>
      <c r="E76" s="241">
        <v>0</v>
      </c>
      <c r="F76" s="241">
        <f>322+112</f>
        <v>434</v>
      </c>
      <c r="G76" s="293"/>
      <c r="H76" s="293"/>
      <c r="I76" s="293"/>
      <c r="J76" s="241">
        <v>90</v>
      </c>
      <c r="K76" s="241">
        <v>125</v>
      </c>
      <c r="L76" s="241">
        <v>16</v>
      </c>
      <c r="M76" s="241">
        <v>75</v>
      </c>
      <c r="N76" s="241">
        <v>24</v>
      </c>
      <c r="O76" s="241">
        <v>30</v>
      </c>
      <c r="P76" s="241">
        <v>8</v>
      </c>
      <c r="Q76" s="241">
        <v>14</v>
      </c>
      <c r="R76" s="241">
        <f>15-4</f>
        <v>11</v>
      </c>
      <c r="S76" s="256">
        <f t="shared" si="20"/>
        <v>393</v>
      </c>
      <c r="T76" s="512">
        <f t="shared" si="21"/>
        <v>43.666666666666664</v>
      </c>
      <c r="U76" s="513">
        <f t="shared" si="22"/>
        <v>0.93893129770992367</v>
      </c>
      <c r="V76" s="461">
        <f t="shared" si="23"/>
        <v>41</v>
      </c>
      <c r="W76" s="255">
        <v>2024</v>
      </c>
      <c r="X76" s="252" t="s">
        <v>25</v>
      </c>
      <c r="Y76"/>
      <c r="Z76" s="124"/>
      <c r="AA76" s="104"/>
      <c r="AB76" s="265">
        <v>45936</v>
      </c>
      <c r="AC76" s="495">
        <v>2025</v>
      </c>
      <c r="AD76" s="267" t="s">
        <v>784</v>
      </c>
      <c r="AE76" s="267">
        <v>130</v>
      </c>
      <c r="AF76" s="267" t="s">
        <v>609</v>
      </c>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row>
    <row r="77" spans="1:86" ht="15.75" customHeight="1" x14ac:dyDescent="0.2">
      <c r="A77" s="252"/>
      <c r="B77" s="255">
        <v>2024</v>
      </c>
      <c r="C77" s="252" t="s">
        <v>785</v>
      </c>
      <c r="D77" s="512"/>
      <c r="E77" s="241">
        <v>0</v>
      </c>
      <c r="F77" s="241">
        <f>573-111</f>
        <v>462</v>
      </c>
      <c r="G77" s="542"/>
      <c r="H77" s="542"/>
      <c r="I77" s="542"/>
      <c r="J77" s="542"/>
      <c r="K77" s="542"/>
      <c r="L77" s="542">
        <v>30</v>
      </c>
      <c r="M77" s="542">
        <v>15</v>
      </c>
      <c r="N77" s="542">
        <v>9</v>
      </c>
      <c r="O77" s="542">
        <v>9</v>
      </c>
      <c r="P77" s="542">
        <v>7</v>
      </c>
      <c r="Q77" s="542">
        <v>0</v>
      </c>
      <c r="R77" s="542">
        <v>6</v>
      </c>
      <c r="S77" s="256">
        <f t="shared" ref="S77" si="36">SUM(G77:R77)</f>
        <v>76</v>
      </c>
      <c r="T77" s="512">
        <f t="shared" ref="T77" si="37">IFERROR((AVERAGE(G77:R77)),0)</f>
        <v>10.857142857142858</v>
      </c>
      <c r="U77" s="513">
        <f t="shared" ref="U77" si="38">IFERROR((V77/T77),0)</f>
        <v>35.55263157894737</v>
      </c>
      <c r="V77" s="461">
        <f t="shared" ref="V77" si="39">E77+F77-S77</f>
        <v>386</v>
      </c>
      <c r="W77" s="255">
        <v>2024</v>
      </c>
      <c r="X77" s="252" t="s">
        <v>785</v>
      </c>
      <c r="Y77"/>
      <c r="Z77" s="124"/>
      <c r="AA77" s="104"/>
      <c r="AB77" s="265">
        <v>45936</v>
      </c>
      <c r="AC77" s="495">
        <v>2025</v>
      </c>
      <c r="AD77" s="267" t="s">
        <v>786</v>
      </c>
      <c r="AE77" s="267">
        <v>330</v>
      </c>
      <c r="AF77" s="267" t="s">
        <v>609</v>
      </c>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row>
    <row r="78" spans="1:86" ht="15.75" customHeight="1" x14ac:dyDescent="0.2">
      <c r="A78" s="487">
        <v>133688</v>
      </c>
      <c r="B78" s="255">
        <v>2024</v>
      </c>
      <c r="C78" s="252" t="s">
        <v>23</v>
      </c>
      <c r="D78" s="512">
        <v>0</v>
      </c>
      <c r="E78" s="241">
        <v>0</v>
      </c>
      <c r="F78" s="241">
        <v>203</v>
      </c>
      <c r="G78" s="293"/>
      <c r="H78" s="293"/>
      <c r="I78" s="293"/>
      <c r="J78" s="293"/>
      <c r="K78" s="293"/>
      <c r="L78" s="293"/>
      <c r="M78" s="293"/>
      <c r="N78" s="293"/>
      <c r="O78" s="293"/>
      <c r="P78" s="293"/>
      <c r="Q78" s="293"/>
      <c r="R78" s="293">
        <v>12</v>
      </c>
      <c r="S78" s="256">
        <f t="shared" ref="S78:S79" si="40">SUM(G78:R78)</f>
        <v>12</v>
      </c>
      <c r="T78" s="512">
        <f t="shared" ref="T78:T88" si="41">IFERROR((AVERAGE(G78:R78)),0)</f>
        <v>12</v>
      </c>
      <c r="U78" s="513">
        <f t="shared" ref="U78:U88" si="42">IFERROR((V78/T78),0)</f>
        <v>15.916666666666666</v>
      </c>
      <c r="V78" s="461">
        <f t="shared" ref="V78:V88" si="43">E78+F78-S78</f>
        <v>191</v>
      </c>
      <c r="W78" s="255">
        <v>2024</v>
      </c>
      <c r="X78" s="252" t="s">
        <v>23</v>
      </c>
      <c r="Y78"/>
      <c r="Z78" s="124"/>
      <c r="AA78" s="104"/>
      <c r="AB78" s="265">
        <v>45974</v>
      </c>
      <c r="AC78" s="495">
        <v>2025</v>
      </c>
      <c r="AD78" s="267" t="s">
        <v>787</v>
      </c>
      <c r="AE78" s="267">
        <v>310</v>
      </c>
      <c r="AF78" s="267" t="s">
        <v>609</v>
      </c>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row>
    <row r="79" spans="1:86" ht="15.75" customHeight="1" x14ac:dyDescent="0.2">
      <c r="A79" s="487">
        <v>133687</v>
      </c>
      <c r="B79" s="255">
        <v>2024</v>
      </c>
      <c r="C79" s="252" t="s">
        <v>93</v>
      </c>
      <c r="D79" s="512">
        <v>0</v>
      </c>
      <c r="E79" s="241">
        <v>0</v>
      </c>
      <c r="F79" s="241">
        <v>0</v>
      </c>
      <c r="G79" s="293"/>
      <c r="H79" s="293"/>
      <c r="I79" s="293"/>
      <c r="J79" s="293"/>
      <c r="K79" s="293"/>
      <c r="L79" s="293"/>
      <c r="M79" s="293"/>
      <c r="N79" s="293"/>
      <c r="O79" s="293"/>
      <c r="P79" s="293"/>
      <c r="Q79" s="293"/>
      <c r="R79" s="293"/>
      <c r="S79" s="256">
        <f t="shared" si="40"/>
        <v>0</v>
      </c>
      <c r="T79" s="512">
        <f t="shared" si="41"/>
        <v>0</v>
      </c>
      <c r="U79" s="513">
        <f t="shared" si="42"/>
        <v>0</v>
      </c>
      <c r="V79" s="461">
        <f t="shared" si="43"/>
        <v>0</v>
      </c>
      <c r="W79" s="255">
        <v>2024</v>
      </c>
      <c r="X79" s="252" t="s">
        <v>393</v>
      </c>
      <c r="Y79"/>
      <c r="Z79" s="124"/>
      <c r="AA79" s="104"/>
      <c r="AB79" s="265">
        <v>45974</v>
      </c>
      <c r="AC79" s="495">
        <v>2025</v>
      </c>
      <c r="AD79" s="267" t="s">
        <v>555</v>
      </c>
      <c r="AE79" s="267">
        <v>275</v>
      </c>
      <c r="AF79" s="267" t="s">
        <v>609</v>
      </c>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row>
    <row r="80" spans="1:86" ht="15.75" customHeight="1" x14ac:dyDescent="0.2">
      <c r="A80" s="252">
        <v>22384</v>
      </c>
      <c r="B80" s="255">
        <v>2024</v>
      </c>
      <c r="C80" s="252" t="s">
        <v>26</v>
      </c>
      <c r="D80" s="512">
        <v>0</v>
      </c>
      <c r="E80" s="241">
        <v>0</v>
      </c>
      <c r="F80" s="241">
        <v>0</v>
      </c>
      <c r="G80" s="293"/>
      <c r="H80" s="293"/>
      <c r="I80" s="293"/>
      <c r="J80" s="293"/>
      <c r="K80" s="293"/>
      <c r="L80" s="293"/>
      <c r="M80" s="293"/>
      <c r="N80" s="293"/>
      <c r="O80" s="293"/>
      <c r="P80" s="293"/>
      <c r="Q80" s="293"/>
      <c r="R80" s="293"/>
      <c r="S80" s="256">
        <f t="shared" ref="S80" si="44">SUM(G80:R80)</f>
        <v>0</v>
      </c>
      <c r="T80" s="512">
        <f t="shared" si="41"/>
        <v>0</v>
      </c>
      <c r="U80" s="513">
        <f t="shared" si="42"/>
        <v>0</v>
      </c>
      <c r="V80" s="461">
        <f t="shared" si="43"/>
        <v>0</v>
      </c>
      <c r="W80" s="255">
        <v>2024</v>
      </c>
      <c r="X80" s="252" t="s">
        <v>26</v>
      </c>
      <c r="Y80"/>
      <c r="Z80" s="124"/>
      <c r="AA80" s="104"/>
      <c r="AB80" s="265">
        <v>45974</v>
      </c>
      <c r="AC80" s="495">
        <v>2025</v>
      </c>
      <c r="AD80" s="267" t="s">
        <v>788</v>
      </c>
      <c r="AE80" s="267">
        <v>140</v>
      </c>
      <c r="AF80" s="267" t="s">
        <v>609</v>
      </c>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row>
    <row r="81" spans="1:86" ht="15.75" customHeight="1" x14ac:dyDescent="0.2">
      <c r="A81" s="104">
        <v>27736</v>
      </c>
      <c r="B81" s="255">
        <v>2024</v>
      </c>
      <c r="C81" s="252" t="s">
        <v>70</v>
      </c>
      <c r="D81" s="512">
        <v>0</v>
      </c>
      <c r="E81" s="241">
        <v>0</v>
      </c>
      <c r="F81" s="241">
        <v>0</v>
      </c>
      <c r="G81" s="293"/>
      <c r="H81" s="293"/>
      <c r="I81" s="293"/>
      <c r="J81" s="293"/>
      <c r="K81" s="293"/>
      <c r="L81" s="293"/>
      <c r="M81" s="293"/>
      <c r="N81" s="293"/>
      <c r="O81" s="293"/>
      <c r="P81" s="293"/>
      <c r="Q81" s="293"/>
      <c r="R81" s="293"/>
      <c r="S81" s="256">
        <f t="shared" ref="S81" si="45">SUM(G81:R81)</f>
        <v>0</v>
      </c>
      <c r="T81" s="512">
        <f t="shared" si="41"/>
        <v>0</v>
      </c>
      <c r="U81" s="513">
        <f t="shared" si="42"/>
        <v>0</v>
      </c>
      <c r="V81" s="461">
        <f t="shared" si="43"/>
        <v>0</v>
      </c>
      <c r="W81" s="255">
        <v>2024</v>
      </c>
      <c r="X81" s="252" t="s">
        <v>116</v>
      </c>
      <c r="Y81"/>
      <c r="Z81" s="124"/>
      <c r="AA81" s="104"/>
      <c r="AB81" s="265">
        <v>45979</v>
      </c>
      <c r="AC81" s="495">
        <v>2025</v>
      </c>
      <c r="AD81" s="267" t="s">
        <v>789</v>
      </c>
      <c r="AE81" s="267">
        <v>330</v>
      </c>
      <c r="AF81" s="267" t="s">
        <v>609</v>
      </c>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row>
    <row r="82" spans="1:86" ht="15.75" customHeight="1" x14ac:dyDescent="0.2">
      <c r="A82" s="252">
        <v>135370</v>
      </c>
      <c r="B82" s="255">
        <v>2024</v>
      </c>
      <c r="C82" s="252" t="s">
        <v>217</v>
      </c>
      <c r="D82" s="512">
        <v>0</v>
      </c>
      <c r="E82" s="241">
        <v>0</v>
      </c>
      <c r="F82" s="241">
        <v>0</v>
      </c>
      <c r="G82" s="293"/>
      <c r="H82" s="293"/>
      <c r="I82" s="293"/>
      <c r="J82" s="293"/>
      <c r="K82" s="293"/>
      <c r="L82" s="293"/>
      <c r="M82" s="293"/>
      <c r="N82" s="293"/>
      <c r="O82" s="293"/>
      <c r="P82" s="293"/>
      <c r="Q82" s="293"/>
      <c r="R82" s="293"/>
      <c r="S82" s="256">
        <f t="shared" ref="S82" si="46">SUM(G82:R82)</f>
        <v>0</v>
      </c>
      <c r="T82" s="512">
        <f t="shared" si="41"/>
        <v>0</v>
      </c>
      <c r="U82" s="513">
        <f t="shared" si="42"/>
        <v>0</v>
      </c>
      <c r="V82" s="461">
        <f t="shared" si="43"/>
        <v>0</v>
      </c>
      <c r="W82" s="255">
        <v>2024</v>
      </c>
      <c r="X82" s="252" t="s">
        <v>505</v>
      </c>
      <c r="Y82"/>
      <c r="Z82" s="124"/>
      <c r="AA82" s="104"/>
      <c r="AB82" s="265">
        <v>45979</v>
      </c>
      <c r="AC82" s="495">
        <v>2025</v>
      </c>
      <c r="AD82" s="267" t="s">
        <v>790</v>
      </c>
      <c r="AE82" s="267">
        <v>275</v>
      </c>
      <c r="AF82" s="267" t="s">
        <v>609</v>
      </c>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row>
    <row r="83" spans="1:86" ht="15.75" customHeight="1" x14ac:dyDescent="0.2">
      <c r="A83" s="535">
        <v>34641</v>
      </c>
      <c r="B83" s="255">
        <v>2024</v>
      </c>
      <c r="C83" s="252" t="s">
        <v>118</v>
      </c>
      <c r="D83" s="512">
        <v>0</v>
      </c>
      <c r="E83" s="241">
        <v>0</v>
      </c>
      <c r="F83" s="241">
        <v>0</v>
      </c>
      <c r="G83" s="293"/>
      <c r="H83" s="293"/>
      <c r="I83" s="293"/>
      <c r="J83" s="293"/>
      <c r="K83" s="293"/>
      <c r="L83" s="293"/>
      <c r="M83" s="293"/>
      <c r="N83" s="293"/>
      <c r="O83" s="293"/>
      <c r="P83" s="293"/>
      <c r="Q83" s="293"/>
      <c r="R83" s="293"/>
      <c r="S83" s="256">
        <f t="shared" ref="S83:S88" si="47">SUM(G83:R83)</f>
        <v>0</v>
      </c>
      <c r="T83" s="512">
        <f t="shared" si="41"/>
        <v>0</v>
      </c>
      <c r="U83" s="513">
        <f t="shared" si="42"/>
        <v>0</v>
      </c>
      <c r="V83" s="461">
        <f t="shared" si="43"/>
        <v>0</v>
      </c>
      <c r="W83" s="255">
        <v>2024</v>
      </c>
      <c r="X83" s="252" t="s">
        <v>118</v>
      </c>
      <c r="Y83"/>
      <c r="Z83" s="124"/>
      <c r="AA83" s="104"/>
      <c r="AB83" s="265">
        <v>45979</v>
      </c>
      <c r="AC83" s="495">
        <v>2025</v>
      </c>
      <c r="AD83" s="267" t="s">
        <v>791</v>
      </c>
      <c r="AE83" s="267">
        <v>330</v>
      </c>
      <c r="AF83" s="267" t="s">
        <v>609</v>
      </c>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row>
    <row r="84" spans="1:86" ht="15.75" customHeight="1" x14ac:dyDescent="0.2">
      <c r="A84" s="104">
        <v>196105</v>
      </c>
      <c r="B84" s="255">
        <v>2024</v>
      </c>
      <c r="C84" s="252" t="s">
        <v>547</v>
      </c>
      <c r="D84" s="512">
        <v>0</v>
      </c>
      <c r="E84" s="241">
        <v>0</v>
      </c>
      <c r="F84" s="241">
        <v>121</v>
      </c>
      <c r="G84" s="293"/>
      <c r="H84" s="293"/>
      <c r="I84" s="293"/>
      <c r="J84" s="293"/>
      <c r="K84" s="293"/>
      <c r="L84" s="293"/>
      <c r="M84" s="293"/>
      <c r="N84" s="293"/>
      <c r="O84" s="293"/>
      <c r="P84" s="293"/>
      <c r="Q84" s="293"/>
      <c r="R84" s="293"/>
      <c r="S84" s="256">
        <f t="shared" si="47"/>
        <v>0</v>
      </c>
      <c r="T84" s="512">
        <f t="shared" si="41"/>
        <v>0</v>
      </c>
      <c r="U84" s="513">
        <f t="shared" si="42"/>
        <v>0</v>
      </c>
      <c r="V84" s="461">
        <f t="shared" si="43"/>
        <v>121</v>
      </c>
      <c r="W84" s="255">
        <v>2024</v>
      </c>
      <c r="X84" s="252" t="s">
        <v>548</v>
      </c>
      <c r="Y84"/>
      <c r="Z84" s="124"/>
      <c r="AA84" s="104"/>
      <c r="AB84" s="265">
        <v>45979</v>
      </c>
      <c r="AC84" s="495">
        <v>2025</v>
      </c>
      <c r="AD84" s="267" t="s">
        <v>792</v>
      </c>
      <c r="AE84" s="267">
        <v>275</v>
      </c>
      <c r="AF84" s="267" t="s">
        <v>609</v>
      </c>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row>
    <row r="85" spans="1:86" ht="15.75" customHeight="1" x14ac:dyDescent="0.2">
      <c r="A85" s="487">
        <v>28361</v>
      </c>
      <c r="B85" s="255">
        <v>2024</v>
      </c>
      <c r="C85" s="252" t="s">
        <v>555</v>
      </c>
      <c r="D85" s="512">
        <v>0</v>
      </c>
      <c r="E85" s="241">
        <v>0</v>
      </c>
      <c r="F85" s="241">
        <v>113</v>
      </c>
      <c r="G85" s="293"/>
      <c r="H85" s="293"/>
      <c r="I85" s="293"/>
      <c r="J85" s="293"/>
      <c r="K85" s="293"/>
      <c r="L85" s="293"/>
      <c r="M85" s="293"/>
      <c r="N85" s="293"/>
      <c r="O85" s="293"/>
      <c r="P85" s="293"/>
      <c r="Q85" s="293"/>
      <c r="R85" s="293">
        <v>12</v>
      </c>
      <c r="S85" s="256">
        <f t="shared" si="47"/>
        <v>12</v>
      </c>
      <c r="T85" s="512">
        <f t="shared" si="41"/>
        <v>12</v>
      </c>
      <c r="U85" s="513">
        <f t="shared" si="42"/>
        <v>8.4166666666666661</v>
      </c>
      <c r="V85" s="461">
        <f t="shared" si="43"/>
        <v>101</v>
      </c>
      <c r="W85" s="255">
        <v>2024</v>
      </c>
      <c r="X85" s="252" t="s">
        <v>627</v>
      </c>
      <c r="Y85"/>
      <c r="Z85" s="124"/>
      <c r="AA85" s="104"/>
      <c r="AB85" s="265">
        <v>45979</v>
      </c>
      <c r="AC85" s="495">
        <v>2025</v>
      </c>
      <c r="AD85" s="267" t="s">
        <v>793</v>
      </c>
      <c r="AE85" s="267">
        <v>275</v>
      </c>
      <c r="AF85" s="267" t="s">
        <v>609</v>
      </c>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row>
    <row r="86" spans="1:86" ht="15.75" customHeight="1" x14ac:dyDescent="0.2">
      <c r="A86" s="487">
        <v>133687</v>
      </c>
      <c r="B86" s="255">
        <v>2024</v>
      </c>
      <c r="C86" s="252" t="s">
        <v>278</v>
      </c>
      <c r="D86" s="512">
        <v>0</v>
      </c>
      <c r="E86" s="241">
        <v>0</v>
      </c>
      <c r="F86" s="241">
        <v>254</v>
      </c>
      <c r="G86" s="293"/>
      <c r="H86" s="293"/>
      <c r="I86" s="293"/>
      <c r="J86" s="293"/>
      <c r="K86" s="293"/>
      <c r="L86" s="293"/>
      <c r="M86" s="293"/>
      <c r="N86" s="293"/>
      <c r="O86" s="293"/>
      <c r="P86" s="293"/>
      <c r="Q86" s="293"/>
      <c r="R86" s="293">
        <v>18</v>
      </c>
      <c r="S86" s="256">
        <f t="shared" si="47"/>
        <v>18</v>
      </c>
      <c r="T86" s="512">
        <f t="shared" si="41"/>
        <v>18</v>
      </c>
      <c r="U86" s="513">
        <f t="shared" si="42"/>
        <v>13.111111111111111</v>
      </c>
      <c r="V86" s="461">
        <f t="shared" si="43"/>
        <v>236</v>
      </c>
      <c r="W86" s="255">
        <v>2024</v>
      </c>
      <c r="X86" s="252" t="s">
        <v>278</v>
      </c>
      <c r="Y86"/>
      <c r="Z86" s="105"/>
      <c r="AA86" s="105"/>
      <c r="AB86" s="265">
        <v>45979</v>
      </c>
      <c r="AC86" s="495">
        <v>2025</v>
      </c>
      <c r="AD86" s="267" t="s">
        <v>794</v>
      </c>
      <c r="AE86" s="267">
        <v>275</v>
      </c>
      <c r="AF86" s="267" t="s">
        <v>609</v>
      </c>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row>
    <row r="87" spans="1:86" ht="15.75" customHeight="1" x14ac:dyDescent="0.25">
      <c r="A87" s="487">
        <v>168932</v>
      </c>
      <c r="B87" s="255">
        <v>2024</v>
      </c>
      <c r="C87" s="252" t="s">
        <v>795</v>
      </c>
      <c r="D87" s="512">
        <v>0</v>
      </c>
      <c r="E87" s="241">
        <v>0</v>
      </c>
      <c r="F87" s="241">
        <v>608</v>
      </c>
      <c r="G87" s="293"/>
      <c r="H87" s="293"/>
      <c r="I87" s="293"/>
      <c r="J87" s="293"/>
      <c r="K87" s="293"/>
      <c r="L87" s="293"/>
      <c r="M87" s="293"/>
      <c r="N87" s="293"/>
      <c r="O87" s="293"/>
      <c r="P87" s="293"/>
      <c r="Q87" s="293"/>
      <c r="R87" s="293"/>
      <c r="S87" s="256">
        <f t="shared" si="47"/>
        <v>0</v>
      </c>
      <c r="T87" s="512">
        <f t="shared" si="41"/>
        <v>0</v>
      </c>
      <c r="U87" s="513">
        <f t="shared" si="42"/>
        <v>0</v>
      </c>
      <c r="V87" s="461">
        <f t="shared" si="43"/>
        <v>608</v>
      </c>
      <c r="W87" s="255">
        <v>2024</v>
      </c>
      <c r="X87" s="252" t="s">
        <v>795</v>
      </c>
      <c r="Y87"/>
      <c r="Z87" s="124"/>
      <c r="AA87" s="104"/>
      <c r="AB87" s="263"/>
      <c r="AC87" s="266"/>
      <c r="AD87" s="267"/>
      <c r="AE87" s="267"/>
      <c r="AF87" s="267"/>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row>
    <row r="88" spans="1:86" ht="15.75" customHeight="1" x14ac:dyDescent="0.25">
      <c r="A88" s="487"/>
      <c r="B88" s="116" t="s">
        <v>377</v>
      </c>
      <c r="C88" s="252" t="s">
        <v>796</v>
      </c>
      <c r="D88" s="512">
        <v>0</v>
      </c>
      <c r="E88" s="528">
        <v>0</v>
      </c>
      <c r="F88" s="528">
        <f>66</f>
        <v>66</v>
      </c>
      <c r="G88" s="542"/>
      <c r="H88" s="542"/>
      <c r="I88" s="542"/>
      <c r="J88" s="542"/>
      <c r="K88" s="542"/>
      <c r="L88" s="542"/>
      <c r="M88" s="542"/>
      <c r="N88" s="542"/>
      <c r="O88" s="542"/>
      <c r="P88" s="542"/>
      <c r="Q88" s="542"/>
      <c r="R88" s="542"/>
      <c r="S88" s="256">
        <f t="shared" si="47"/>
        <v>0</v>
      </c>
      <c r="T88" s="512">
        <f t="shared" si="41"/>
        <v>0</v>
      </c>
      <c r="U88" s="513">
        <f t="shared" si="42"/>
        <v>0</v>
      </c>
      <c r="V88" s="461">
        <f t="shared" si="43"/>
        <v>66</v>
      </c>
      <c r="W88" s="255" t="s">
        <v>377</v>
      </c>
      <c r="X88" s="104" t="s">
        <v>796</v>
      </c>
      <c r="Y88"/>
      <c r="Z88" s="124"/>
      <c r="AA88" s="104"/>
      <c r="AB88" s="263"/>
      <c r="AC88" s="266"/>
      <c r="AD88" s="267"/>
      <c r="AE88" s="267"/>
      <c r="AF88" s="267"/>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row>
    <row r="89" spans="1:86" ht="15.75" customHeight="1" x14ac:dyDescent="0.2">
      <c r="A89" s="249"/>
      <c r="B89" s="315"/>
      <c r="C89" s="249"/>
      <c r="D89" s="249">
        <v>0</v>
      </c>
      <c r="E89" s="509">
        <v>0</v>
      </c>
      <c r="F89" s="509"/>
      <c r="G89" s="509"/>
      <c r="H89" s="509"/>
      <c r="I89" s="509"/>
      <c r="J89" s="509"/>
      <c r="K89" s="509"/>
      <c r="L89" s="509"/>
      <c r="M89" s="509"/>
      <c r="N89" s="509"/>
      <c r="O89" s="509"/>
      <c r="P89" s="509"/>
      <c r="Q89" s="509"/>
      <c r="R89" s="509"/>
      <c r="S89" s="251">
        <f t="shared" ref="S89:S95" si="48">SUM(G89:R89)</f>
        <v>0</v>
      </c>
      <c r="T89" s="510">
        <f t="shared" si="9"/>
        <v>0</v>
      </c>
      <c r="U89" s="511">
        <f t="shared" si="10"/>
        <v>0</v>
      </c>
      <c r="V89" s="462"/>
      <c r="W89" s="316"/>
      <c r="X89" s="213"/>
      <c r="Y89"/>
      <c r="Z89" s="124"/>
      <c r="AA89" s="104"/>
      <c r="AB89" s="265"/>
      <c r="AC89" s="266"/>
      <c r="AD89" s="267"/>
      <c r="AE89" s="267"/>
      <c r="AF89" s="267"/>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row>
    <row r="90" spans="1:86" ht="15.75" customHeight="1" x14ac:dyDescent="0.2">
      <c r="A90" s="252"/>
      <c r="B90" s="116">
        <v>2015</v>
      </c>
      <c r="C90" s="252"/>
      <c r="D90" s="308">
        <v>0.33333333333333331</v>
      </c>
      <c r="E90" s="531">
        <f t="shared" ref="E90:R90" si="49">SUM(E9)</f>
        <v>57</v>
      </c>
      <c r="F90" s="531">
        <f t="shared" si="49"/>
        <v>0</v>
      </c>
      <c r="G90" s="531">
        <f t="shared" si="49"/>
        <v>2</v>
      </c>
      <c r="H90" s="531">
        <f t="shared" si="49"/>
        <v>3</v>
      </c>
      <c r="I90" s="531">
        <f t="shared" si="49"/>
        <v>2</v>
      </c>
      <c r="J90" s="531">
        <f t="shared" si="49"/>
        <v>1</v>
      </c>
      <c r="K90" s="531">
        <f t="shared" si="49"/>
        <v>1</v>
      </c>
      <c r="L90" s="531">
        <f t="shared" si="49"/>
        <v>2</v>
      </c>
      <c r="M90" s="531">
        <f t="shared" si="49"/>
        <v>2</v>
      </c>
      <c r="N90" s="531">
        <f t="shared" si="49"/>
        <v>1</v>
      </c>
      <c r="O90" s="531">
        <f t="shared" si="49"/>
        <v>1</v>
      </c>
      <c r="P90" s="531">
        <f t="shared" si="49"/>
        <v>2</v>
      </c>
      <c r="Q90" s="531">
        <f t="shared" si="49"/>
        <v>2</v>
      </c>
      <c r="R90" s="531">
        <f t="shared" si="49"/>
        <v>0</v>
      </c>
      <c r="S90" s="255">
        <f t="shared" si="48"/>
        <v>19</v>
      </c>
      <c r="T90" s="512">
        <f t="shared" si="9"/>
        <v>1.5833333333333333</v>
      </c>
      <c r="U90" s="513">
        <f t="shared" si="10"/>
        <v>24</v>
      </c>
      <c r="V90" s="461">
        <f t="shared" ref="V90:V96" si="50">E90+F90-S90</f>
        <v>38</v>
      </c>
      <c r="W90" s="314">
        <v>2015</v>
      </c>
      <c r="X90" s="213"/>
      <c r="Y90"/>
      <c r="Z90" s="124"/>
      <c r="AA90" s="104"/>
      <c r="AB90" s="265"/>
      <c r="AC90" s="266"/>
      <c r="AD90" s="267"/>
      <c r="AE90" s="267"/>
      <c r="AF90" s="267"/>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row>
    <row r="91" spans="1:86" ht="15.75" customHeight="1" x14ac:dyDescent="0.2">
      <c r="A91" s="104"/>
      <c r="B91" s="116">
        <v>2020</v>
      </c>
      <c r="C91" s="252"/>
      <c r="D91" s="309">
        <v>140</v>
      </c>
      <c r="E91" s="531">
        <f t="shared" ref="E91:R91" si="51">SUM(E11:E17)</f>
        <v>900</v>
      </c>
      <c r="F91" s="531">
        <f t="shared" si="51"/>
        <v>129</v>
      </c>
      <c r="G91" s="531">
        <f t="shared" si="51"/>
        <v>97</v>
      </c>
      <c r="H91" s="531">
        <f t="shared" si="51"/>
        <v>136</v>
      </c>
      <c r="I91" s="531">
        <f t="shared" si="51"/>
        <v>94</v>
      </c>
      <c r="J91" s="531">
        <f t="shared" si="51"/>
        <v>58</v>
      </c>
      <c r="K91" s="531">
        <f t="shared" si="51"/>
        <v>72</v>
      </c>
      <c r="L91" s="531">
        <f t="shared" si="51"/>
        <v>42</v>
      </c>
      <c r="M91" s="531">
        <f t="shared" si="51"/>
        <v>24</v>
      </c>
      <c r="N91" s="531">
        <f t="shared" si="51"/>
        <v>85</v>
      </c>
      <c r="O91" s="531">
        <f t="shared" si="51"/>
        <v>45</v>
      </c>
      <c r="P91" s="531">
        <f t="shared" si="51"/>
        <v>40</v>
      </c>
      <c r="Q91" s="531">
        <f t="shared" si="51"/>
        <v>111</v>
      </c>
      <c r="R91" s="531">
        <f t="shared" si="51"/>
        <v>47</v>
      </c>
      <c r="S91" s="255">
        <f t="shared" si="48"/>
        <v>851</v>
      </c>
      <c r="T91" s="512">
        <f t="shared" si="9"/>
        <v>70.916666666666671</v>
      </c>
      <c r="U91" s="513">
        <f t="shared" si="10"/>
        <v>2.5099882491186838</v>
      </c>
      <c r="V91" s="461">
        <f t="shared" si="50"/>
        <v>178</v>
      </c>
      <c r="W91" s="314">
        <v>2020</v>
      </c>
      <c r="X91" s="104"/>
      <c r="Y91"/>
      <c r="Z91"/>
      <c r="AA91" s="104"/>
      <c r="AB91" s="265"/>
      <c r="AC91" s="266"/>
      <c r="AD91" s="267"/>
      <c r="AE91" s="267"/>
      <c r="AF91" s="267"/>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row>
    <row r="92" spans="1:86" ht="15.75" customHeight="1" x14ac:dyDescent="0.2">
      <c r="A92" s="104"/>
      <c r="B92" s="116">
        <v>2021</v>
      </c>
      <c r="C92" s="252"/>
      <c r="D92" s="309">
        <v>74.416666666666671</v>
      </c>
      <c r="E92" s="531">
        <f t="shared" ref="E92:F92" si="52">SUM(E19:E28)</f>
        <v>2648</v>
      </c>
      <c r="F92" s="531">
        <f t="shared" si="52"/>
        <v>0</v>
      </c>
      <c r="G92" s="531">
        <f t="shared" ref="G92:L92" si="53">SUM(G19:G28)</f>
        <v>100</v>
      </c>
      <c r="H92" s="531">
        <f t="shared" si="53"/>
        <v>147</v>
      </c>
      <c r="I92" s="531">
        <f t="shared" si="53"/>
        <v>88</v>
      </c>
      <c r="J92" s="531">
        <f t="shared" si="53"/>
        <v>79</v>
      </c>
      <c r="K92" s="531">
        <f t="shared" si="53"/>
        <v>175</v>
      </c>
      <c r="L92" s="531">
        <f t="shared" si="53"/>
        <v>119</v>
      </c>
      <c r="M92" s="531">
        <f t="shared" ref="M92:R92" si="54">SUM(M19:M28)</f>
        <v>83</v>
      </c>
      <c r="N92" s="531">
        <f t="shared" si="54"/>
        <v>151</v>
      </c>
      <c r="O92" s="531">
        <f t="shared" si="54"/>
        <v>146</v>
      </c>
      <c r="P92" s="531">
        <f t="shared" si="54"/>
        <v>103</v>
      </c>
      <c r="Q92" s="531">
        <f t="shared" si="54"/>
        <v>161</v>
      </c>
      <c r="R92" s="531">
        <f t="shared" si="54"/>
        <v>59</v>
      </c>
      <c r="S92" s="255">
        <f t="shared" si="48"/>
        <v>1411</v>
      </c>
      <c r="T92" s="512">
        <f t="shared" si="9"/>
        <v>117.58333333333333</v>
      </c>
      <c r="U92" s="513">
        <f t="shared" si="10"/>
        <v>10.520198440822112</v>
      </c>
      <c r="V92" s="461">
        <f t="shared" si="50"/>
        <v>1237</v>
      </c>
      <c r="W92" s="314">
        <v>2021</v>
      </c>
      <c r="X92" s="104"/>
      <c r="Y92"/>
      <c r="Z92"/>
      <c r="AA92" s="104"/>
      <c r="AB92" s="265"/>
      <c r="AC92" s="266"/>
      <c r="AD92" s="267"/>
      <c r="AE92" s="267"/>
      <c r="AF92" s="267"/>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row>
    <row r="93" spans="1:86" ht="15.75" customHeight="1" x14ac:dyDescent="0.2">
      <c r="A93" s="104"/>
      <c r="B93" s="116">
        <v>2022</v>
      </c>
      <c r="C93" s="252"/>
      <c r="D93" s="309">
        <v>114.41666666666667</v>
      </c>
      <c r="E93" s="531">
        <f>SUM(E30:E45)</f>
        <v>2973</v>
      </c>
      <c r="F93" s="531">
        <f>SUM(F30:F45)</f>
        <v>0</v>
      </c>
      <c r="G93" s="531">
        <f t="shared" ref="G93:L93" si="55">SUM(G30:G45)</f>
        <v>84</v>
      </c>
      <c r="H93" s="531">
        <f t="shared" si="55"/>
        <v>60</v>
      </c>
      <c r="I93" s="531">
        <f t="shared" si="55"/>
        <v>72</v>
      </c>
      <c r="J93" s="531">
        <f t="shared" si="55"/>
        <v>72</v>
      </c>
      <c r="K93" s="531">
        <f t="shared" si="55"/>
        <v>59</v>
      </c>
      <c r="L93" s="531">
        <f t="shared" si="55"/>
        <v>42</v>
      </c>
      <c r="M93" s="531">
        <f t="shared" ref="M93:R93" si="56">SUM(M30:M45)</f>
        <v>40</v>
      </c>
      <c r="N93" s="531">
        <f t="shared" si="56"/>
        <v>72</v>
      </c>
      <c r="O93" s="531">
        <f t="shared" si="56"/>
        <v>57</v>
      </c>
      <c r="P93" s="531">
        <f t="shared" si="56"/>
        <v>105</v>
      </c>
      <c r="Q93" s="531">
        <f t="shared" si="56"/>
        <v>242</v>
      </c>
      <c r="R93" s="531">
        <f t="shared" si="56"/>
        <v>89</v>
      </c>
      <c r="S93" s="255">
        <f t="shared" si="48"/>
        <v>994</v>
      </c>
      <c r="T93" s="512">
        <f t="shared" si="9"/>
        <v>82.833333333333329</v>
      </c>
      <c r="U93" s="513">
        <f t="shared" si="10"/>
        <v>23.891348088531188</v>
      </c>
      <c r="V93" s="461">
        <f t="shared" si="50"/>
        <v>1979</v>
      </c>
      <c r="W93" s="533">
        <v>2022</v>
      </c>
      <c r="X93" s="105"/>
      <c r="Y93"/>
      <c r="Z93"/>
      <c r="AA93" s="104"/>
      <c r="AB93" s="105"/>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row>
    <row r="94" spans="1:86" ht="15.75" customHeight="1" x14ac:dyDescent="0.25">
      <c r="A94" s="104"/>
      <c r="B94" s="116">
        <v>2023</v>
      </c>
      <c r="C94" s="252"/>
      <c r="D94" s="309">
        <v>186.17500000000001</v>
      </c>
      <c r="E94" s="531">
        <f>SUM(E47:E66)</f>
        <v>4052</v>
      </c>
      <c r="F94" s="531">
        <f>SUM(F47:F66)</f>
        <v>294</v>
      </c>
      <c r="G94" s="531">
        <f t="shared" ref="G94:L94" si="57">SUM(G47:G66)</f>
        <v>27</v>
      </c>
      <c r="H94" s="531">
        <f t="shared" si="57"/>
        <v>7</v>
      </c>
      <c r="I94" s="531">
        <f t="shared" si="57"/>
        <v>29</v>
      </c>
      <c r="J94" s="531">
        <f t="shared" si="57"/>
        <v>88</v>
      </c>
      <c r="K94" s="531">
        <f t="shared" si="57"/>
        <v>96</v>
      </c>
      <c r="L94" s="531">
        <f t="shared" si="57"/>
        <v>59</v>
      </c>
      <c r="M94" s="531">
        <f t="shared" ref="M94:R94" si="58">SUM(M47:M66)</f>
        <v>68</v>
      </c>
      <c r="N94" s="531">
        <f t="shared" si="58"/>
        <v>126</v>
      </c>
      <c r="O94" s="531">
        <f t="shared" si="58"/>
        <v>78</v>
      </c>
      <c r="P94" s="531">
        <f t="shared" si="58"/>
        <v>90</v>
      </c>
      <c r="Q94" s="531">
        <f t="shared" si="58"/>
        <v>88</v>
      </c>
      <c r="R94" s="531">
        <f t="shared" si="58"/>
        <v>46</v>
      </c>
      <c r="S94" s="255">
        <f t="shared" si="48"/>
        <v>802</v>
      </c>
      <c r="T94" s="536">
        <f>SUM(T47:T66)</f>
        <v>128.52424242424243</v>
      </c>
      <c r="U94" s="513">
        <f t="shared" si="10"/>
        <v>27.574564402423785</v>
      </c>
      <c r="V94" s="461">
        <f t="shared" si="50"/>
        <v>3544</v>
      </c>
      <c r="W94" s="537">
        <v>2023</v>
      </c>
      <c r="X94" s="200"/>
      <c r="Y94"/>
      <c r="Z94"/>
      <c r="AA94" s="104"/>
      <c r="AB94" s="105"/>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row>
    <row r="95" spans="1:86" ht="15.75" customHeight="1" x14ac:dyDescent="0.25">
      <c r="A95" s="104"/>
      <c r="B95" s="116">
        <v>2024</v>
      </c>
      <c r="C95" s="252"/>
      <c r="D95" s="309"/>
      <c r="E95" s="531">
        <f>SUM(E68:E87)</f>
        <v>0</v>
      </c>
      <c r="F95" s="531">
        <f t="shared" ref="F95:N95" si="59">SUM(F68:F88)</f>
        <v>3842</v>
      </c>
      <c r="G95" s="531">
        <f t="shared" si="59"/>
        <v>0</v>
      </c>
      <c r="H95" s="531">
        <f t="shared" si="59"/>
        <v>0</v>
      </c>
      <c r="I95" s="531">
        <f t="shared" si="59"/>
        <v>33</v>
      </c>
      <c r="J95" s="531">
        <f t="shared" si="59"/>
        <v>92</v>
      </c>
      <c r="K95" s="531">
        <f t="shared" si="59"/>
        <v>130</v>
      </c>
      <c r="L95" s="531">
        <f t="shared" si="59"/>
        <v>46</v>
      </c>
      <c r="M95" s="531">
        <f t="shared" si="59"/>
        <v>90</v>
      </c>
      <c r="N95" s="531">
        <f t="shared" si="59"/>
        <v>68</v>
      </c>
      <c r="O95" s="531">
        <f t="shared" ref="O95:R95" si="60">SUM(O68:O87)</f>
        <v>52</v>
      </c>
      <c r="P95" s="531">
        <f t="shared" si="60"/>
        <v>37</v>
      </c>
      <c r="Q95" s="531">
        <f t="shared" si="60"/>
        <v>17</v>
      </c>
      <c r="R95" s="531">
        <f t="shared" si="60"/>
        <v>62</v>
      </c>
      <c r="S95" s="255">
        <f t="shared" si="48"/>
        <v>627</v>
      </c>
      <c r="T95" s="536">
        <f>SUM(T48:T67)</f>
        <v>104.27424242424243</v>
      </c>
      <c r="U95" s="513">
        <f>IFERROR((V95/T95),0)</f>
        <v>30.832158788741808</v>
      </c>
      <c r="V95" s="461">
        <f t="shared" si="50"/>
        <v>3215</v>
      </c>
      <c r="W95" s="537">
        <v>2024</v>
      </c>
      <c r="X95" s="105"/>
      <c r="Y95"/>
      <c r="Z95"/>
      <c r="AA95" s="104"/>
      <c r="AB95" s="584" t="s">
        <v>797</v>
      </c>
      <c r="AC95" s="584"/>
      <c r="AD95" s="584"/>
      <c r="AE95" s="584"/>
      <c r="AF95" s="585"/>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c r="BT95" s="104"/>
      <c r="BU95" s="104"/>
      <c r="BV95" s="104"/>
      <c r="BW95" s="104"/>
      <c r="BX95" s="104"/>
      <c r="BY95" s="104"/>
      <c r="BZ95" s="104"/>
      <c r="CA95" s="104"/>
      <c r="CB95" s="104"/>
      <c r="CC95" s="104"/>
      <c r="CD95" s="104"/>
      <c r="CE95" s="104"/>
      <c r="CF95" s="104"/>
      <c r="CG95" s="104"/>
      <c r="CH95" s="104"/>
    </row>
    <row r="96" spans="1:86" ht="15.75" customHeight="1" x14ac:dyDescent="0.25">
      <c r="A96" s="104"/>
      <c r="B96" s="202" t="s">
        <v>78</v>
      </c>
      <c r="C96" s="278"/>
      <c r="D96" s="203">
        <v>395.91666666666669</v>
      </c>
      <c r="E96" s="534">
        <f t="shared" ref="E96" si="61">SUM(E90:E94)</f>
        <v>10630</v>
      </c>
      <c r="F96" s="534">
        <f>SUM(F90:F95)</f>
        <v>4265</v>
      </c>
      <c r="G96" s="534">
        <f t="shared" ref="G96:L96" si="62">SUM(G90:G95)</f>
        <v>310</v>
      </c>
      <c r="H96" s="534">
        <f t="shared" si="62"/>
        <v>353</v>
      </c>
      <c r="I96" s="534">
        <f t="shared" si="62"/>
        <v>318</v>
      </c>
      <c r="J96" s="534">
        <f t="shared" si="62"/>
        <v>390</v>
      </c>
      <c r="K96" s="534">
        <f t="shared" si="62"/>
        <v>533</v>
      </c>
      <c r="L96" s="534">
        <f t="shared" si="62"/>
        <v>310</v>
      </c>
      <c r="M96" s="534">
        <f t="shared" ref="M96" si="63">SUM(M90:M95)</f>
        <v>307</v>
      </c>
      <c r="N96" s="534">
        <f>SUM(N90:N95)</f>
        <v>503</v>
      </c>
      <c r="O96" s="534">
        <f>SUM(O90:O95)</f>
        <v>379</v>
      </c>
      <c r="P96" s="534">
        <f>SUM(P90:P95)</f>
        <v>377</v>
      </c>
      <c r="Q96" s="534">
        <f>SUM(Q90:Q95)</f>
        <v>621</v>
      </c>
      <c r="R96" s="534">
        <f>SUM(R90:R95)</f>
        <v>303</v>
      </c>
      <c r="S96" s="296">
        <f>SUM(G96:R96)</f>
        <v>4704</v>
      </c>
      <c r="T96" s="512">
        <f t="shared" si="9"/>
        <v>392</v>
      </c>
      <c r="U96" s="513">
        <f t="shared" si="10"/>
        <v>25.997448979591837</v>
      </c>
      <c r="V96" s="461">
        <f t="shared" si="50"/>
        <v>10191</v>
      </c>
      <c r="W96" s="317" t="s">
        <v>78</v>
      </c>
      <c r="X96" s="105"/>
      <c r="Y96"/>
      <c r="Z96"/>
      <c r="AA96" s="104"/>
      <c r="AB96" s="266" t="s">
        <v>395</v>
      </c>
      <c r="AC96" s="267" t="s">
        <v>396</v>
      </c>
      <c r="AD96" s="267" t="s">
        <v>397</v>
      </c>
      <c r="AE96" s="267" t="s">
        <v>398</v>
      </c>
      <c r="AF96" s="267" t="s">
        <v>399</v>
      </c>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row>
    <row r="97" spans="1:86" ht="15.75" customHeight="1" x14ac:dyDescent="0.2">
      <c r="A97" s="538"/>
      <c r="B97" s="119"/>
      <c r="C97" s="128"/>
      <c r="D97" s="538"/>
      <c r="E97" s="119"/>
      <c r="F97" s="119"/>
      <c r="G97" s="119"/>
      <c r="H97" s="119"/>
      <c r="I97" s="119"/>
      <c r="J97" s="119"/>
      <c r="K97" s="119"/>
      <c r="L97" s="119"/>
      <c r="M97" s="119"/>
      <c r="N97" s="119"/>
      <c r="O97" s="119"/>
      <c r="P97" s="119"/>
      <c r="Q97" s="119"/>
      <c r="R97" s="119"/>
      <c r="S97" s="119"/>
      <c r="T97" s="225"/>
      <c r="U97" s="226"/>
      <c r="V97" s="227"/>
      <c r="W97" s="228"/>
      <c r="X97" s="105"/>
      <c r="Y97"/>
      <c r="Z97"/>
      <c r="AA97" s="104"/>
      <c r="AB97" s="239">
        <v>45719</v>
      </c>
      <c r="AC97" s="291">
        <v>2024</v>
      </c>
      <c r="AD97" s="280" t="s">
        <v>798</v>
      </c>
      <c r="AE97" s="280">
        <v>10</v>
      </c>
      <c r="AF97" s="239" t="s">
        <v>538</v>
      </c>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row>
    <row r="98" spans="1:86" ht="15.75" customHeight="1" x14ac:dyDescent="0.2">
      <c r="A98" s="255"/>
      <c r="B98" s="255"/>
      <c r="C98" s="255" t="s">
        <v>724</v>
      </c>
      <c r="D98" s="270">
        <f>2024</f>
        <v>2024</v>
      </c>
      <c r="E98" s="297">
        <f>'2024'!E95</f>
        <v>10574</v>
      </c>
      <c r="F98" s="297">
        <f>'2024'!F95</f>
        <v>4261</v>
      </c>
      <c r="G98" s="297">
        <f>'2024'!G95</f>
        <v>294</v>
      </c>
      <c r="H98" s="297">
        <f>'2024'!H95</f>
        <v>512</v>
      </c>
      <c r="I98" s="297">
        <f>'2024'!I95</f>
        <v>390</v>
      </c>
      <c r="J98" s="297">
        <f>'2024'!J95</f>
        <v>363</v>
      </c>
      <c r="K98" s="297">
        <f>'2024'!K95</f>
        <v>473</v>
      </c>
      <c r="L98" s="297">
        <f>'2024'!L95</f>
        <v>282</v>
      </c>
      <c r="M98" s="297">
        <f>'2024'!M95</f>
        <v>320</v>
      </c>
      <c r="N98" s="297">
        <f>'2024'!N95</f>
        <v>458</v>
      </c>
      <c r="O98" s="297">
        <f>'2024'!O95</f>
        <v>318</v>
      </c>
      <c r="P98" s="297">
        <f>'2024'!P95</f>
        <v>423</v>
      </c>
      <c r="Q98" s="297">
        <f>'2024'!Q95</f>
        <v>624</v>
      </c>
      <c r="R98" s="297">
        <f>'2024'!R95</f>
        <v>438</v>
      </c>
      <c r="S98" s="297">
        <f>'2024'!S95</f>
        <v>4895</v>
      </c>
      <c r="T98" s="297">
        <f>'2024'!T95</f>
        <v>407.91666666666669</v>
      </c>
      <c r="U98" s="297">
        <f>'2024'!U95</f>
        <v>24.367722165474973</v>
      </c>
      <c r="V98" s="297">
        <f>'2024'!V95</f>
        <v>9940</v>
      </c>
      <c r="W98" s="297" t="str">
        <f>'2023'!W97</f>
        <v>TOTAL</v>
      </c>
      <c r="X98" s="457" t="s">
        <v>725</v>
      </c>
      <c r="Y98"/>
      <c r="Z98"/>
      <c r="AA98" s="104"/>
      <c r="AB98" s="239">
        <v>45750</v>
      </c>
      <c r="AC98" s="291">
        <v>2024</v>
      </c>
      <c r="AD98" s="280" t="s">
        <v>799</v>
      </c>
      <c r="AE98" s="280">
        <v>17</v>
      </c>
      <c r="AF98" s="239" t="s">
        <v>609</v>
      </c>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row>
    <row r="99" spans="1:86" ht="15.75" customHeight="1" x14ac:dyDescent="0.2">
      <c r="A99" s="255"/>
      <c r="B99" s="255"/>
      <c r="C99" s="255" t="s">
        <v>727</v>
      </c>
      <c r="D99" s="270"/>
      <c r="E99" s="297">
        <f t="shared" ref="E99:G99" si="64">E96-E98</f>
        <v>56</v>
      </c>
      <c r="F99" s="297">
        <f t="shared" si="64"/>
        <v>4</v>
      </c>
      <c r="G99" s="298">
        <f t="shared" si="64"/>
        <v>16</v>
      </c>
      <c r="H99" s="297">
        <f>H96-H98</f>
        <v>-159</v>
      </c>
      <c r="I99" s="297">
        <f t="shared" ref="I99:S99" si="65">I96-I98</f>
        <v>-72</v>
      </c>
      <c r="J99" s="297">
        <f t="shared" si="65"/>
        <v>27</v>
      </c>
      <c r="K99" s="297">
        <f t="shared" si="65"/>
        <v>60</v>
      </c>
      <c r="L99" s="297">
        <f t="shared" si="65"/>
        <v>28</v>
      </c>
      <c r="M99" s="297">
        <f t="shared" si="65"/>
        <v>-13</v>
      </c>
      <c r="N99" s="297">
        <f t="shared" si="65"/>
        <v>45</v>
      </c>
      <c r="O99" s="297">
        <f t="shared" si="65"/>
        <v>61</v>
      </c>
      <c r="P99" s="297">
        <f t="shared" si="65"/>
        <v>-46</v>
      </c>
      <c r="Q99" s="297">
        <f t="shared" si="65"/>
        <v>-3</v>
      </c>
      <c r="R99" s="297">
        <f t="shared" si="65"/>
        <v>-135</v>
      </c>
      <c r="S99" s="297">
        <f t="shared" si="65"/>
        <v>-191</v>
      </c>
      <c r="T99" s="297">
        <f t="shared" ref="T99:V99" si="66">T98-T96</f>
        <v>15.916666666666686</v>
      </c>
      <c r="U99" s="297">
        <f>IFERROR((V99/T99),0)</f>
        <v>-15.769633507853385</v>
      </c>
      <c r="V99" s="297">
        <f t="shared" si="66"/>
        <v>-251</v>
      </c>
      <c r="W99" s="299"/>
      <c r="X99" s="457"/>
      <c r="Y99"/>
      <c r="Z99"/>
      <c r="AA99" s="104"/>
      <c r="AB99" s="239">
        <v>45750</v>
      </c>
      <c r="AC99" s="291">
        <v>2024</v>
      </c>
      <c r="AD99" s="280" t="s">
        <v>800</v>
      </c>
      <c r="AE99" s="280">
        <v>18</v>
      </c>
      <c r="AF99" s="239" t="s">
        <v>609</v>
      </c>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row>
    <row r="100" spans="1:86" ht="15.75" customHeight="1" x14ac:dyDescent="0.2">
      <c r="A100" s="104"/>
      <c r="B100" s="229"/>
      <c r="C100" s="135"/>
      <c r="D100" s="230"/>
      <c r="E100" s="9"/>
      <c r="F100" s="9"/>
      <c r="G100"/>
      <c r="H100"/>
      <c r="I100"/>
      <c r="J100"/>
      <c r="K100"/>
      <c r="L100"/>
      <c r="M100"/>
      <c r="N100"/>
      <c r="O100"/>
      <c r="P100"/>
      <c r="Q100"/>
      <c r="R100"/>
      <c r="S100" s="231"/>
      <c r="T100" s="232"/>
      <c r="U100" s="233"/>
      <c r="V100" s="234"/>
      <c r="W100" s="213"/>
      <c r="X100" s="104"/>
      <c r="Y100"/>
      <c r="Z100"/>
      <c r="AA100" s="104"/>
      <c r="AB100" s="239">
        <v>45750</v>
      </c>
      <c r="AC100" s="291">
        <v>2025</v>
      </c>
      <c r="AD100" s="280" t="s">
        <v>801</v>
      </c>
      <c r="AE100" s="280">
        <v>12</v>
      </c>
      <c r="AF100" s="239" t="s">
        <v>609</v>
      </c>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row>
    <row r="101" spans="1:86" ht="15.75" customHeight="1" x14ac:dyDescent="0.2">
      <c r="A101" s="104"/>
      <c r="B101" s="116"/>
      <c r="C101" s="252"/>
      <c r="D101" s="477"/>
      <c r="E101" s="241"/>
      <c r="F101" s="241"/>
      <c r="G101"/>
      <c r="H101"/>
      <c r="I101"/>
      <c r="J101"/>
      <c r="K101"/>
      <c r="L101"/>
      <c r="M101"/>
      <c r="N101"/>
      <c r="O101"/>
      <c r="P101"/>
      <c r="Q101"/>
      <c r="R101"/>
      <c r="S101" s="256"/>
      <c r="T101" s="512"/>
      <c r="U101" s="513"/>
      <c r="V101" s="461"/>
      <c r="W101" s="213"/>
      <c r="X101" s="104"/>
      <c r="Y101"/>
      <c r="Z101"/>
      <c r="AA101" s="104"/>
      <c r="AB101" s="239"/>
      <c r="AC101" s="291"/>
      <c r="AD101" s="280"/>
      <c r="AE101" s="280"/>
      <c r="AF101" s="239"/>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row>
    <row r="102" spans="1:86" ht="15.75" customHeight="1" x14ac:dyDescent="0.2">
      <c r="A102" s="104"/>
      <c r="B102" s="116"/>
      <c r="C102" s="252"/>
      <c r="D102" s="477"/>
      <c r="E102" s="241"/>
      <c r="F102" s="241"/>
      <c r="G102"/>
      <c r="H102"/>
      <c r="I102"/>
      <c r="J102"/>
      <c r="K102"/>
      <c r="L102"/>
      <c r="M102"/>
      <c r="N102"/>
      <c r="O102"/>
      <c r="P102"/>
      <c r="Q102"/>
      <c r="R102"/>
      <c r="S102" s="256"/>
      <c r="T102" s="512"/>
      <c r="U102" s="513"/>
      <c r="V102" s="461"/>
      <c r="W102" s="213"/>
      <c r="X102" s="104"/>
      <c r="Y102"/>
      <c r="Z102"/>
      <c r="AA102" s="104"/>
      <c r="AB102" s="239"/>
      <c r="AC102" s="291"/>
      <c r="AD102" s="280"/>
      <c r="AE102" s="280"/>
      <c r="AF102" s="239"/>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row>
    <row r="103" spans="1:86" ht="15.75" customHeight="1" x14ac:dyDescent="0.2">
      <c r="A103" s="104"/>
      <c r="B103" s="116"/>
      <c r="C103" s="252"/>
      <c r="D103" s="477"/>
      <c r="E103" s="241"/>
      <c r="F103" s="241"/>
      <c r="G103"/>
      <c r="H103"/>
      <c r="I103"/>
      <c r="J103"/>
      <c r="K103"/>
      <c r="L103"/>
      <c r="M103"/>
      <c r="N103"/>
      <c r="O103"/>
      <c r="P103"/>
      <c r="Q103"/>
      <c r="R103"/>
      <c r="S103" s="256"/>
      <c r="T103" s="512"/>
      <c r="U103" s="513"/>
      <c r="V103" s="461"/>
      <c r="W103" s="213"/>
      <c r="X103" s="104"/>
      <c r="Y103"/>
      <c r="Z103"/>
      <c r="AA103" s="104"/>
      <c r="AB103" s="239"/>
      <c r="AC103" s="291"/>
      <c r="AD103" s="280"/>
      <c r="AE103" s="280"/>
      <c r="AF103" s="239"/>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row>
    <row r="104" spans="1:86" ht="15.75" customHeight="1" x14ac:dyDescent="0.2">
      <c r="A104" s="104"/>
      <c r="B104" s="105"/>
      <c r="C104" s="104"/>
      <c r="D104" s="105"/>
      <c r="E104" s="105"/>
      <c r="F104" s="105"/>
      <c r="G104" s="187"/>
      <c r="H104" s="187"/>
      <c r="I104" s="187"/>
      <c r="J104" s="187"/>
      <c r="K104" s="187"/>
      <c r="L104" s="105"/>
      <c r="M104" s="105"/>
      <c r="N104" s="105"/>
      <c r="O104" s="105"/>
      <c r="P104" s="105"/>
      <c r="Q104" s="105"/>
      <c r="R104" s="105"/>
      <c r="S104" s="105"/>
      <c r="T104" s="105"/>
      <c r="U104" s="105"/>
      <c r="V104" s="105"/>
      <c r="W104" s="104"/>
      <c r="X104" s="104"/>
      <c r="Y104"/>
      <c r="Z104"/>
      <c r="AA104" s="104"/>
      <c r="AB104" s="239">
        <v>45903</v>
      </c>
      <c r="AC104" s="291">
        <v>2025</v>
      </c>
      <c r="AD104" s="280" t="s">
        <v>802</v>
      </c>
      <c r="AE104" s="280">
        <v>80</v>
      </c>
      <c r="AF104" s="239" t="s">
        <v>538</v>
      </c>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row>
    <row r="105" spans="1:86" ht="15.75" customHeight="1" x14ac:dyDescent="0.2">
      <c r="A105" s="104"/>
      <c r="B105"/>
      <c r="C105" s="104"/>
      <c r="D105" s="105"/>
      <c r="E105" s="105"/>
      <c r="F105" s="105"/>
      <c r="G105" s="105"/>
      <c r="H105" s="105"/>
      <c r="I105" s="105"/>
      <c r="J105" s="105"/>
      <c r="K105" s="105"/>
      <c r="L105" s="105"/>
      <c r="M105" s="105"/>
      <c r="N105" s="105"/>
      <c r="O105" s="105"/>
      <c r="P105" s="105"/>
      <c r="Q105" s="105"/>
      <c r="R105" s="105"/>
      <c r="S105" s="105"/>
      <c r="T105" s="105"/>
      <c r="U105" s="105"/>
      <c r="V105" s="105"/>
      <c r="W105" s="104"/>
      <c r="X105" s="104"/>
      <c r="Y105" s="105"/>
      <c r="Z105" s="105"/>
      <c r="AA105" s="104"/>
      <c r="AB105" s="239">
        <v>45910</v>
      </c>
      <c r="AC105" s="291">
        <v>2025</v>
      </c>
      <c r="AD105" s="280" t="s">
        <v>803</v>
      </c>
      <c r="AE105" s="280">
        <v>10</v>
      </c>
      <c r="AF105" s="239" t="s">
        <v>538</v>
      </c>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row>
    <row r="106" spans="1:86" ht="15.75" x14ac:dyDescent="0.25">
      <c r="A106" s="104"/>
      <c r="B106" s="300" t="s">
        <v>735</v>
      </c>
      <c r="C106" s="255"/>
      <c r="D106" s="255"/>
      <c r="E106" s="105"/>
      <c r="F106" s="255"/>
      <c r="G106" s="255"/>
      <c r="H106" s="255"/>
      <c r="I106" s="255"/>
      <c r="J106" s="255"/>
      <c r="K106" s="255"/>
      <c r="L106" s="255"/>
      <c r="M106" s="255"/>
      <c r="N106" s="255"/>
      <c r="O106" s="255"/>
      <c r="P106" s="255"/>
      <c r="Q106" s="255"/>
      <c r="R106" s="255"/>
      <c r="S106" s="105"/>
      <c r="T106" s="105"/>
      <c r="U106" s="105"/>
      <c r="V106" s="105"/>
      <c r="W106" s="213"/>
      <c r="X106" s="104"/>
      <c r="Y106" s="105"/>
      <c r="Z106" s="105"/>
      <c r="AA106" s="104"/>
      <c r="AB106" s="239">
        <v>45908</v>
      </c>
      <c r="AC106" s="291">
        <v>2025</v>
      </c>
      <c r="AD106" s="280" t="s">
        <v>804</v>
      </c>
      <c r="AE106" s="280">
        <v>30</v>
      </c>
      <c r="AF106" s="239" t="s">
        <v>609</v>
      </c>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row>
    <row r="107" spans="1:86" ht="15.75" x14ac:dyDescent="0.25">
      <c r="A107" s="104"/>
      <c r="B107" s="248" t="s">
        <v>367</v>
      </c>
      <c r="C107" s="242" t="s">
        <v>368</v>
      </c>
      <c r="D107" s="242" t="s">
        <v>369</v>
      </c>
      <c r="E107" s="105"/>
      <c r="F107" s="301" t="s">
        <v>4</v>
      </c>
      <c r="G107" s="301"/>
      <c r="H107" s="242" t="s">
        <v>5</v>
      </c>
      <c r="I107" s="242" t="s">
        <v>6</v>
      </c>
      <c r="J107" s="242" t="s">
        <v>7</v>
      </c>
      <c r="K107" s="242" t="s">
        <v>8</v>
      </c>
      <c r="L107" s="242" t="s">
        <v>9</v>
      </c>
      <c r="M107" s="242" t="s">
        <v>10</v>
      </c>
      <c r="N107" s="242" t="s">
        <v>11</v>
      </c>
      <c r="O107" s="242" t="s">
        <v>12</v>
      </c>
      <c r="P107" s="242" t="s">
        <v>13</v>
      </c>
      <c r="Q107" s="242" t="s">
        <v>14</v>
      </c>
      <c r="R107" s="242" t="s">
        <v>15</v>
      </c>
      <c r="S107" s="105"/>
      <c r="T107" s="105"/>
      <c r="U107" s="105"/>
      <c r="V107" s="105"/>
      <c r="W107" s="213"/>
      <c r="X107" s="104"/>
      <c r="Y107" s="105"/>
      <c r="Z107" s="105"/>
      <c r="AA107" s="104"/>
      <c r="AB107" s="239">
        <v>45915</v>
      </c>
      <c r="AC107" s="291">
        <v>2025</v>
      </c>
      <c r="AD107" s="280" t="s">
        <v>805</v>
      </c>
      <c r="AE107" s="280">
        <v>18</v>
      </c>
      <c r="AF107" s="239" t="s">
        <v>609</v>
      </c>
      <c r="AG107" s="104"/>
      <c r="AH107" s="104"/>
      <c r="AI107" s="104"/>
      <c r="AJ107" s="104"/>
      <c r="AK107" s="104" t="s">
        <v>35</v>
      </c>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row>
    <row r="108" spans="1:86" x14ac:dyDescent="0.2">
      <c r="A108" s="104"/>
      <c r="B108" s="302" t="s">
        <v>35</v>
      </c>
      <c r="C108" s="303"/>
      <c r="D108" s="302"/>
      <c r="E108" s="105"/>
      <c r="F108" s="302"/>
      <c r="G108" s="302"/>
      <c r="H108" s="302"/>
      <c r="I108" s="302"/>
      <c r="J108" s="302"/>
      <c r="K108" s="302"/>
      <c r="L108" s="302"/>
      <c r="M108" s="302"/>
      <c r="N108" s="302"/>
      <c r="O108" s="302"/>
      <c r="P108" s="302"/>
      <c r="Q108" s="302"/>
      <c r="R108" s="302" t="s">
        <v>35</v>
      </c>
      <c r="S108" s="105"/>
      <c r="T108" s="105"/>
      <c r="U108" s="105"/>
      <c r="V108" s="105"/>
      <c r="W108" s="213"/>
      <c r="X108" s="104"/>
      <c r="Y108" s="105"/>
      <c r="Z108" s="105"/>
      <c r="AA108" s="104"/>
      <c r="AB108" s="239">
        <v>45916</v>
      </c>
      <c r="AC108" s="291">
        <v>2025</v>
      </c>
      <c r="AD108" s="280" t="s">
        <v>806</v>
      </c>
      <c r="AE108" s="280">
        <v>12</v>
      </c>
      <c r="AF108" s="239" t="s">
        <v>609</v>
      </c>
      <c r="AG108" s="104"/>
      <c r="AH108" s="104"/>
      <c r="AI108" s="104"/>
      <c r="AJ108" s="104"/>
      <c r="AK108" s="104" t="s">
        <v>35</v>
      </c>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row>
    <row r="109" spans="1:86" x14ac:dyDescent="0.2">
      <c r="A109" s="104"/>
      <c r="B109" s="522">
        <v>2024</v>
      </c>
      <c r="C109" s="104" t="s">
        <v>26</v>
      </c>
      <c r="D109" s="305"/>
      <c r="E109" s="105"/>
      <c r="F109" s="255"/>
      <c r="G109" s="255"/>
      <c r="H109" s="255"/>
      <c r="I109" s="255"/>
      <c r="J109" s="255"/>
      <c r="K109" s="255"/>
      <c r="L109" s="255"/>
      <c r="M109" s="255"/>
      <c r="N109" s="255"/>
      <c r="O109" s="255"/>
      <c r="P109" s="255"/>
      <c r="Q109" s="255"/>
      <c r="R109" s="241">
        <v>240</v>
      </c>
      <c r="S109" s="105"/>
      <c r="T109" s="105"/>
      <c r="U109" s="105"/>
      <c r="V109" s="105"/>
      <c r="W109" s="213"/>
      <c r="X109" s="104"/>
      <c r="Y109" s="105"/>
      <c r="Z109" s="105"/>
      <c r="AA109" s="104"/>
      <c r="AB109" s="239">
        <v>45917</v>
      </c>
      <c r="AC109" s="291">
        <v>2025</v>
      </c>
      <c r="AD109" s="280" t="s">
        <v>807</v>
      </c>
      <c r="AE109" s="280">
        <v>45</v>
      </c>
      <c r="AF109" s="239" t="s">
        <v>609</v>
      </c>
      <c r="AG109" s="104"/>
      <c r="AH109" s="104"/>
      <c r="AI109" s="104"/>
      <c r="AJ109" s="104"/>
      <c r="AK109" s="104" t="s">
        <v>35</v>
      </c>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row>
    <row r="110" spans="1:86" x14ac:dyDescent="0.2">
      <c r="A110" s="104"/>
      <c r="B110" s="302" t="s">
        <v>751</v>
      </c>
      <c r="C110" s="303"/>
      <c r="D110" s="302"/>
      <c r="E110" s="105"/>
      <c r="F110" s="302"/>
      <c r="G110" s="302"/>
      <c r="H110" s="302"/>
      <c r="I110" s="302"/>
      <c r="J110" s="302"/>
      <c r="K110" s="302"/>
      <c r="L110" s="302"/>
      <c r="M110" s="302"/>
      <c r="N110" s="302"/>
      <c r="O110" s="302"/>
      <c r="P110" s="302"/>
      <c r="Q110" s="302"/>
      <c r="R110" s="496">
        <f>SUM(R109)</f>
        <v>240</v>
      </c>
      <c r="S110" s="105"/>
      <c r="T110" s="105"/>
      <c r="U110" s="105"/>
      <c r="V110" s="105"/>
      <c r="W110" s="213"/>
      <c r="X110" s="104"/>
      <c r="Y110" s="105"/>
      <c r="Z110" s="105"/>
      <c r="AA110" s="104"/>
      <c r="AB110" s="239">
        <v>45919</v>
      </c>
      <c r="AC110" s="291">
        <v>2025</v>
      </c>
      <c r="AD110" s="280" t="s">
        <v>808</v>
      </c>
      <c r="AE110" s="280">
        <v>12</v>
      </c>
      <c r="AF110" s="239" t="s">
        <v>609</v>
      </c>
      <c r="AG110" s="104"/>
      <c r="AH110" s="104"/>
      <c r="AI110" s="104"/>
      <c r="AJ110" s="104"/>
      <c r="AK110" s="104"/>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row>
    <row r="111" spans="1:86" x14ac:dyDescent="0.2">
      <c r="A111" s="104"/>
      <c r="B111" s="252"/>
      <c r="C111" s="304" t="s">
        <v>25</v>
      </c>
      <c r="D111" s="255"/>
      <c r="E111" s="105"/>
      <c r="F111" s="255"/>
      <c r="G111" s="255"/>
      <c r="H111" s="255"/>
      <c r="I111" s="255"/>
      <c r="J111" s="255"/>
      <c r="K111" s="255"/>
      <c r="L111" s="255"/>
      <c r="M111" s="255"/>
      <c r="N111" s="255"/>
      <c r="O111" s="255"/>
      <c r="P111" s="255"/>
      <c r="Q111" s="255"/>
      <c r="R111" s="318">
        <v>1190</v>
      </c>
      <c r="S111" s="105"/>
      <c r="T111" s="105"/>
      <c r="U111" s="105"/>
      <c r="V111" s="105"/>
      <c r="W111" s="213"/>
      <c r="X111" s="104"/>
      <c r="Y111" s="105"/>
      <c r="Z111" s="105"/>
      <c r="AA111" s="104"/>
      <c r="AB111" s="239">
        <v>45919</v>
      </c>
      <c r="AC111" s="291">
        <v>2025</v>
      </c>
      <c r="AD111" s="280" t="s">
        <v>809</v>
      </c>
      <c r="AE111" s="280">
        <v>15</v>
      </c>
      <c r="AF111" s="239" t="s">
        <v>609</v>
      </c>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row>
    <row r="112" spans="1:86" x14ac:dyDescent="0.2">
      <c r="A112" s="104"/>
      <c r="B112" s="252"/>
      <c r="C112" s="304" t="s">
        <v>46</v>
      </c>
      <c r="D112" s="255"/>
      <c r="E112" s="105"/>
      <c r="F112" s="255"/>
      <c r="G112" s="255"/>
      <c r="H112" s="255"/>
      <c r="I112" s="255"/>
      <c r="J112" s="255"/>
      <c r="K112" s="255"/>
      <c r="L112" s="255"/>
      <c r="M112" s="255"/>
      <c r="N112" s="255"/>
      <c r="O112" s="255"/>
      <c r="P112" s="255"/>
      <c r="Q112" s="255"/>
      <c r="R112" s="318">
        <v>1900</v>
      </c>
      <c r="S112" s="105"/>
      <c r="T112" s="105"/>
      <c r="U112" s="105"/>
      <c r="V112" s="105"/>
      <c r="W112" s="213"/>
      <c r="X112" s="104"/>
      <c r="Y112" s="187"/>
      <c r="Z112" s="187"/>
      <c r="AA112" s="210"/>
      <c r="AB112" s="239">
        <v>45192</v>
      </c>
      <c r="AC112" s="291">
        <v>2025</v>
      </c>
      <c r="AD112" s="280" t="s">
        <v>810</v>
      </c>
      <c r="AE112" s="280">
        <v>72</v>
      </c>
      <c r="AF112" s="239" t="s">
        <v>609</v>
      </c>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row>
    <row r="113" spans="1:86" x14ac:dyDescent="0.2">
      <c r="A113" s="104"/>
      <c r="B113" s="252"/>
      <c r="C113" s="304" t="s">
        <v>667</v>
      </c>
      <c r="D113" s="255"/>
      <c r="E113" s="105"/>
      <c r="F113" s="255"/>
      <c r="G113" s="255"/>
      <c r="H113" s="255"/>
      <c r="I113" s="255"/>
      <c r="J113" s="255"/>
      <c r="K113" s="255"/>
      <c r="L113" s="255"/>
      <c r="M113" s="255"/>
      <c r="N113" s="255"/>
      <c r="O113" s="255"/>
      <c r="P113" s="255"/>
      <c r="Q113" s="255"/>
      <c r="R113" s="318">
        <f>330+275</f>
        <v>605</v>
      </c>
      <c r="S113" s="105"/>
      <c r="T113" s="105"/>
      <c r="U113" s="105"/>
      <c r="V113" s="105"/>
      <c r="W113" s="213"/>
      <c r="X113" s="104"/>
      <c r="Y113" s="187"/>
      <c r="Z113" s="187"/>
      <c r="AA113" s="210"/>
      <c r="AB113" s="239"/>
      <c r="AC113" s="291"/>
      <c r="AD113" s="280"/>
      <c r="AE113" s="280"/>
      <c r="AF113" s="239"/>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row>
    <row r="114" spans="1:86" s="141" customFormat="1" ht="15.75" customHeight="1" x14ac:dyDescent="0.2">
      <c r="A114" s="104"/>
      <c r="B114" s="252"/>
      <c r="C114" s="304" t="s">
        <v>665</v>
      </c>
      <c r="D114" s="255"/>
      <c r="E114" s="105"/>
      <c r="F114" s="255"/>
      <c r="G114" s="255"/>
      <c r="H114" s="255"/>
      <c r="I114" s="255"/>
      <c r="J114" s="255"/>
      <c r="K114" s="255"/>
      <c r="L114" s="255"/>
      <c r="M114" s="255"/>
      <c r="N114" s="255"/>
      <c r="O114" s="255"/>
      <c r="P114" s="255"/>
      <c r="Q114" s="255"/>
      <c r="R114" s="318">
        <v>1240</v>
      </c>
      <c r="S114" s="105"/>
      <c r="T114" s="105"/>
      <c r="U114" s="105"/>
      <c r="V114" s="105"/>
      <c r="W114" s="213"/>
      <c r="X114" s="104"/>
      <c r="Y114" s="90"/>
      <c r="Z114" s="90"/>
      <c r="AA114" s="105"/>
      <c r="AB114" s="239">
        <v>45923</v>
      </c>
      <c r="AC114" s="291">
        <v>2025</v>
      </c>
      <c r="AD114" s="280" t="s">
        <v>811</v>
      </c>
      <c r="AE114" s="280">
        <v>18</v>
      </c>
      <c r="AF114" s="239" t="s">
        <v>609</v>
      </c>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5"/>
      <c r="CD114" s="105"/>
      <c r="CE114" s="105"/>
      <c r="CF114" s="105"/>
      <c r="CG114" s="105"/>
      <c r="CH114" s="105"/>
    </row>
    <row r="115" spans="1:86" s="141" customFormat="1" ht="15.75" customHeight="1" x14ac:dyDescent="0.2">
      <c r="A115" s="104"/>
      <c r="B115" s="252"/>
      <c r="C115" s="304" t="s">
        <v>742</v>
      </c>
      <c r="D115" s="255"/>
      <c r="E115" s="105"/>
      <c r="F115" s="255"/>
      <c r="G115" s="255"/>
      <c r="H115" s="255"/>
      <c r="I115" s="255"/>
      <c r="J115" s="255"/>
      <c r="K115" s="255"/>
      <c r="L115" s="255"/>
      <c r="M115" s="255"/>
      <c r="N115" s="255"/>
      <c r="O115" s="255"/>
      <c r="P115" s="255"/>
      <c r="Q115" s="255"/>
      <c r="R115" s="318">
        <v>550</v>
      </c>
      <c r="S115" s="105"/>
      <c r="T115" s="105"/>
      <c r="U115" s="105"/>
      <c r="V115" s="105"/>
      <c r="W115" s="213"/>
      <c r="X115" s="104"/>
      <c r="Y115" s="90"/>
      <c r="Z115" s="90"/>
      <c r="AA115" s="105"/>
      <c r="AB115" s="239">
        <v>45924</v>
      </c>
      <c r="AC115" s="291">
        <v>2025</v>
      </c>
      <c r="AD115" s="280" t="s">
        <v>812</v>
      </c>
      <c r="AE115" s="280">
        <v>18</v>
      </c>
      <c r="AF115" s="239" t="s">
        <v>609</v>
      </c>
      <c r="AG115" s="105" t="s">
        <v>35</v>
      </c>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row>
    <row r="116" spans="1:86" ht="15.75" customHeight="1" x14ac:dyDescent="0.2">
      <c r="A116" s="104"/>
      <c r="B116" s="252"/>
      <c r="C116" s="304" t="s">
        <v>744</v>
      </c>
      <c r="D116" s="255"/>
      <c r="E116" s="105"/>
      <c r="F116" s="255"/>
      <c r="G116" s="255"/>
      <c r="H116" s="255"/>
      <c r="I116" s="255"/>
      <c r="J116" s="255"/>
      <c r="K116" s="255"/>
      <c r="L116" s="255"/>
      <c r="M116" s="255"/>
      <c r="N116" s="255"/>
      <c r="O116" s="255"/>
      <c r="P116" s="255"/>
      <c r="Q116" s="255"/>
      <c r="R116" s="318">
        <v>275</v>
      </c>
      <c r="S116" s="105"/>
      <c r="T116" s="105"/>
      <c r="U116" s="105"/>
      <c r="V116" s="105"/>
      <c r="W116" s="213"/>
      <c r="X116" s="105"/>
      <c r="Y116"/>
      <c r="Z116"/>
      <c r="AA116" s="104"/>
      <c r="AB116" s="239">
        <v>46290</v>
      </c>
      <c r="AC116" s="291">
        <v>2025</v>
      </c>
      <c r="AD116" s="280" t="s">
        <v>813</v>
      </c>
      <c r="AE116" s="280">
        <v>36</v>
      </c>
      <c r="AF116" s="239" t="s">
        <v>609</v>
      </c>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104"/>
      <c r="BZ116" s="104"/>
      <c r="CA116" s="104"/>
      <c r="CB116" s="104"/>
      <c r="CC116" s="104"/>
      <c r="CD116" s="104"/>
      <c r="CE116" s="104"/>
      <c r="CF116" s="104"/>
      <c r="CG116" s="104"/>
      <c r="CH116" s="104"/>
    </row>
    <row r="117" spans="1:86" ht="15.75" customHeight="1" x14ac:dyDescent="0.2">
      <c r="A117" s="104"/>
      <c r="B117" s="252"/>
      <c r="C117" s="304" t="s">
        <v>107</v>
      </c>
      <c r="D117" s="255"/>
      <c r="E117" s="105"/>
      <c r="F117" s="255"/>
      <c r="G117" s="255"/>
      <c r="H117" s="255"/>
      <c r="I117" s="255"/>
      <c r="J117" s="255"/>
      <c r="K117" s="255"/>
      <c r="L117" s="255"/>
      <c r="M117" s="255"/>
      <c r="N117" s="255"/>
      <c r="O117" s="255"/>
      <c r="P117" s="255"/>
      <c r="Q117" s="255"/>
      <c r="R117" s="497">
        <f>330+275</f>
        <v>605</v>
      </c>
      <c r="S117" s="105"/>
      <c r="T117" s="105"/>
      <c r="U117" s="105"/>
      <c r="V117" s="105"/>
      <c r="W117" s="213"/>
      <c r="X117" s="105"/>
      <c r="Y117"/>
      <c r="Z117"/>
      <c r="AA117" s="104"/>
      <c r="AB117" s="239">
        <v>45926</v>
      </c>
      <c r="AC117" s="291">
        <v>2025</v>
      </c>
      <c r="AD117" s="280" t="s">
        <v>814</v>
      </c>
      <c r="AE117" s="280">
        <v>30</v>
      </c>
      <c r="AF117" s="239" t="s">
        <v>609</v>
      </c>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row>
    <row r="118" spans="1:86" ht="15.75" customHeight="1" x14ac:dyDescent="0.2">
      <c r="A118" s="104"/>
      <c r="B118" s="252"/>
      <c r="C118" s="304" t="s">
        <v>815</v>
      </c>
      <c r="D118" s="255"/>
      <c r="E118" s="105"/>
      <c r="F118" s="255"/>
      <c r="G118" s="255"/>
      <c r="H118" s="255"/>
      <c r="I118" s="255"/>
      <c r="J118" s="255"/>
      <c r="K118" s="255"/>
      <c r="L118" s="255"/>
      <c r="M118" s="255"/>
      <c r="N118" s="255"/>
      <c r="O118" s="255"/>
      <c r="P118" s="255"/>
      <c r="Q118" s="255"/>
      <c r="R118" s="497">
        <v>280</v>
      </c>
      <c r="S118" s="105"/>
      <c r="T118" s="105"/>
      <c r="U118" s="105"/>
      <c r="V118" s="105"/>
      <c r="W118" s="213"/>
      <c r="X118" s="105"/>
      <c r="Y118"/>
      <c r="Z118"/>
      <c r="AA118" s="104"/>
      <c r="AB118" s="239"/>
      <c r="AC118" s="291"/>
      <c r="AD118" s="280"/>
      <c r="AE118" s="280"/>
      <c r="AF118" s="239"/>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row>
    <row r="119" spans="1:86" ht="15.75" customHeight="1" x14ac:dyDescent="0.2">
      <c r="A119" s="104"/>
      <c r="B119" s="252"/>
      <c r="C119" s="304" t="s">
        <v>31</v>
      </c>
      <c r="D119" s="255"/>
      <c r="E119" s="105"/>
      <c r="F119" s="255"/>
      <c r="G119" s="255"/>
      <c r="H119" s="255"/>
      <c r="I119" s="255"/>
      <c r="J119" s="255"/>
      <c r="K119" s="255"/>
      <c r="L119" s="255"/>
      <c r="M119" s="255"/>
      <c r="N119" s="255"/>
      <c r="O119" s="255"/>
      <c r="P119" s="255"/>
      <c r="Q119" s="255"/>
      <c r="R119" s="497">
        <v>1050</v>
      </c>
      <c r="S119" s="105"/>
      <c r="T119" s="105">
        <f>SUM(R111:R119)</f>
        <v>7695</v>
      </c>
      <c r="U119" s="105"/>
      <c r="V119" s="105"/>
      <c r="W119" s="213"/>
      <c r="X119" s="105"/>
      <c r="Y119"/>
      <c r="Z119"/>
      <c r="AA119" s="104"/>
      <c r="AB119" s="239">
        <v>45929</v>
      </c>
      <c r="AC119" s="291">
        <v>2025</v>
      </c>
      <c r="AD119" s="280" t="s">
        <v>816</v>
      </c>
      <c r="AE119" s="280">
        <v>12</v>
      </c>
      <c r="AF119" s="239" t="s">
        <v>609</v>
      </c>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row>
    <row r="120" spans="1:86" ht="15.75" customHeight="1" x14ac:dyDescent="0.2">
      <c r="A120" s="104"/>
      <c r="B120" s="252"/>
      <c r="C120" s="304" t="s">
        <v>817</v>
      </c>
      <c r="D120" s="255"/>
      <c r="E120" s="105"/>
      <c r="F120" s="255"/>
      <c r="G120" s="255"/>
      <c r="H120" s="255"/>
      <c r="I120" s="255"/>
      <c r="J120" s="255"/>
      <c r="K120" s="255"/>
      <c r="L120" s="255"/>
      <c r="M120" s="255"/>
      <c r="N120" s="255"/>
      <c r="O120" s="255"/>
      <c r="P120" s="255"/>
      <c r="Q120" s="255"/>
      <c r="R120" s="497">
        <v>140</v>
      </c>
      <c r="S120" s="105"/>
      <c r="T120" s="105"/>
      <c r="U120" s="105"/>
      <c r="V120" s="105"/>
      <c r="W120" s="213"/>
      <c r="X120" s="105"/>
      <c r="Y120"/>
      <c r="Z120"/>
      <c r="AA120" s="104"/>
      <c r="AB120" s="239"/>
      <c r="AC120" s="291"/>
      <c r="AD120" s="280"/>
      <c r="AE120" s="280"/>
      <c r="AF120" s="239"/>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row>
    <row r="121" spans="1:86" ht="15.75" customHeight="1" x14ac:dyDescent="0.2">
      <c r="A121" s="104"/>
      <c r="B121" s="252"/>
      <c r="C121" s="304" t="s">
        <v>473</v>
      </c>
      <c r="D121" s="255"/>
      <c r="E121" s="105"/>
      <c r="F121" s="255"/>
      <c r="G121" s="255"/>
      <c r="H121" s="255"/>
      <c r="I121" s="255"/>
      <c r="J121" s="255"/>
      <c r="K121" s="255"/>
      <c r="L121" s="255"/>
      <c r="M121" s="255"/>
      <c r="N121" s="255"/>
      <c r="O121" s="255"/>
      <c r="P121" s="255"/>
      <c r="Q121" s="255"/>
      <c r="R121" s="241">
        <v>1190</v>
      </c>
      <c r="S121" s="105"/>
      <c r="T121" s="105"/>
      <c r="U121" s="105"/>
      <c r="V121" s="105"/>
      <c r="W121" s="213"/>
      <c r="X121" s="105"/>
      <c r="Y121"/>
      <c r="Z121"/>
      <c r="AA121" s="104"/>
      <c r="AB121" s="239">
        <v>45929</v>
      </c>
      <c r="AC121" s="291">
        <v>2025</v>
      </c>
      <c r="AD121" s="280" t="s">
        <v>818</v>
      </c>
      <c r="AE121" s="280">
        <v>18</v>
      </c>
      <c r="AF121" s="239" t="s">
        <v>609</v>
      </c>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row>
    <row r="122" spans="1:86" ht="15.75" customHeight="1" x14ac:dyDescent="0.2">
      <c r="A122" s="104"/>
      <c r="B122" s="252"/>
      <c r="C122" s="304" t="s">
        <v>555</v>
      </c>
      <c r="D122" s="255"/>
      <c r="E122" s="105"/>
      <c r="F122" s="255"/>
      <c r="G122" s="255"/>
      <c r="H122" s="255"/>
      <c r="I122" s="255"/>
      <c r="J122" s="255"/>
      <c r="K122" s="255"/>
      <c r="L122" s="255"/>
      <c r="M122" s="255"/>
      <c r="N122" s="255"/>
      <c r="O122" s="255"/>
      <c r="P122" s="255"/>
      <c r="Q122" s="255"/>
      <c r="R122" s="241">
        <v>1050</v>
      </c>
      <c r="S122" s="105"/>
      <c r="T122" s="105"/>
      <c r="U122" s="105"/>
      <c r="V122" s="105"/>
      <c r="W122" s="213"/>
      <c r="X122" s="105"/>
      <c r="Y122"/>
      <c r="Z122"/>
      <c r="AA122" s="104"/>
      <c r="AB122" s="239">
        <v>45929</v>
      </c>
      <c r="AC122" s="291">
        <v>2025</v>
      </c>
      <c r="AD122" s="280" t="s">
        <v>819</v>
      </c>
      <c r="AE122" s="280">
        <v>24</v>
      </c>
      <c r="AF122" s="239" t="s">
        <v>609</v>
      </c>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row>
    <row r="123" spans="1:86" ht="15.75" customHeight="1" x14ac:dyDescent="0.2">
      <c r="A123" s="104"/>
      <c r="B123" s="252"/>
      <c r="C123" s="304" t="s">
        <v>29</v>
      </c>
      <c r="D123" s="255"/>
      <c r="E123" s="105"/>
      <c r="F123" s="255"/>
      <c r="G123" s="255"/>
      <c r="H123" s="255"/>
      <c r="I123" s="255"/>
      <c r="J123" s="255"/>
      <c r="K123" s="255"/>
      <c r="L123" s="255"/>
      <c r="M123" s="255"/>
      <c r="N123" s="255"/>
      <c r="O123" s="255"/>
      <c r="P123" s="255"/>
      <c r="Q123" s="255"/>
      <c r="R123" s="241">
        <v>560</v>
      </c>
      <c r="S123" s="105"/>
      <c r="T123" s="105"/>
      <c r="U123" s="105"/>
      <c r="V123" s="105"/>
      <c r="W123" s="213"/>
      <c r="X123" s="105"/>
      <c r="Y123"/>
      <c r="Z123"/>
      <c r="AA123" s="104"/>
      <c r="AB123" s="239">
        <v>45929</v>
      </c>
      <c r="AC123" s="291">
        <v>2025</v>
      </c>
      <c r="AD123" s="280" t="s">
        <v>820</v>
      </c>
      <c r="AE123" s="280">
        <v>13</v>
      </c>
      <c r="AF123" s="239" t="s">
        <v>609</v>
      </c>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row>
    <row r="124" spans="1:86" ht="15.75" customHeight="1" x14ac:dyDescent="0.2">
      <c r="A124" s="104"/>
      <c r="B124" s="252"/>
      <c r="C124" s="304" t="s">
        <v>26</v>
      </c>
      <c r="D124" s="255"/>
      <c r="E124" s="105"/>
      <c r="F124" s="255"/>
      <c r="G124" s="255"/>
      <c r="H124" s="255"/>
      <c r="I124" s="255"/>
      <c r="J124" s="255"/>
      <c r="K124" s="255"/>
      <c r="L124" s="255"/>
      <c r="M124" s="255"/>
      <c r="N124" s="255"/>
      <c r="O124" s="255"/>
      <c r="P124" s="255"/>
      <c r="Q124" s="255"/>
      <c r="R124" s="241">
        <f>560+210</f>
        <v>770</v>
      </c>
      <c r="S124" s="105"/>
      <c r="T124" s="105"/>
      <c r="U124" s="105"/>
      <c r="V124" s="105"/>
      <c r="W124" s="213"/>
      <c r="X124" s="105"/>
      <c r="Y124"/>
      <c r="Z124"/>
      <c r="AA124" s="104"/>
      <c r="AB124" s="239">
        <v>45930</v>
      </c>
      <c r="AC124" s="291">
        <v>2025</v>
      </c>
      <c r="AD124" s="306" t="s">
        <v>821</v>
      </c>
      <c r="AE124" s="280">
        <f>13+13+13+14</f>
        <v>53</v>
      </c>
      <c r="AF124" s="239" t="s">
        <v>609</v>
      </c>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row>
    <row r="125" spans="1:86" ht="15.75" customHeight="1" x14ac:dyDescent="0.2">
      <c r="A125" s="104"/>
      <c r="B125" s="252"/>
      <c r="C125" s="304" t="s">
        <v>70</v>
      </c>
      <c r="D125" s="255"/>
      <c r="E125" s="105"/>
      <c r="F125" s="255"/>
      <c r="G125" s="255"/>
      <c r="H125" s="255"/>
      <c r="I125" s="255"/>
      <c r="J125" s="255"/>
      <c r="K125" s="255"/>
      <c r="L125" s="255"/>
      <c r="M125" s="255"/>
      <c r="N125" s="255"/>
      <c r="O125" s="255"/>
      <c r="P125" s="255"/>
      <c r="Q125" s="255"/>
      <c r="R125" s="241">
        <v>1470</v>
      </c>
      <c r="S125" s="105"/>
      <c r="T125" s="105"/>
      <c r="U125" s="105"/>
      <c r="V125" s="105"/>
      <c r="W125" s="213"/>
      <c r="X125" s="105"/>
      <c r="Y125"/>
      <c r="Z125"/>
      <c r="AA125" s="104"/>
      <c r="AB125" s="239">
        <v>45933</v>
      </c>
      <c r="AC125" s="291">
        <v>2025</v>
      </c>
      <c r="AD125" s="280" t="s">
        <v>822</v>
      </c>
      <c r="AE125" s="280">
        <v>24</v>
      </c>
      <c r="AF125" s="239" t="s">
        <v>609</v>
      </c>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row>
    <row r="126" spans="1:86" ht="15.75" customHeight="1" x14ac:dyDescent="0.2">
      <c r="A126" s="104"/>
      <c r="B126" s="135"/>
      <c r="C126" s="304" t="s">
        <v>823</v>
      </c>
      <c r="D126" s="137"/>
      <c r="E126" s="105"/>
      <c r="F126" s="255"/>
      <c r="G126" s="255"/>
      <c r="H126" s="255"/>
      <c r="I126" s="255"/>
      <c r="J126" s="255"/>
      <c r="K126" s="255"/>
      <c r="L126" s="255"/>
      <c r="M126" s="255"/>
      <c r="N126" s="255"/>
      <c r="O126" s="255"/>
      <c r="P126" s="255"/>
      <c r="Q126" s="255"/>
      <c r="R126" s="497">
        <v>280</v>
      </c>
      <c r="S126" s="105"/>
      <c r="T126" s="105">
        <f>SUM(R120:R126)</f>
        <v>5460</v>
      </c>
      <c r="U126" s="105"/>
      <c r="V126" s="105"/>
      <c r="W126" s="213"/>
      <c r="X126" s="105"/>
      <c r="Y126"/>
      <c r="Z126"/>
      <c r="AA126" s="104"/>
      <c r="AB126" s="539">
        <v>45936</v>
      </c>
      <c r="AC126" s="540">
        <v>2025</v>
      </c>
      <c r="AD126" s="306" t="s">
        <v>824</v>
      </c>
      <c r="AE126" s="541">
        <v>6</v>
      </c>
      <c r="AF126" s="235" t="s">
        <v>609</v>
      </c>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row>
    <row r="127" spans="1:86" ht="15.75" customHeight="1" x14ac:dyDescent="0.2">
      <c r="A127" s="104"/>
      <c r="B127" s="302" t="s">
        <v>825</v>
      </c>
      <c r="C127" s="303"/>
      <c r="D127" s="302"/>
      <c r="E127" s="105"/>
      <c r="F127" s="302"/>
      <c r="G127" s="302"/>
      <c r="H127" s="302"/>
      <c r="I127" s="302"/>
      <c r="J127" s="302"/>
      <c r="K127" s="302"/>
      <c r="L127" s="302"/>
      <c r="M127" s="302"/>
      <c r="N127" s="302"/>
      <c r="O127" s="302"/>
      <c r="P127" s="302"/>
      <c r="Q127" s="302"/>
      <c r="R127" s="302">
        <f>SUM(R111:R126)</f>
        <v>13155</v>
      </c>
      <c r="S127" s="105"/>
      <c r="T127" s="105"/>
      <c r="U127" s="105"/>
      <c r="V127" s="105"/>
      <c r="W127" s="213"/>
      <c r="X127" s="213"/>
      <c r="Y127"/>
      <c r="Z127"/>
      <c r="AA127" s="104"/>
      <c r="AB127" s="539">
        <v>45938</v>
      </c>
      <c r="AC127" s="291">
        <v>2025</v>
      </c>
      <c r="AD127" s="306" t="s">
        <v>826</v>
      </c>
      <c r="AE127" s="280">
        <v>6</v>
      </c>
      <c r="AF127" s="235" t="s">
        <v>609</v>
      </c>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row>
    <row r="128" spans="1:86" ht="15.75" customHeight="1" x14ac:dyDescent="0.2">
      <c r="A128" s="104"/>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213"/>
      <c r="X128" s="213"/>
      <c r="Y128"/>
      <c r="Z128"/>
      <c r="AA128" s="104"/>
      <c r="AB128" s="239">
        <v>45938</v>
      </c>
      <c r="AC128" s="291">
        <v>2025</v>
      </c>
      <c r="AD128" s="306" t="s">
        <v>827</v>
      </c>
      <c r="AE128" s="280">
        <v>75</v>
      </c>
      <c r="AF128" s="239" t="s">
        <v>609</v>
      </c>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row>
    <row r="129" spans="1:86" ht="15.75" customHeight="1" x14ac:dyDescent="0.2">
      <c r="A129" s="104"/>
      <c r="B129" s="302" t="s">
        <v>752</v>
      </c>
      <c r="C129" s="303"/>
      <c r="D129" s="302"/>
      <c r="E129" s="105"/>
      <c r="F129" s="302"/>
      <c r="G129" s="302"/>
      <c r="H129" s="302"/>
      <c r="I129" s="302"/>
      <c r="J129" s="302"/>
      <c r="K129" s="302"/>
      <c r="L129" s="302"/>
      <c r="M129" s="302"/>
      <c r="N129" s="302"/>
      <c r="O129" s="302"/>
      <c r="P129" s="302"/>
      <c r="Q129" s="302"/>
      <c r="R129" s="302">
        <f>R127+R110</f>
        <v>13395</v>
      </c>
      <c r="S129" s="105"/>
      <c r="T129" s="105"/>
      <c r="U129" s="105"/>
      <c r="V129" s="105"/>
      <c r="W129" s="213"/>
      <c r="X129" s="213"/>
      <c r="Y129"/>
      <c r="Z129"/>
      <c r="AA129" s="104"/>
      <c r="AB129" s="239">
        <v>45939</v>
      </c>
      <c r="AC129" s="291">
        <v>2025</v>
      </c>
      <c r="AD129" s="280" t="s">
        <v>828</v>
      </c>
      <c r="AE129" s="280">
        <v>9</v>
      </c>
      <c r="AF129" s="239" t="s">
        <v>609</v>
      </c>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row>
    <row r="130" spans="1:86" ht="15.75" customHeight="1" x14ac:dyDescent="0.2">
      <c r="A130" s="104"/>
      <c r="B130" s="105"/>
      <c r="C130" s="104"/>
      <c r="D130" s="105"/>
      <c r="E130" s="105"/>
      <c r="F130" s="105"/>
      <c r="G130" s="105"/>
      <c r="H130" s="105"/>
      <c r="I130" s="105"/>
      <c r="J130" s="105"/>
      <c r="K130" s="105"/>
      <c r="L130" s="105"/>
      <c r="M130" s="105"/>
      <c r="N130" s="105"/>
      <c r="O130" s="105"/>
      <c r="P130" s="105"/>
      <c r="Q130" s="105"/>
      <c r="R130" s="105"/>
      <c r="S130" s="105"/>
      <c r="T130" s="105"/>
      <c r="U130" s="105"/>
      <c r="V130" s="105"/>
      <c r="W130" s="213"/>
      <c r="X130" s="213"/>
      <c r="Y130"/>
      <c r="Z130"/>
      <c r="AA130" s="104"/>
      <c r="AB130" s="239">
        <v>45939</v>
      </c>
      <c r="AC130" s="291">
        <v>2025</v>
      </c>
      <c r="AD130" s="306" t="s">
        <v>829</v>
      </c>
      <c r="AE130" s="280">
        <v>14</v>
      </c>
      <c r="AF130" s="239" t="s">
        <v>609</v>
      </c>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row>
    <row r="131" spans="1:86" ht="15.75" customHeight="1" x14ac:dyDescent="0.2">
      <c r="A131" s="104"/>
      <c r="B131" s="105"/>
      <c r="C131" s="104"/>
      <c r="D131" s="105"/>
      <c r="E131" s="105"/>
      <c r="F131" s="105"/>
      <c r="G131" s="105"/>
      <c r="H131" s="105"/>
      <c r="I131" s="105"/>
      <c r="J131" s="105"/>
      <c r="K131" s="105"/>
      <c r="L131" s="105"/>
      <c r="M131" s="105"/>
      <c r="N131" s="105"/>
      <c r="O131" s="105"/>
      <c r="P131" s="105"/>
      <c r="Q131" s="105"/>
      <c r="R131" s="105"/>
      <c r="S131" s="105"/>
      <c r="T131" s="105"/>
      <c r="U131" s="105"/>
      <c r="V131" s="105"/>
      <c r="W131" s="213"/>
      <c r="X131" s="213"/>
      <c r="Y131"/>
      <c r="Z131"/>
      <c r="AA131" s="104"/>
      <c r="AB131" s="235">
        <v>45944</v>
      </c>
      <c r="AC131" s="236">
        <v>2025</v>
      </c>
      <c r="AD131" s="307" t="s">
        <v>830</v>
      </c>
      <c r="AE131" s="237">
        <v>24</v>
      </c>
      <c r="AF131" s="235" t="s">
        <v>609</v>
      </c>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row>
    <row r="132" spans="1:86" ht="15.75" customHeight="1" x14ac:dyDescent="0.2">
      <c r="A132" s="104"/>
      <c r="B132" s="105"/>
      <c r="C132" s="104"/>
      <c r="D132" s="105"/>
      <c r="E132" s="105"/>
      <c r="F132" s="105"/>
      <c r="G132" s="105"/>
      <c r="H132" s="105"/>
      <c r="I132" s="105"/>
      <c r="J132" s="105"/>
      <c r="K132" s="105"/>
      <c r="L132" s="105"/>
      <c r="M132" s="105"/>
      <c r="N132" s="105"/>
      <c r="O132" s="105"/>
      <c r="P132" s="105"/>
      <c r="Q132" s="105"/>
      <c r="R132" s="105"/>
      <c r="S132" s="105"/>
      <c r="T132" s="105"/>
      <c r="U132" s="105"/>
      <c r="V132" s="105"/>
      <c r="W132" s="213"/>
      <c r="X132" s="213"/>
      <c r="Y132" s="105"/>
      <c r="Z132" s="105"/>
      <c r="AA132" s="104"/>
      <c r="AB132" s="239">
        <v>45945</v>
      </c>
      <c r="AC132" s="291">
        <v>2025</v>
      </c>
      <c r="AD132" s="306" t="s">
        <v>831</v>
      </c>
      <c r="AE132" s="280">
        <v>24</v>
      </c>
      <c r="AF132" s="239" t="s">
        <v>609</v>
      </c>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row>
    <row r="133" spans="1:86" ht="15.4" customHeight="1" x14ac:dyDescent="0.2">
      <c r="A133" s="104"/>
      <c r="B133" s="105"/>
      <c r="C133" s="104"/>
      <c r="D133" s="105"/>
      <c r="E133" s="105"/>
      <c r="F133" s="105"/>
      <c r="G133" s="105"/>
      <c r="H133" s="105"/>
      <c r="I133" s="105"/>
      <c r="J133" s="105"/>
      <c r="K133" s="105"/>
      <c r="L133" s="105"/>
      <c r="M133" s="105"/>
      <c r="N133" s="105"/>
      <c r="O133" s="105"/>
      <c r="P133" s="105"/>
      <c r="Q133" s="105"/>
      <c r="R133" s="105"/>
      <c r="S133" s="105"/>
      <c r="T133" s="105"/>
      <c r="U133" s="105"/>
      <c r="V133" s="105"/>
      <c r="W133" s="104"/>
      <c r="X133" s="213"/>
      <c r="Y133" s="105"/>
      <c r="Z133" s="105"/>
      <c r="AA133" s="104"/>
      <c r="AB133" s="239"/>
      <c r="AC133" s="291"/>
      <c r="AD133" s="280"/>
      <c r="AE133" s="280"/>
      <c r="AF133" s="239"/>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row>
    <row r="134" spans="1:86" x14ac:dyDescent="0.2">
      <c r="A134" s="104"/>
      <c r="B134" s="105"/>
      <c r="C134" s="104"/>
      <c r="D134" s="105"/>
      <c r="E134" s="105"/>
      <c r="F134" s="105"/>
      <c r="G134" s="105"/>
      <c r="H134" s="105"/>
      <c r="I134" s="105"/>
      <c r="J134" s="105"/>
      <c r="K134" s="105"/>
      <c r="L134" s="105"/>
      <c r="M134" s="105"/>
      <c r="N134" s="105"/>
      <c r="O134" s="105"/>
      <c r="P134" s="105"/>
      <c r="Q134" s="105"/>
      <c r="R134" s="105"/>
      <c r="S134" s="105"/>
      <c r="T134" s="105"/>
      <c r="U134" s="105"/>
      <c r="V134" s="105"/>
      <c r="W134" s="104"/>
      <c r="X134" s="213"/>
      <c r="Y134" s="105"/>
      <c r="Z134" s="105"/>
      <c r="AA134" s="104"/>
      <c r="AB134" s="239"/>
      <c r="AC134" s="291"/>
      <c r="AD134" s="280"/>
      <c r="AE134" s="280"/>
      <c r="AF134" s="239"/>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row>
    <row r="135" spans="1:86" x14ac:dyDescent="0.2">
      <c r="A135" s="104"/>
      <c r="B135" s="105"/>
      <c r="C135" s="104"/>
      <c r="D135" s="105"/>
      <c r="E135" s="105"/>
      <c r="F135" s="105"/>
      <c r="G135" s="105"/>
      <c r="H135" s="105"/>
      <c r="I135" s="105"/>
      <c r="J135" s="105"/>
      <c r="K135" s="105"/>
      <c r="L135" s="105"/>
      <c r="M135" s="105"/>
      <c r="N135" s="105"/>
      <c r="O135" s="105"/>
      <c r="P135" s="105"/>
      <c r="Q135" s="105"/>
      <c r="R135" s="105"/>
      <c r="S135" s="105"/>
      <c r="T135" s="105"/>
      <c r="U135" s="105"/>
      <c r="V135" s="105"/>
      <c r="W135" s="104"/>
      <c r="X135" s="213"/>
      <c r="Y135" s="105"/>
      <c r="Z135" s="105"/>
      <c r="AA135" s="104"/>
      <c r="AB135" s="239"/>
      <c r="AC135" s="291"/>
      <c r="AD135" s="306"/>
      <c r="AE135" s="280"/>
      <c r="AF135" s="239"/>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row>
    <row r="136" spans="1:86" x14ac:dyDescent="0.2">
      <c r="A136" s="104"/>
      <c r="B136" s="105"/>
      <c r="C136" s="104"/>
      <c r="D136" s="105"/>
      <c r="E136" s="105"/>
      <c r="F136" s="105"/>
      <c r="G136" s="105"/>
      <c r="H136" s="105"/>
      <c r="I136" s="105"/>
      <c r="J136" s="105"/>
      <c r="K136" s="105"/>
      <c r="L136" s="105"/>
      <c r="M136" s="105"/>
      <c r="N136" s="105"/>
      <c r="O136" s="105"/>
      <c r="P136" s="105"/>
      <c r="Q136" s="105"/>
      <c r="R136" s="105"/>
      <c r="S136" s="105"/>
      <c r="T136" s="105"/>
      <c r="U136" s="105"/>
      <c r="V136" s="105"/>
      <c r="W136" s="104"/>
      <c r="X136" s="213"/>
      <c r="Y136" s="105"/>
      <c r="Z136" s="105"/>
      <c r="AA136" s="104"/>
      <c r="AB136" s="105"/>
      <c r="AC136" s="104"/>
      <c r="AD136" s="104"/>
      <c r="AE136" s="104"/>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row>
    <row r="137" spans="1:86" x14ac:dyDescent="0.2">
      <c r="A137" s="104"/>
      <c r="B137" s="105"/>
      <c r="C137" s="104"/>
      <c r="D137" s="105"/>
      <c r="E137" s="105"/>
      <c r="F137" s="105"/>
      <c r="G137" s="105"/>
      <c r="H137" s="105"/>
      <c r="I137" s="105"/>
      <c r="J137" s="105"/>
      <c r="K137" s="105"/>
      <c r="L137" s="105"/>
      <c r="M137" s="105"/>
      <c r="N137" s="105"/>
      <c r="O137" s="105"/>
      <c r="P137" s="105"/>
      <c r="Q137" s="105"/>
      <c r="R137" s="105"/>
      <c r="S137" s="105"/>
      <c r="T137" s="105"/>
      <c r="U137" s="105"/>
      <c r="V137" s="105"/>
      <c r="W137" s="104"/>
      <c r="X137" s="213"/>
      <c r="Y137" s="105"/>
      <c r="Z137" s="104"/>
      <c r="AA137" s="104"/>
      <c r="AB137" s="105"/>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row>
    <row r="138" spans="1:86" x14ac:dyDescent="0.2">
      <c r="A138" s="104"/>
      <c r="B138" s="105"/>
      <c r="C138" s="104"/>
      <c r="D138" s="105"/>
      <c r="E138" s="105"/>
      <c r="F138" s="105"/>
      <c r="G138" s="105"/>
      <c r="H138" s="105"/>
      <c r="I138" s="105"/>
      <c r="J138" s="105"/>
      <c r="K138" s="105"/>
      <c r="L138" s="105"/>
      <c r="M138" s="105"/>
      <c r="N138" s="105"/>
      <c r="O138" s="105"/>
      <c r="P138" s="105"/>
      <c r="Q138" s="105"/>
      <c r="R138" s="105"/>
      <c r="S138" s="105"/>
      <c r="T138" s="105"/>
      <c r="U138" s="105"/>
      <c r="V138" s="105"/>
      <c r="W138" s="104"/>
      <c r="X138" s="213"/>
      <c r="Y138" s="105"/>
      <c r="Z138" s="104"/>
      <c r="AA138" s="104"/>
      <c r="AB138" s="105"/>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row>
    <row r="139" spans="1:86" ht="15.4" customHeight="1" x14ac:dyDescent="0.2">
      <c r="A139" s="104"/>
      <c r="B139" s="105"/>
      <c r="C139" s="104"/>
      <c r="D139" s="105"/>
      <c r="E139" s="105"/>
      <c r="F139" s="105"/>
      <c r="G139" s="105"/>
      <c r="H139" s="105"/>
      <c r="I139" s="105"/>
      <c r="J139" s="105"/>
      <c r="K139" s="105"/>
      <c r="L139" s="105"/>
      <c r="M139" s="105"/>
      <c r="N139" s="105"/>
      <c r="O139" s="105"/>
      <c r="P139" s="105"/>
      <c r="Q139" s="105"/>
      <c r="R139" s="105"/>
      <c r="S139" s="105"/>
      <c r="T139" s="105"/>
      <c r="U139" s="105"/>
      <c r="V139" s="105"/>
      <c r="W139" s="104"/>
      <c r="X139" s="213"/>
      <c r="Y139" s="105"/>
      <c r="Z139" s="104"/>
      <c r="AA139" s="104"/>
      <c r="AB139" s="105"/>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row>
    <row r="140" spans="1:86" x14ac:dyDescent="0.2">
      <c r="A140" s="104"/>
      <c r="B140" s="105"/>
      <c r="C140" s="104"/>
      <c r="D140" s="105"/>
      <c r="E140" s="105"/>
      <c r="F140" s="105"/>
      <c r="G140" s="105"/>
      <c r="H140" s="105"/>
      <c r="I140" s="105"/>
      <c r="J140" s="105"/>
      <c r="K140" s="105"/>
      <c r="L140" s="105"/>
      <c r="M140" s="105"/>
      <c r="N140" s="105"/>
      <c r="O140" s="105"/>
      <c r="P140" s="105"/>
      <c r="Q140" s="105"/>
      <c r="R140" s="105"/>
      <c r="S140" s="105"/>
      <c r="T140" s="105"/>
      <c r="U140" s="105"/>
      <c r="V140" s="105"/>
      <c r="W140" s="104"/>
      <c r="X140" s="213"/>
      <c r="Y140" s="105"/>
      <c r="Z140" s="104"/>
      <c r="AA140" s="104"/>
      <c r="AB140" s="105"/>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row>
    <row r="141" spans="1:86" x14ac:dyDescent="0.2">
      <c r="A141" s="104"/>
      <c r="B141" s="105"/>
      <c r="C141" s="104"/>
      <c r="D141" s="105"/>
      <c r="E141" s="105"/>
      <c r="F141" s="105"/>
      <c r="G141" s="105"/>
      <c r="H141" s="105"/>
      <c r="I141" s="105"/>
      <c r="J141" s="105"/>
      <c r="K141" s="105"/>
      <c r="L141" s="105"/>
      <c r="M141" s="105"/>
      <c r="N141" s="105"/>
      <c r="O141" s="105"/>
      <c r="P141" s="105"/>
      <c r="Q141" s="105"/>
      <c r="R141" s="105"/>
      <c r="S141" s="105"/>
      <c r="T141" s="105"/>
      <c r="U141" s="105"/>
      <c r="V141" s="105"/>
      <c r="W141" s="104"/>
      <c r="X141" s="213"/>
      <c r="Y141" s="105"/>
      <c r="Z141" s="104"/>
      <c r="AA141" s="104"/>
      <c r="AB141" s="105"/>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row>
    <row r="142" spans="1:86" x14ac:dyDescent="0.2">
      <c r="A142" s="104"/>
      <c r="B142" s="105"/>
      <c r="C142" s="104"/>
      <c r="D142" s="105"/>
      <c r="E142" s="105"/>
      <c r="F142" s="105"/>
      <c r="G142" s="105"/>
      <c r="H142" s="105"/>
      <c r="I142" s="105"/>
      <c r="J142" s="105"/>
      <c r="K142" s="105"/>
      <c r="L142" s="105"/>
      <c r="M142" s="105"/>
      <c r="N142" s="105"/>
      <c r="O142" s="105"/>
      <c r="P142" s="105"/>
      <c r="Q142" s="105"/>
      <c r="R142" s="105"/>
      <c r="S142" s="105"/>
      <c r="T142" s="105"/>
      <c r="U142" s="105"/>
      <c r="V142" s="105"/>
      <c r="W142" s="104"/>
      <c r="X142" s="213"/>
      <c r="Y142" s="105"/>
      <c r="Z142" s="104"/>
      <c r="AA142" s="104"/>
      <c r="AB142" s="105"/>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row>
    <row r="143" spans="1:86" s="199" customFormat="1" ht="17.649999999999999" customHeight="1" x14ac:dyDescent="0.25">
      <c r="A143" s="104"/>
      <c r="B143" s="105"/>
      <c r="C143" s="104"/>
      <c r="D143" s="105"/>
      <c r="E143" s="105"/>
      <c r="F143" s="105"/>
      <c r="G143" s="105"/>
      <c r="H143" s="105"/>
      <c r="I143" s="105"/>
      <c r="J143" s="105"/>
      <c r="K143" s="105"/>
      <c r="L143" s="105"/>
      <c r="M143" s="105"/>
      <c r="N143" s="105"/>
      <c r="O143" s="105"/>
      <c r="P143" s="105"/>
      <c r="Q143" s="105"/>
      <c r="R143" s="105"/>
      <c r="S143" s="105"/>
      <c r="T143" s="105"/>
      <c r="U143" s="105"/>
      <c r="V143" s="105"/>
      <c r="W143" s="104"/>
      <c r="X143" s="213"/>
      <c r="Y143" s="105"/>
      <c r="Z143" s="104"/>
      <c r="AA143" s="104"/>
      <c r="AB143" s="105"/>
      <c r="AC143" s="104"/>
      <c r="AD143" s="104"/>
      <c r="AE143" s="104"/>
      <c r="AF143" s="104"/>
    </row>
    <row r="144" spans="1:86" x14ac:dyDescent="0.2">
      <c r="A144" s="104"/>
      <c r="B144" s="105"/>
      <c r="C144" s="104"/>
      <c r="D144" s="105"/>
      <c r="E144" s="105"/>
      <c r="F144" s="105"/>
      <c r="G144" s="105"/>
      <c r="H144" s="105"/>
      <c r="I144" s="105"/>
      <c r="J144" s="105"/>
      <c r="K144" s="105"/>
      <c r="L144" s="105"/>
      <c r="M144" s="105"/>
      <c r="N144" s="105"/>
      <c r="O144" s="105"/>
      <c r="P144" s="105"/>
      <c r="Q144" s="105"/>
      <c r="R144" s="105"/>
      <c r="S144" s="105"/>
      <c r="T144" s="105"/>
      <c r="U144" s="105"/>
      <c r="V144" s="105"/>
      <c r="W144" s="104"/>
      <c r="X144" s="213"/>
      <c r="Y144" s="105"/>
      <c r="Z144" s="104"/>
      <c r="AA144" s="104"/>
      <c r="AB144" s="105"/>
      <c r="AC144" s="104"/>
      <c r="AD144" s="104"/>
      <c r="AE144" s="104"/>
      <c r="AF144" s="104"/>
      <c r="AG144" s="104"/>
      <c r="AH144" s="104"/>
      <c r="AI144" s="104"/>
      <c r="AJ144" s="104"/>
      <c r="AK144" s="104"/>
      <c r="AL144" s="104"/>
      <c r="AM144" s="104"/>
      <c r="AN144" s="104"/>
      <c r="AO144" s="104"/>
      <c r="AP144" s="104"/>
      <c r="AQ144" s="104"/>
      <c r="AR144" s="104"/>
      <c r="AS144" s="104"/>
      <c r="AT144" s="104"/>
      <c r="AU144" s="104"/>
      <c r="AV144" s="104"/>
      <c r="AW144" s="104"/>
      <c r="AX144" s="104"/>
      <c r="AY144" s="104"/>
      <c r="AZ144" s="104"/>
      <c r="BA144" s="104"/>
      <c r="BB144" s="104"/>
      <c r="BC144" s="104"/>
      <c r="BD144" s="104"/>
      <c r="BE144" s="104"/>
      <c r="BF144" s="104"/>
      <c r="BG144" s="104"/>
      <c r="BH144" s="104"/>
      <c r="BI144" s="104"/>
      <c r="BJ144" s="104"/>
      <c r="BK144" s="104"/>
      <c r="BL144" s="104"/>
      <c r="BM144" s="104"/>
      <c r="BN144" s="104"/>
      <c r="BO144" s="104"/>
      <c r="BP144" s="104"/>
      <c r="BQ144" s="104"/>
      <c r="BR144" s="104"/>
      <c r="BS144" s="104"/>
      <c r="BT144" s="104"/>
      <c r="BU144" s="104"/>
      <c r="BV144" s="104"/>
      <c r="BW144" s="104"/>
      <c r="BX144" s="104"/>
      <c r="BY144" s="104"/>
      <c r="BZ144" s="104"/>
      <c r="CA144" s="104"/>
      <c r="CB144" s="104"/>
      <c r="CC144" s="104"/>
      <c r="CD144" s="104"/>
      <c r="CE144" s="104"/>
      <c r="CF144" s="104"/>
      <c r="CG144" s="104"/>
      <c r="CH144" s="104"/>
    </row>
    <row r="145" spans="1:86" x14ac:dyDescent="0.2">
      <c r="A145" s="104"/>
      <c r="B145" s="105"/>
      <c r="C145" s="104"/>
      <c r="D145" s="105"/>
      <c r="E145" s="105"/>
      <c r="F145" s="105"/>
      <c r="G145" s="105"/>
      <c r="H145" s="105"/>
      <c r="I145" s="105"/>
      <c r="J145" s="105"/>
      <c r="K145" s="105"/>
      <c r="L145" s="105"/>
      <c r="M145" s="105"/>
      <c r="N145" s="105"/>
      <c r="O145" s="105"/>
      <c r="P145" s="105"/>
      <c r="Q145" s="105"/>
      <c r="R145" s="105"/>
      <c r="S145" s="105"/>
      <c r="T145" s="105"/>
      <c r="U145" s="105"/>
      <c r="V145" s="105"/>
      <c r="W145" s="104"/>
      <c r="X145" s="213"/>
      <c r="Y145" s="105"/>
      <c r="Z145" s="104"/>
      <c r="AA145" s="104"/>
      <c r="AB145" s="105"/>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row>
    <row r="146" spans="1:86" x14ac:dyDescent="0.2">
      <c r="A146" s="104"/>
      <c r="B146" s="105"/>
      <c r="C146" s="104"/>
      <c r="D146" s="105"/>
      <c r="E146" s="105"/>
      <c r="F146" s="105"/>
      <c r="G146" s="105"/>
      <c r="H146" s="105"/>
      <c r="I146" s="105"/>
      <c r="J146" s="105"/>
      <c r="K146" s="105"/>
      <c r="L146" s="105"/>
      <c r="M146" s="105"/>
      <c r="N146" s="105"/>
      <c r="O146" s="105"/>
      <c r="P146" s="105"/>
      <c r="Q146" s="105"/>
      <c r="R146" s="105"/>
      <c r="S146" s="105"/>
      <c r="T146" s="105"/>
      <c r="U146" s="105"/>
      <c r="V146" s="105"/>
      <c r="W146" s="104"/>
      <c r="X146" s="213"/>
      <c r="Y146" s="105"/>
      <c r="Z146" s="104"/>
      <c r="AA146" s="104"/>
      <c r="AB146" s="105"/>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row>
    <row r="147" spans="1:86" x14ac:dyDescent="0.2">
      <c r="A147" s="104"/>
      <c r="B147" s="105"/>
      <c r="C147" s="104"/>
      <c r="D147" s="105"/>
      <c r="E147" s="105"/>
      <c r="F147" s="105"/>
      <c r="G147" s="105"/>
      <c r="H147" s="105"/>
      <c r="I147" s="105"/>
      <c r="J147" s="105"/>
      <c r="K147" s="105"/>
      <c r="L147" s="105"/>
      <c r="M147" s="105"/>
      <c r="N147" s="105"/>
      <c r="O147" s="105"/>
      <c r="P147" s="105"/>
      <c r="Q147" s="105"/>
      <c r="R147" s="105"/>
      <c r="S147" s="105"/>
      <c r="T147" s="105"/>
      <c r="U147" s="105"/>
      <c r="V147" s="105"/>
      <c r="W147" s="104"/>
      <c r="X147" s="213"/>
      <c r="Y147" s="105"/>
      <c r="Z147" s="104"/>
      <c r="AA147" s="104"/>
      <c r="AB147" s="105"/>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row>
    <row r="148" spans="1:86" x14ac:dyDescent="0.2">
      <c r="A148" s="104"/>
      <c r="B148" s="105"/>
      <c r="C148" s="104"/>
      <c r="D148" s="105"/>
      <c r="E148" s="105"/>
      <c r="F148" s="105"/>
      <c r="G148" s="105"/>
      <c r="H148" s="105"/>
      <c r="I148" s="105"/>
      <c r="J148" s="105"/>
      <c r="K148" s="105"/>
      <c r="L148" s="105"/>
      <c r="M148" s="105"/>
      <c r="N148" s="105"/>
      <c r="O148" s="105"/>
      <c r="P148" s="105"/>
      <c r="Q148" s="105"/>
      <c r="R148" s="105"/>
      <c r="S148" s="105"/>
      <c r="T148" s="105"/>
      <c r="U148" s="105"/>
      <c r="V148" s="105"/>
      <c r="W148" s="104"/>
      <c r="X148" s="213"/>
      <c r="Y148" s="105"/>
      <c r="Z148" s="105"/>
      <c r="AA148" s="104"/>
      <c r="AB148" s="105"/>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row>
    <row r="149" spans="1:86" x14ac:dyDescent="0.2">
      <c r="A149" s="104"/>
      <c r="B149" s="105"/>
      <c r="C149" s="104"/>
      <c r="D149" s="105"/>
      <c r="E149" s="105"/>
      <c r="F149" s="105"/>
      <c r="G149" s="105"/>
      <c r="H149" s="105"/>
      <c r="I149" s="105"/>
      <c r="J149" s="105"/>
      <c r="K149" s="105"/>
      <c r="L149" s="105"/>
      <c r="M149" s="105"/>
      <c r="N149" s="105"/>
      <c r="O149" s="105"/>
      <c r="P149" s="105"/>
      <c r="Q149" s="105"/>
      <c r="R149" s="105"/>
      <c r="S149" s="105"/>
      <c r="T149" s="105"/>
      <c r="U149" s="105"/>
      <c r="V149" s="105"/>
      <c r="W149" s="104"/>
      <c r="X149" s="213"/>
      <c r="Y149" s="105"/>
      <c r="Z149" s="105"/>
      <c r="AA149" s="104"/>
      <c r="AB149" s="105"/>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row>
    <row r="150" spans="1:86" ht="18" x14ac:dyDescent="0.25">
      <c r="A150" s="104"/>
      <c r="B150" s="105"/>
      <c r="C150" s="104"/>
      <c r="D150" s="105"/>
      <c r="E150" s="105"/>
      <c r="F150" s="105"/>
      <c r="G150" s="105"/>
      <c r="H150" s="105"/>
      <c r="I150" s="105"/>
      <c r="J150" s="105"/>
      <c r="K150" s="105"/>
      <c r="L150" s="105"/>
      <c r="M150" s="105"/>
      <c r="N150" s="105"/>
      <c r="O150" s="105"/>
      <c r="P150" s="105"/>
      <c r="Q150" s="105"/>
      <c r="R150" s="105"/>
      <c r="S150" s="105"/>
      <c r="T150" s="105"/>
      <c r="U150" s="105"/>
      <c r="V150" s="105"/>
      <c r="W150" s="104"/>
      <c r="X150" s="213"/>
      <c r="Y150" s="105"/>
      <c r="Z150" s="105"/>
      <c r="AA150" s="104"/>
      <c r="AB150" s="199"/>
      <c r="AC150" s="199"/>
      <c r="AD150" s="199"/>
      <c r="AE150" s="199"/>
      <c r="AF150" s="199"/>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row>
    <row r="151" spans="1:86" x14ac:dyDescent="0.2">
      <c r="A151" s="104"/>
      <c r="B151" s="105"/>
      <c r="C151" s="104"/>
      <c r="D151" s="105"/>
      <c r="E151" s="105"/>
      <c r="F151" s="105"/>
      <c r="G151" s="105"/>
      <c r="H151" s="105"/>
      <c r="I151" s="105"/>
      <c r="J151" s="105"/>
      <c r="K151" s="105"/>
      <c r="L151" s="105"/>
      <c r="M151" s="105"/>
      <c r="N151" s="105"/>
      <c r="O151" s="105"/>
      <c r="P151" s="105"/>
      <c r="Q151" s="105"/>
      <c r="R151" s="105"/>
      <c r="S151" s="105"/>
      <c r="T151" s="105"/>
      <c r="U151" s="105"/>
      <c r="V151" s="105"/>
      <c r="W151" s="104"/>
      <c r="X151" s="213"/>
      <c r="Y151" s="105"/>
      <c r="Z151" s="105"/>
      <c r="AA151" s="104"/>
      <c r="AB151" s="105"/>
      <c r="AC151" s="104"/>
      <c r="AD151" s="104"/>
      <c r="AE151" s="104"/>
      <c r="AF151" s="104"/>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row>
    <row r="152" spans="1:86" x14ac:dyDescent="0.2">
      <c r="A152" s="104"/>
      <c r="B152" s="105"/>
      <c r="C152" s="104"/>
      <c r="D152" s="105"/>
      <c r="E152" s="105"/>
      <c r="F152" s="105"/>
      <c r="G152" s="105"/>
      <c r="H152" s="105"/>
      <c r="I152" s="105"/>
      <c r="J152" s="105"/>
      <c r="K152" s="105"/>
      <c r="L152" s="105"/>
      <c r="M152" s="105"/>
      <c r="N152" s="105"/>
      <c r="O152" s="105"/>
      <c r="P152" s="105"/>
      <c r="Q152" s="105"/>
      <c r="R152" s="105"/>
      <c r="S152" s="105"/>
      <c r="T152" s="105"/>
      <c r="U152" s="105"/>
      <c r="V152" s="105"/>
      <c r="W152" s="104"/>
      <c r="X152" s="213"/>
      <c r="Y152" s="105"/>
      <c r="Z152" s="105"/>
      <c r="AA152" s="104"/>
      <c r="AB152" s="105"/>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row>
    <row r="153" spans="1:86" x14ac:dyDescent="0.2">
      <c r="A153" s="104"/>
      <c r="B153" s="105"/>
      <c r="C153" s="104"/>
      <c r="D153" s="105"/>
      <c r="E153" s="105"/>
      <c r="F153" s="105"/>
      <c r="G153" s="105"/>
      <c r="H153" s="105"/>
      <c r="I153" s="105"/>
      <c r="J153" s="105"/>
      <c r="K153" s="105"/>
      <c r="L153" s="105"/>
      <c r="M153" s="105"/>
      <c r="N153" s="105"/>
      <c r="O153" s="105"/>
      <c r="P153" s="105"/>
      <c r="Q153" s="105"/>
      <c r="R153" s="105"/>
      <c r="S153" s="105"/>
      <c r="T153" s="105"/>
      <c r="U153" s="105"/>
      <c r="V153" s="105"/>
      <c r="W153" s="104"/>
      <c r="X153" s="213"/>
      <c r="Y153" s="105"/>
      <c r="Z153" s="104"/>
      <c r="AA153" s="104"/>
      <c r="AB153" s="105"/>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row>
    <row r="154" spans="1:86" ht="18" x14ac:dyDescent="0.25">
      <c r="A154" s="104"/>
      <c r="B154" s="105"/>
      <c r="C154" s="104"/>
      <c r="D154" s="105"/>
      <c r="E154" s="105"/>
      <c r="F154" s="105"/>
      <c r="G154" s="105"/>
      <c r="H154" s="105"/>
      <c r="I154" s="105"/>
      <c r="J154" s="105"/>
      <c r="K154" s="105"/>
      <c r="L154" s="105"/>
      <c r="M154" s="105"/>
      <c r="N154" s="105"/>
      <c r="O154" s="105"/>
      <c r="P154" s="105"/>
      <c r="Q154" s="105"/>
      <c r="R154" s="105"/>
      <c r="S154" s="105"/>
      <c r="T154" s="105"/>
      <c r="U154" s="105"/>
      <c r="V154" s="105"/>
      <c r="W154" s="104"/>
      <c r="X154" s="213"/>
      <c r="Y154" s="200"/>
      <c r="Z154" s="199"/>
      <c r="AA154" s="104"/>
      <c r="AB154" s="105"/>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row>
    <row r="155" spans="1:86" x14ac:dyDescent="0.2">
      <c r="A155" s="104"/>
      <c r="B155" s="105"/>
      <c r="C155" s="104"/>
      <c r="D155" s="105"/>
      <c r="E155" s="105"/>
      <c r="F155" s="105"/>
      <c r="G155" s="105"/>
      <c r="H155" s="105"/>
      <c r="I155" s="105"/>
      <c r="J155" s="105"/>
      <c r="K155" s="105"/>
      <c r="L155" s="105"/>
      <c r="M155" s="105"/>
      <c r="N155" s="105"/>
      <c r="O155" s="105"/>
      <c r="P155" s="105"/>
      <c r="Q155" s="105"/>
      <c r="R155" s="105"/>
      <c r="S155" s="105"/>
      <c r="T155" s="105"/>
      <c r="U155" s="105"/>
      <c r="V155" s="105"/>
      <c r="W155" s="104"/>
      <c r="X155" s="213"/>
      <c r="Y155" s="105"/>
      <c r="Z155" s="104"/>
      <c r="AA155" s="104"/>
      <c r="AB155" s="105"/>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row>
    <row r="156" spans="1:86" x14ac:dyDescent="0.2">
      <c r="A156" s="104"/>
      <c r="B156" s="105"/>
      <c r="C156" s="104"/>
      <c r="D156" s="105"/>
      <c r="E156" s="105"/>
      <c r="F156" s="105"/>
      <c r="G156" s="105"/>
      <c r="H156" s="105"/>
      <c r="I156" s="105"/>
      <c r="J156" s="105"/>
      <c r="K156" s="105"/>
      <c r="L156" s="105"/>
      <c r="M156" s="105"/>
      <c r="N156" s="105"/>
      <c r="O156" s="105"/>
      <c r="P156" s="105"/>
      <c r="Q156" s="105"/>
      <c r="R156" s="105"/>
      <c r="S156" s="105"/>
      <c r="T156" s="105"/>
      <c r="U156" s="105"/>
      <c r="V156" s="105"/>
      <c r="W156" s="104"/>
      <c r="X156" s="213"/>
      <c r="Y156" s="105"/>
      <c r="Z156" s="104"/>
      <c r="AA156" s="104"/>
      <c r="AB156" s="105"/>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row>
    <row r="157" spans="1:86" x14ac:dyDescent="0.2">
      <c r="A157" s="104"/>
      <c r="B157" s="105"/>
      <c r="C157" s="104"/>
      <c r="D157" s="105"/>
      <c r="E157" s="105"/>
      <c r="F157" s="105"/>
      <c r="G157" s="105"/>
      <c r="H157" s="105"/>
      <c r="I157" s="105"/>
      <c r="J157" s="105"/>
      <c r="K157" s="105"/>
      <c r="L157" s="105"/>
      <c r="M157" s="105"/>
      <c r="N157" s="105"/>
      <c r="O157" s="105"/>
      <c r="P157" s="105"/>
      <c r="Q157" s="105"/>
      <c r="R157" s="105"/>
      <c r="S157" s="105"/>
      <c r="T157" s="105"/>
      <c r="U157" s="105"/>
      <c r="V157" s="105"/>
      <c r="W157" s="104"/>
      <c r="X157" s="213"/>
      <c r="Y157" s="105"/>
      <c r="Z157" s="104"/>
      <c r="AA157" s="104"/>
      <c r="AB157" s="105"/>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row>
    <row r="158" spans="1:86" x14ac:dyDescent="0.2">
      <c r="A158" s="104"/>
      <c r="B158" s="105"/>
      <c r="C158" s="104"/>
      <c r="D158" s="105"/>
      <c r="E158" s="105"/>
      <c r="F158" s="105"/>
      <c r="G158" s="105"/>
      <c r="H158" s="105"/>
      <c r="I158" s="105"/>
      <c r="J158" s="105"/>
      <c r="K158" s="105"/>
      <c r="L158" s="105"/>
      <c r="M158" s="105"/>
      <c r="N158" s="105"/>
      <c r="O158" s="105"/>
      <c r="P158" s="105"/>
      <c r="Q158" s="105"/>
      <c r="R158" s="105"/>
      <c r="S158" s="105"/>
      <c r="T158" s="105"/>
      <c r="U158" s="105"/>
      <c r="V158" s="105"/>
      <c r="W158" s="104"/>
      <c r="X158" s="213"/>
      <c r="Y158" s="104"/>
      <c r="Z158" s="105"/>
      <c r="AA158" s="105"/>
      <c r="AB158" s="105"/>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row>
    <row r="159" spans="1:86" x14ac:dyDescent="0.2">
      <c r="A159" s="104"/>
      <c r="B159" s="105"/>
      <c r="C159" s="104"/>
      <c r="D159" s="105"/>
      <c r="E159" s="105"/>
      <c r="F159" s="105"/>
      <c r="G159" s="105"/>
      <c r="H159" s="105"/>
      <c r="I159" s="105"/>
      <c r="J159" s="105"/>
      <c r="K159" s="105"/>
      <c r="L159" s="105"/>
      <c r="M159" s="105"/>
      <c r="N159" s="105"/>
      <c r="O159" s="105"/>
      <c r="P159" s="105"/>
      <c r="Q159" s="105"/>
      <c r="R159" s="105"/>
      <c r="S159" s="105"/>
      <c r="T159" s="105"/>
      <c r="U159" s="105"/>
      <c r="V159" s="105"/>
      <c r="W159" s="104"/>
      <c r="X159" s="213"/>
      <c r="Y159" s="104"/>
      <c r="Z159" s="105"/>
      <c r="AA159" s="105"/>
      <c r="AB159" s="105"/>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row>
    <row r="160" spans="1:86" x14ac:dyDescent="0.2">
      <c r="A160" s="104"/>
      <c r="B160" s="105"/>
      <c r="C160" s="104"/>
      <c r="D160" s="105"/>
      <c r="E160" s="105"/>
      <c r="F160" s="105"/>
      <c r="G160" s="105"/>
      <c r="H160" s="105"/>
      <c r="I160" s="105"/>
      <c r="J160" s="105"/>
      <c r="K160" s="105"/>
      <c r="L160" s="105"/>
      <c r="M160" s="105"/>
      <c r="N160" s="105"/>
      <c r="O160" s="105"/>
      <c r="P160" s="105"/>
      <c r="Q160" s="105"/>
      <c r="R160" s="105"/>
      <c r="S160" s="105"/>
      <c r="T160" s="105"/>
      <c r="U160" s="105"/>
      <c r="V160" s="105"/>
      <c r="W160" s="104"/>
      <c r="X160" s="213"/>
      <c r="Y160" s="105"/>
      <c r="Z160" s="105"/>
      <c r="AA160" s="104"/>
      <c r="AB160" s="105"/>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row>
    <row r="161" spans="1:86" x14ac:dyDescent="0.2">
      <c r="A161" s="104"/>
      <c r="B161" s="105"/>
      <c r="C161" s="104"/>
      <c r="D161" s="105"/>
      <c r="E161" s="105"/>
      <c r="F161" s="105"/>
      <c r="G161" s="105"/>
      <c r="H161" s="105"/>
      <c r="I161" s="105"/>
      <c r="J161" s="105"/>
      <c r="K161" s="105"/>
      <c r="L161" s="105"/>
      <c r="M161" s="105"/>
      <c r="N161" s="105"/>
      <c r="O161" s="105"/>
      <c r="P161" s="105"/>
      <c r="Q161" s="105"/>
      <c r="R161" s="105"/>
      <c r="S161" s="105"/>
      <c r="T161" s="105"/>
      <c r="U161" s="105"/>
      <c r="V161" s="105"/>
      <c r="W161" s="104"/>
      <c r="X161" s="213"/>
      <c r="Y161" s="105"/>
      <c r="Z161" s="105"/>
      <c r="AA161" s="104"/>
      <c r="AB161" s="105"/>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row>
    <row r="162" spans="1:86" x14ac:dyDescent="0.2">
      <c r="A162" s="104"/>
      <c r="B162" s="105"/>
      <c r="C162" s="104"/>
      <c r="D162" s="105"/>
      <c r="E162" s="105"/>
      <c r="F162" s="105"/>
      <c r="G162" s="105"/>
      <c r="H162" s="105"/>
      <c r="I162" s="105"/>
      <c r="J162" s="105"/>
      <c r="K162" s="105"/>
      <c r="L162" s="105"/>
      <c r="M162" s="105"/>
      <c r="N162" s="105"/>
      <c r="O162" s="105"/>
      <c r="P162" s="105"/>
      <c r="Q162" s="105"/>
      <c r="R162" s="105"/>
      <c r="S162" s="105"/>
      <c r="T162" s="105"/>
      <c r="U162" s="105"/>
      <c r="V162" s="105"/>
      <c r="W162" s="104"/>
      <c r="X162" s="213"/>
      <c r="Y162" s="105"/>
      <c r="Z162" s="105"/>
      <c r="AA162" s="104"/>
      <c r="AB162" s="105"/>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row>
    <row r="163" spans="1:86" x14ac:dyDescent="0.2">
      <c r="A163" s="104"/>
      <c r="B163" s="105"/>
      <c r="C163" s="104"/>
      <c r="D163" s="105"/>
      <c r="E163" s="105"/>
      <c r="F163" s="105"/>
      <c r="G163" s="105"/>
      <c r="H163" s="105"/>
      <c r="I163" s="105"/>
      <c r="J163" s="105"/>
      <c r="K163" s="105"/>
      <c r="L163" s="105"/>
      <c r="M163" s="105"/>
      <c r="N163" s="105"/>
      <c r="O163" s="105"/>
      <c r="P163" s="105"/>
      <c r="Q163" s="105"/>
      <c r="R163" s="105"/>
      <c r="S163" s="105"/>
      <c r="T163" s="105"/>
      <c r="U163" s="105"/>
      <c r="V163" s="105"/>
      <c r="W163" s="104"/>
      <c r="X163" s="213"/>
      <c r="Y163" s="105"/>
      <c r="Z163" s="105"/>
      <c r="AA163" s="104"/>
      <c r="AB163" s="105"/>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row>
    <row r="164" spans="1:86" x14ac:dyDescent="0.2">
      <c r="A164" s="104"/>
      <c r="B164" s="105"/>
      <c r="C164" s="104"/>
      <c r="D164" s="105"/>
      <c r="E164" s="105"/>
      <c r="F164" s="105"/>
      <c r="G164" s="105"/>
      <c r="H164" s="105"/>
      <c r="I164" s="105"/>
      <c r="J164" s="105"/>
      <c r="K164" s="105"/>
      <c r="L164" s="105"/>
      <c r="M164" s="105"/>
      <c r="N164" s="105"/>
      <c r="O164" s="105"/>
      <c r="P164" s="105"/>
      <c r="Q164" s="105"/>
      <c r="R164" s="105"/>
      <c r="S164" s="105"/>
      <c r="T164" s="105"/>
      <c r="U164" s="105"/>
      <c r="V164" s="105"/>
      <c r="W164" s="104"/>
      <c r="X164" s="213"/>
      <c r="Y164" s="105"/>
      <c r="Z164" s="105"/>
      <c r="AA164" s="104"/>
      <c r="AB164" s="105"/>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row>
    <row r="165" spans="1:86" x14ac:dyDescent="0.2">
      <c r="A165" s="104"/>
      <c r="B165" s="105"/>
      <c r="C165" s="104"/>
      <c r="D165" s="105"/>
      <c r="E165" s="105"/>
      <c r="F165" s="105"/>
      <c r="G165" s="105"/>
      <c r="H165" s="105"/>
      <c r="I165" s="105"/>
      <c r="J165" s="105"/>
      <c r="K165" s="105"/>
      <c r="L165" s="105"/>
      <c r="M165" s="105"/>
      <c r="N165" s="105"/>
      <c r="O165" s="105"/>
      <c r="P165" s="105"/>
      <c r="Q165" s="105"/>
      <c r="R165" s="105"/>
      <c r="S165" s="105"/>
      <c r="T165" s="105"/>
      <c r="U165" s="105"/>
      <c r="V165" s="105"/>
      <c r="W165" s="104"/>
      <c r="X165" s="213"/>
      <c r="Y165" s="105"/>
      <c r="Z165" s="105"/>
      <c r="AA165" s="105"/>
      <c r="AB165" s="105"/>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row>
    <row r="166" spans="1:86" x14ac:dyDescent="0.2">
      <c r="A166" s="104"/>
      <c r="B166" s="105"/>
      <c r="C166" s="104"/>
      <c r="D166" s="105"/>
      <c r="E166" s="105"/>
      <c r="F166" s="105"/>
      <c r="G166" s="105"/>
      <c r="H166" s="105"/>
      <c r="I166" s="105"/>
      <c r="J166" s="105"/>
      <c r="K166" s="105"/>
      <c r="L166" s="105"/>
      <c r="M166" s="105"/>
      <c r="N166" s="105"/>
      <c r="O166" s="105"/>
      <c r="P166" s="105"/>
      <c r="Q166" s="105"/>
      <c r="R166" s="105"/>
      <c r="S166" s="105"/>
      <c r="T166" s="105"/>
      <c r="U166" s="105"/>
      <c r="V166" s="105"/>
      <c r="W166" s="104"/>
      <c r="X166" s="213"/>
      <c r="Y166" s="105"/>
      <c r="Z166" s="105"/>
      <c r="AA166" s="105"/>
      <c r="AB166" s="105"/>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row>
    <row r="167" spans="1:86" x14ac:dyDescent="0.2">
      <c r="A167" s="104"/>
      <c r="B167" s="105"/>
      <c r="C167" s="104"/>
      <c r="D167" s="105"/>
      <c r="E167" s="105"/>
      <c r="F167" s="105"/>
      <c r="G167" s="105"/>
      <c r="H167" s="105"/>
      <c r="I167" s="105"/>
      <c r="J167" s="105"/>
      <c r="K167" s="105"/>
      <c r="L167" s="105"/>
      <c r="M167" s="105"/>
      <c r="N167" s="105"/>
      <c r="O167" s="105"/>
      <c r="P167" s="105"/>
      <c r="Q167" s="105"/>
      <c r="R167" s="105"/>
      <c r="S167" s="105"/>
      <c r="T167" s="105"/>
      <c r="U167" s="105"/>
      <c r="V167" s="105"/>
      <c r="W167" s="104"/>
      <c r="X167" s="213"/>
      <c r="Y167" s="105"/>
      <c r="Z167" s="105"/>
      <c r="AA167" s="105"/>
      <c r="AB167" s="105"/>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row>
    <row r="168" spans="1:86" x14ac:dyDescent="0.2">
      <c r="A168" s="104"/>
      <c r="B168" s="105"/>
      <c r="C168" s="104"/>
      <c r="D168" s="105"/>
      <c r="E168" s="105"/>
      <c r="F168" s="105"/>
      <c r="G168" s="105"/>
      <c r="H168" s="105"/>
      <c r="I168" s="105"/>
      <c r="J168" s="105"/>
      <c r="K168" s="105"/>
      <c r="L168" s="105"/>
      <c r="M168" s="105"/>
      <c r="N168" s="105"/>
      <c r="O168" s="105"/>
      <c r="P168" s="105"/>
      <c r="Q168" s="105"/>
      <c r="R168" s="105"/>
      <c r="S168" s="105"/>
      <c r="T168" s="105"/>
      <c r="U168" s="105"/>
      <c r="V168" s="105"/>
      <c r="W168" s="104"/>
      <c r="X168" s="213"/>
      <c r="Y168" s="105"/>
      <c r="Z168" s="105"/>
      <c r="AA168" s="105"/>
      <c r="AB168" s="105"/>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row>
    <row r="169" spans="1:86" x14ac:dyDescent="0.2">
      <c r="A169" s="104"/>
      <c r="B169" s="105"/>
      <c r="C169" s="104"/>
      <c r="D169" s="105"/>
      <c r="E169" s="105"/>
      <c r="F169" s="105"/>
      <c r="G169" s="105"/>
      <c r="H169" s="105"/>
      <c r="I169" s="105"/>
      <c r="J169" s="105"/>
      <c r="K169" s="105"/>
      <c r="L169" s="105"/>
      <c r="M169" s="105"/>
      <c r="N169" s="105"/>
      <c r="O169" s="105"/>
      <c r="P169" s="105"/>
      <c r="Q169" s="105"/>
      <c r="R169" s="105"/>
      <c r="S169" s="105"/>
      <c r="T169" s="105"/>
      <c r="U169" s="105"/>
      <c r="V169" s="105"/>
      <c r="W169" s="104"/>
      <c r="X169" s="213"/>
      <c r="Y169" s="105"/>
      <c r="Z169" s="105"/>
      <c r="AA169" s="105"/>
      <c r="AB169" s="104"/>
      <c r="AC169"/>
      <c r="AD169"/>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row>
    <row r="170" spans="1:86" x14ac:dyDescent="0.2">
      <c r="A170" s="104"/>
      <c r="B170" s="105"/>
      <c r="C170" s="104"/>
      <c r="D170" s="105"/>
      <c r="E170" s="105"/>
      <c r="F170" s="105"/>
      <c r="G170" s="105"/>
      <c r="H170" s="105"/>
      <c r="I170" s="105"/>
      <c r="J170" s="105"/>
      <c r="K170" s="105"/>
      <c r="L170" s="105"/>
      <c r="M170" s="105"/>
      <c r="N170" s="105"/>
      <c r="O170" s="105"/>
      <c r="P170" s="105"/>
      <c r="Q170" s="105"/>
      <c r="R170" s="105"/>
      <c r="S170" s="105"/>
      <c r="T170" s="105"/>
      <c r="U170" s="105"/>
      <c r="V170" s="105"/>
      <c r="W170" s="104"/>
      <c r="X170" s="213"/>
      <c r="Y170" s="105"/>
      <c r="Z170" s="105"/>
      <c r="AA170" s="105"/>
      <c r="AB170" s="104"/>
      <c r="AC170"/>
      <c r="AD170"/>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row>
    <row r="171" spans="1:86" x14ac:dyDescent="0.2">
      <c r="A171" s="104"/>
      <c r="B171" s="105"/>
      <c r="C171" s="104"/>
      <c r="D171" s="105"/>
      <c r="E171" s="105"/>
      <c r="F171" s="105"/>
      <c r="G171" s="105"/>
      <c r="H171" s="105"/>
      <c r="I171" s="105"/>
      <c r="J171" s="105"/>
      <c r="K171" s="105"/>
      <c r="L171" s="105"/>
      <c r="M171" s="105"/>
      <c r="N171" s="105"/>
      <c r="O171" s="105"/>
      <c r="P171" s="105"/>
      <c r="Q171" s="105"/>
      <c r="R171" s="105"/>
      <c r="S171" s="105"/>
      <c r="T171" s="105"/>
      <c r="U171" s="105"/>
      <c r="V171" s="105"/>
      <c r="W171" s="104"/>
      <c r="X171" s="213"/>
      <c r="Y171" s="105"/>
      <c r="Z171" s="105"/>
      <c r="AA171" s="105"/>
      <c r="AB171" s="104"/>
      <c r="AC171"/>
      <c r="AD171"/>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row>
    <row r="172" spans="1:86" x14ac:dyDescent="0.2">
      <c r="A172" s="104"/>
      <c r="B172" s="105"/>
      <c r="C172" s="104"/>
      <c r="D172" s="105"/>
      <c r="E172" s="105"/>
      <c r="F172" s="105"/>
      <c r="G172" s="105"/>
      <c r="H172" s="105"/>
      <c r="I172" s="105"/>
      <c r="J172" s="105"/>
      <c r="K172" s="105"/>
      <c r="L172" s="105"/>
      <c r="M172" s="105"/>
      <c r="N172" s="105"/>
      <c r="O172" s="105"/>
      <c r="P172" s="105"/>
      <c r="Q172" s="105"/>
      <c r="R172" s="105"/>
      <c r="S172" s="105"/>
      <c r="T172" s="105"/>
      <c r="U172" s="105"/>
      <c r="V172" s="105"/>
      <c r="W172" s="104"/>
      <c r="X172" s="213"/>
      <c r="Y172" s="105"/>
      <c r="Z172" s="105"/>
      <c r="AA172" s="105"/>
      <c r="AB172" s="104"/>
      <c r="AC172"/>
      <c r="AD172"/>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row>
    <row r="173" spans="1:86" x14ac:dyDescent="0.2">
      <c r="A173" s="104"/>
      <c r="B173" s="105"/>
      <c r="C173" s="104"/>
      <c r="D173" s="105"/>
      <c r="E173" s="105"/>
      <c r="F173" s="105"/>
      <c r="G173" s="105"/>
      <c r="H173" s="105"/>
      <c r="I173" s="105"/>
      <c r="J173" s="105"/>
      <c r="K173" s="105"/>
      <c r="L173" s="105"/>
      <c r="M173" s="105"/>
      <c r="N173" s="105"/>
      <c r="O173" s="105"/>
      <c r="P173" s="105"/>
      <c r="Q173" s="105"/>
      <c r="R173" s="105"/>
      <c r="S173" s="105"/>
      <c r="T173" s="105"/>
      <c r="U173" s="105"/>
      <c r="V173" s="105"/>
      <c r="W173" s="104"/>
      <c r="X173" s="213"/>
      <c r="Y173" s="105"/>
      <c r="Z173" s="105"/>
      <c r="AA173" s="105"/>
      <c r="AB173" s="104"/>
      <c r="AC173"/>
      <c r="AD173"/>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row>
    <row r="174" spans="1:86" x14ac:dyDescent="0.2">
      <c r="A174" s="104"/>
      <c r="B174" s="105"/>
      <c r="C174" s="104"/>
      <c r="D174" s="105"/>
      <c r="E174" s="105"/>
      <c r="F174" s="105"/>
      <c r="G174" s="105"/>
      <c r="H174" s="105"/>
      <c r="I174" s="105"/>
      <c r="J174" s="105"/>
      <c r="K174" s="105"/>
      <c r="L174" s="105"/>
      <c r="M174" s="105"/>
      <c r="N174" s="105"/>
      <c r="O174" s="105"/>
      <c r="P174" s="105"/>
      <c r="Q174" s="105"/>
      <c r="R174" s="105"/>
      <c r="S174" s="105"/>
      <c r="T174" s="105"/>
      <c r="U174" s="105"/>
      <c r="V174" s="105"/>
      <c r="W174" s="104"/>
      <c r="X174" s="213"/>
      <c r="Y174" s="105"/>
      <c r="Z174" s="105"/>
      <c r="AA174" s="105"/>
      <c r="AB174" s="104"/>
      <c r="AC174"/>
      <c r="AD17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row>
    <row r="175" spans="1:86" x14ac:dyDescent="0.2">
      <c r="A175" s="104"/>
      <c r="B175" s="105"/>
      <c r="C175" s="104"/>
      <c r="D175" s="105"/>
      <c r="E175" s="105"/>
      <c r="F175" s="105"/>
      <c r="G175" s="105"/>
      <c r="H175" s="105"/>
      <c r="I175" s="105"/>
      <c r="J175" s="105"/>
      <c r="K175" s="105"/>
      <c r="L175" s="105"/>
      <c r="M175" s="105"/>
      <c r="N175" s="105"/>
      <c r="O175" s="105"/>
      <c r="P175" s="105"/>
      <c r="Q175" s="105"/>
      <c r="R175" s="105"/>
      <c r="S175" s="105"/>
      <c r="T175" s="105"/>
      <c r="U175" s="105"/>
      <c r="V175" s="105"/>
      <c r="W175" s="104"/>
      <c r="X175" s="213"/>
      <c r="Y175" s="105"/>
      <c r="Z175" s="105"/>
      <c r="AA175" s="105"/>
      <c r="AB175" s="104"/>
      <c r="AC175"/>
      <c r="AD175"/>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row>
    <row r="176" spans="1:86" x14ac:dyDescent="0.2">
      <c r="A176" s="104"/>
      <c r="B176" s="105"/>
      <c r="C176" s="104"/>
      <c r="D176" s="105"/>
      <c r="E176" s="105"/>
      <c r="F176" s="105"/>
      <c r="G176" s="105"/>
      <c r="H176" s="105"/>
      <c r="I176" s="105"/>
      <c r="J176" s="105"/>
      <c r="K176" s="105"/>
      <c r="L176" s="105"/>
      <c r="M176" s="105"/>
      <c r="N176" s="105"/>
      <c r="O176" s="105"/>
      <c r="P176" s="105"/>
      <c r="Q176" s="105"/>
      <c r="R176" s="105"/>
      <c r="S176" s="105"/>
      <c r="T176" s="105"/>
      <c r="U176" s="105"/>
      <c r="V176" s="105"/>
      <c r="W176" s="104"/>
      <c r="X176" s="213"/>
      <c r="Y176" s="105"/>
      <c r="Z176" s="105"/>
      <c r="AA176" s="105"/>
      <c r="AB176" s="104"/>
      <c r="AC176"/>
      <c r="AD176"/>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row>
    <row r="177" spans="1:86" x14ac:dyDescent="0.2">
      <c r="A177" s="104"/>
      <c r="B177" s="105"/>
      <c r="C177" s="104"/>
      <c r="D177" s="105"/>
      <c r="E177" s="105"/>
      <c r="F177" s="105"/>
      <c r="G177" s="105"/>
      <c r="H177" s="105"/>
      <c r="I177" s="105"/>
      <c r="J177" s="105"/>
      <c r="K177" s="105"/>
      <c r="L177" s="105"/>
      <c r="M177" s="105"/>
      <c r="N177" s="105"/>
      <c r="O177" s="105"/>
      <c r="P177" s="105"/>
      <c r="Q177" s="105"/>
      <c r="R177" s="105"/>
      <c r="S177" s="105"/>
      <c r="T177" s="105"/>
      <c r="U177" s="105"/>
      <c r="V177" s="105"/>
      <c r="W177" s="104"/>
      <c r="X177" s="213"/>
      <c r="Y177" s="105"/>
      <c r="Z177" s="105"/>
      <c r="AA177" s="105"/>
      <c r="AB177" s="104"/>
      <c r="AC177"/>
      <c r="AD177"/>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row>
    <row r="178" spans="1:86" x14ac:dyDescent="0.2">
      <c r="A178" s="104"/>
      <c r="B178" s="105"/>
      <c r="C178" s="104"/>
      <c r="D178" s="105"/>
      <c r="E178" s="105"/>
      <c r="F178" s="105"/>
      <c r="G178" s="105"/>
      <c r="H178" s="105"/>
      <c r="I178" s="105"/>
      <c r="J178" s="105"/>
      <c r="K178" s="105"/>
      <c r="L178" s="105"/>
      <c r="M178" s="105"/>
      <c r="N178" s="105"/>
      <c r="O178" s="105"/>
      <c r="P178" s="105"/>
      <c r="Q178" s="105"/>
      <c r="R178" s="105"/>
      <c r="S178" s="105"/>
      <c r="T178" s="105"/>
      <c r="U178" s="105"/>
      <c r="V178" s="105"/>
      <c r="W178" s="104"/>
      <c r="X178" s="213"/>
      <c r="Y178" s="105"/>
      <c r="Z178" s="105"/>
      <c r="AA178" s="105"/>
      <c r="AB178" s="104"/>
      <c r="AC178"/>
      <c r="AD178"/>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row>
    <row r="179" spans="1:86" x14ac:dyDescent="0.2">
      <c r="A179" s="104"/>
      <c r="B179" s="105"/>
      <c r="C179" s="104"/>
      <c r="D179" s="105"/>
      <c r="E179" s="105"/>
      <c r="F179" s="105"/>
      <c r="G179" s="105"/>
      <c r="H179" s="105"/>
      <c r="I179" s="105"/>
      <c r="J179" s="105"/>
      <c r="K179" s="105"/>
      <c r="L179" s="105"/>
      <c r="M179" s="105"/>
      <c r="N179" s="105"/>
      <c r="O179" s="105"/>
      <c r="P179" s="105"/>
      <c r="Q179" s="105"/>
      <c r="R179" s="105"/>
      <c r="S179" s="105"/>
      <c r="T179" s="105"/>
      <c r="U179" s="105"/>
      <c r="V179" s="105"/>
      <c r="W179" s="104"/>
      <c r="X179" s="213"/>
      <c r="Y179" s="105"/>
      <c r="Z179" s="105"/>
      <c r="AA179" s="105"/>
      <c r="AB179" s="104"/>
      <c r="AC179"/>
      <c r="AD179"/>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row>
    <row r="180" spans="1:86" x14ac:dyDescent="0.2">
      <c r="A180" s="104"/>
      <c r="B180" s="105"/>
      <c r="C180" s="104"/>
      <c r="D180" s="105"/>
      <c r="E180" s="105"/>
      <c r="F180" s="105"/>
      <c r="G180" s="105"/>
      <c r="H180" s="105"/>
      <c r="I180" s="105"/>
      <c r="J180" s="105"/>
      <c r="K180" s="105"/>
      <c r="L180" s="105"/>
      <c r="M180" s="105"/>
      <c r="N180" s="105"/>
      <c r="O180" s="105"/>
      <c r="P180" s="105"/>
      <c r="Q180" s="105"/>
      <c r="R180" s="105"/>
      <c r="S180" s="105"/>
      <c r="T180" s="105"/>
      <c r="U180" s="105"/>
      <c r="V180" s="105"/>
      <c r="W180" s="104"/>
      <c r="X180" s="213"/>
      <c r="Y180" s="105"/>
      <c r="Z180" s="105"/>
      <c r="AA180" s="105"/>
      <c r="AB180" s="104"/>
      <c r="AC180"/>
      <c r="AD180"/>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row>
    <row r="181" spans="1:86" x14ac:dyDescent="0.2">
      <c r="A181" s="104"/>
      <c r="B181" s="105"/>
      <c r="C181" s="104"/>
      <c r="D181" s="105"/>
      <c r="E181" s="105"/>
      <c r="F181" s="105"/>
      <c r="G181" s="105"/>
      <c r="H181" s="105"/>
      <c r="I181" s="105"/>
      <c r="J181" s="105"/>
      <c r="K181" s="105"/>
      <c r="L181" s="105"/>
      <c r="M181" s="105"/>
      <c r="N181" s="105"/>
      <c r="O181" s="105"/>
      <c r="P181" s="105"/>
      <c r="Q181" s="105"/>
      <c r="R181" s="105"/>
      <c r="S181" s="105"/>
      <c r="T181" s="105"/>
      <c r="U181" s="105"/>
      <c r="V181" s="105"/>
      <c r="W181" s="104"/>
      <c r="X181" s="213"/>
      <c r="Y181" s="105"/>
      <c r="Z181" s="105"/>
      <c r="AA181" s="105"/>
      <c r="AB181" s="104"/>
      <c r="AC181"/>
      <c r="AD181"/>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row>
    <row r="182" spans="1:86" x14ac:dyDescent="0.2">
      <c r="A182" s="104"/>
      <c r="B182" s="105"/>
      <c r="C182" s="104"/>
      <c r="D182" s="105"/>
      <c r="E182" s="105"/>
      <c r="F182" s="105"/>
      <c r="G182" s="105"/>
      <c r="H182" s="105"/>
      <c r="I182" s="105"/>
      <c r="J182" s="105"/>
      <c r="K182" s="105"/>
      <c r="L182" s="105"/>
      <c r="M182" s="105"/>
      <c r="N182" s="105"/>
      <c r="O182" s="105"/>
      <c r="P182" s="105"/>
      <c r="Q182" s="105"/>
      <c r="R182" s="105"/>
      <c r="S182" s="105"/>
      <c r="T182" s="105"/>
      <c r="U182" s="105"/>
      <c r="V182" s="105"/>
      <c r="W182" s="104"/>
      <c r="X182" s="213"/>
      <c r="Y182" s="105"/>
      <c r="Z182" s="105"/>
      <c r="AA182" s="105"/>
      <c r="AB182" s="104"/>
      <c r="AC182"/>
      <c r="AD182"/>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row>
    <row r="183" spans="1:86" x14ac:dyDescent="0.2">
      <c r="A183" s="104"/>
      <c r="B183" s="105"/>
      <c r="C183" s="104"/>
      <c r="D183" s="105"/>
      <c r="E183" s="105"/>
      <c r="F183" s="105"/>
      <c r="G183" s="105"/>
      <c r="H183" s="105"/>
      <c r="I183" s="105"/>
      <c r="J183" s="105"/>
      <c r="K183" s="105"/>
      <c r="L183" s="105"/>
      <c r="M183" s="105"/>
      <c r="N183" s="105"/>
      <c r="O183" s="105"/>
      <c r="P183" s="105"/>
      <c r="Q183" s="105"/>
      <c r="R183" s="105"/>
      <c r="S183" s="105"/>
      <c r="T183" s="105"/>
      <c r="U183" s="105"/>
      <c r="V183" s="105"/>
      <c r="W183" s="104"/>
      <c r="X183" s="213"/>
      <c r="Y183" s="105"/>
      <c r="Z183" s="105"/>
      <c r="AA183" s="105"/>
      <c r="AB183" s="104"/>
      <c r="AC183"/>
      <c r="AD183"/>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row>
    <row r="184" spans="1:86" x14ac:dyDescent="0.2">
      <c r="A184" s="104"/>
      <c r="B184" s="105"/>
      <c r="C184" s="104"/>
      <c r="D184" s="105"/>
      <c r="E184" s="105"/>
      <c r="F184" s="105"/>
      <c r="G184" s="105"/>
      <c r="H184" s="105"/>
      <c r="I184" s="105"/>
      <c r="J184" s="105"/>
      <c r="K184" s="105"/>
      <c r="L184" s="105"/>
      <c r="M184" s="105"/>
      <c r="N184" s="105"/>
      <c r="O184" s="105"/>
      <c r="P184" s="105"/>
      <c r="Q184" s="105"/>
      <c r="R184" s="105"/>
      <c r="S184" s="105"/>
      <c r="T184" s="105"/>
      <c r="U184" s="105"/>
      <c r="V184" s="105"/>
      <c r="W184" s="104"/>
      <c r="X184" s="213"/>
      <c r="Y184" s="105"/>
      <c r="Z184" s="105"/>
      <c r="AA184" s="105"/>
      <c r="AB184" s="104"/>
      <c r="AC184" s="104"/>
      <c r="AD184" s="10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row>
    <row r="185" spans="1:86" x14ac:dyDescent="0.2">
      <c r="A185" s="104"/>
      <c r="B185" s="105"/>
      <c r="C185" s="104"/>
      <c r="D185" s="105"/>
      <c r="E185" s="105"/>
      <c r="F185" s="105"/>
      <c r="G185" s="105"/>
      <c r="H185" s="105"/>
      <c r="I185" s="105"/>
      <c r="J185" s="105"/>
      <c r="K185" s="105"/>
      <c r="L185" s="105"/>
      <c r="M185" s="105"/>
      <c r="N185" s="105"/>
      <c r="O185" s="105"/>
      <c r="P185" s="105"/>
      <c r="Q185" s="105"/>
      <c r="R185" s="105"/>
      <c r="S185" s="105"/>
      <c r="T185" s="105"/>
      <c r="U185" s="105"/>
      <c r="V185" s="105"/>
      <c r="W185" s="104"/>
      <c r="X185" s="213"/>
      <c r="Y185" s="105"/>
      <c r="Z185" s="105"/>
      <c r="AA185" s="105"/>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row>
    <row r="186" spans="1:86" x14ac:dyDescent="0.2">
      <c r="A186" s="104"/>
      <c r="B186" s="105"/>
      <c r="C186" s="104"/>
      <c r="D186" s="105"/>
      <c r="E186" s="105"/>
      <c r="F186" s="105"/>
      <c r="G186" s="105"/>
      <c r="H186" s="105"/>
      <c r="I186" s="105"/>
      <c r="J186" s="105"/>
      <c r="K186" s="105"/>
      <c r="L186" s="105"/>
      <c r="M186" s="105"/>
      <c r="N186" s="105"/>
      <c r="O186" s="105"/>
      <c r="P186" s="105"/>
      <c r="Q186" s="105"/>
      <c r="R186" s="105"/>
      <c r="S186" s="105"/>
      <c r="T186" s="105"/>
      <c r="U186" s="105"/>
      <c r="V186" s="105"/>
      <c r="W186" s="104"/>
      <c r="X186" s="213"/>
      <c r="Y186" s="105"/>
      <c r="Z186" s="105"/>
      <c r="AA186" s="105"/>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row>
    <row r="187" spans="1:86" x14ac:dyDescent="0.2">
      <c r="A187" s="104"/>
      <c r="B187" s="105"/>
      <c r="C187" s="104"/>
      <c r="D187" s="105"/>
      <c r="E187" s="105"/>
      <c r="F187" s="105"/>
      <c r="G187" s="105"/>
      <c r="H187" s="105"/>
      <c r="I187" s="105"/>
      <c r="J187" s="105"/>
      <c r="K187" s="105"/>
      <c r="L187" s="105"/>
      <c r="M187" s="105"/>
      <c r="N187" s="105"/>
      <c r="O187" s="105"/>
      <c r="P187" s="105"/>
      <c r="Q187" s="105"/>
      <c r="R187" s="105"/>
      <c r="S187" s="105"/>
      <c r="T187" s="105"/>
      <c r="U187" s="105"/>
      <c r="V187" s="105"/>
      <c r="W187" s="104"/>
      <c r="X187" s="213"/>
      <c r="Y187" s="105"/>
      <c r="Z187" s="105"/>
      <c r="AA187" s="105"/>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row>
    <row r="188" spans="1:86" x14ac:dyDescent="0.2">
      <c r="A188" s="104"/>
      <c r="B188" s="105"/>
      <c r="C188" s="104"/>
      <c r="D188" s="105"/>
      <c r="E188" s="105"/>
      <c r="F188" s="105"/>
      <c r="G188" s="105"/>
      <c r="H188" s="105"/>
      <c r="I188" s="105"/>
      <c r="J188" s="105"/>
      <c r="K188" s="105"/>
      <c r="L188" s="105"/>
      <c r="M188" s="105"/>
      <c r="N188" s="105"/>
      <c r="O188" s="105"/>
      <c r="P188" s="105"/>
      <c r="Q188" s="105"/>
      <c r="R188" s="105"/>
      <c r="S188" s="105"/>
      <c r="T188" s="105"/>
      <c r="U188" s="105"/>
      <c r="V188" s="105"/>
      <c r="W188" s="104"/>
      <c r="X188" s="213"/>
      <c r="Y188" s="105"/>
      <c r="Z188" s="105"/>
      <c r="AA188" s="105"/>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row>
    <row r="189" spans="1:86" x14ac:dyDescent="0.2">
      <c r="A189" s="104"/>
      <c r="B189" s="105"/>
      <c r="C189" s="104"/>
      <c r="D189" s="105"/>
      <c r="E189" s="105"/>
      <c r="F189" s="105"/>
      <c r="G189" s="105"/>
      <c r="H189" s="105"/>
      <c r="I189" s="105"/>
      <c r="J189" s="105"/>
      <c r="K189" s="105"/>
      <c r="L189" s="105"/>
      <c r="M189" s="105"/>
      <c r="N189" s="105"/>
      <c r="O189" s="105"/>
      <c r="P189" s="105"/>
      <c r="Q189" s="105"/>
      <c r="R189" s="105"/>
      <c r="S189" s="105"/>
      <c r="T189" s="105"/>
      <c r="U189" s="105"/>
      <c r="V189" s="105"/>
      <c r="W189" s="104"/>
      <c r="X189" s="213"/>
      <c r="Y189" s="105"/>
      <c r="Z189" s="105"/>
      <c r="AA189" s="105"/>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row>
    <row r="190" spans="1:86" x14ac:dyDescent="0.2">
      <c r="A190" s="104"/>
      <c r="B190" s="105"/>
      <c r="C190" s="104"/>
      <c r="D190" s="105"/>
      <c r="E190" s="105"/>
      <c r="F190" s="105"/>
      <c r="G190" s="105"/>
      <c r="H190" s="105"/>
      <c r="I190" s="105"/>
      <c r="J190" s="105"/>
      <c r="K190" s="105"/>
      <c r="L190" s="105"/>
      <c r="M190" s="105"/>
      <c r="N190" s="105"/>
      <c r="O190" s="105"/>
      <c r="P190" s="105"/>
      <c r="Q190" s="105"/>
      <c r="R190" s="105"/>
      <c r="S190" s="105"/>
      <c r="T190" s="105"/>
      <c r="U190" s="105"/>
      <c r="V190" s="105"/>
      <c r="W190" s="104"/>
      <c r="X190" s="213"/>
      <c r="Y190" s="105"/>
      <c r="Z190" s="105"/>
      <c r="AA190" s="105"/>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row>
    <row r="191" spans="1:86" x14ac:dyDescent="0.2">
      <c r="A191" s="104"/>
      <c r="B191" s="105"/>
      <c r="C191" s="104"/>
      <c r="D191" s="105"/>
      <c r="E191" s="105"/>
      <c r="F191" s="105"/>
      <c r="G191" s="105"/>
      <c r="H191" s="105"/>
      <c r="I191" s="105"/>
      <c r="J191" s="105"/>
      <c r="K191" s="105"/>
      <c r="L191" s="105"/>
      <c r="M191" s="105"/>
      <c r="N191" s="105"/>
      <c r="O191" s="105"/>
      <c r="P191" s="105"/>
      <c r="Q191" s="105"/>
      <c r="R191" s="105"/>
      <c r="S191" s="105"/>
      <c r="T191" s="105"/>
      <c r="U191" s="105"/>
      <c r="V191" s="105"/>
      <c r="W191" s="104"/>
      <c r="X191" s="213"/>
      <c r="Y191" s="105"/>
      <c r="Z191" s="105"/>
      <c r="AA191" s="105"/>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row>
    <row r="192" spans="1:86" x14ac:dyDescent="0.2">
      <c r="A192" s="104"/>
      <c r="B192" s="105"/>
      <c r="C192" s="104"/>
      <c r="D192" s="105"/>
      <c r="E192" s="105"/>
      <c r="F192" s="105"/>
      <c r="G192" s="105"/>
      <c r="H192" s="105"/>
      <c r="I192" s="105"/>
      <c r="J192" s="105"/>
      <c r="K192" s="105"/>
      <c r="L192" s="105"/>
      <c r="M192" s="105"/>
      <c r="N192" s="105"/>
      <c r="O192" s="105"/>
      <c r="P192" s="105"/>
      <c r="Q192" s="105"/>
      <c r="R192" s="105"/>
      <c r="S192" s="105"/>
      <c r="T192" s="105"/>
      <c r="U192" s="105"/>
      <c r="V192" s="105"/>
      <c r="W192" s="104"/>
      <c r="X192" s="213"/>
      <c r="Y192" s="105"/>
      <c r="Z192" s="105"/>
      <c r="AA192" s="105"/>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row>
    <row r="193" spans="1:86" x14ac:dyDescent="0.2">
      <c r="A193" s="104"/>
      <c r="B193" s="105"/>
      <c r="C193" s="104"/>
      <c r="D193" s="105"/>
      <c r="E193" s="105"/>
      <c r="F193" s="105"/>
      <c r="G193" s="105"/>
      <c r="H193" s="105"/>
      <c r="I193" s="105"/>
      <c r="J193" s="105"/>
      <c r="K193" s="105"/>
      <c r="L193" s="105"/>
      <c r="M193" s="105"/>
      <c r="N193" s="105"/>
      <c r="O193" s="105"/>
      <c r="P193" s="105"/>
      <c r="Q193" s="105"/>
      <c r="R193" s="105"/>
      <c r="S193" s="105"/>
      <c r="T193" s="105"/>
      <c r="U193" s="105"/>
      <c r="V193" s="105"/>
      <c r="W193" s="104"/>
      <c r="X193" s="213"/>
      <c r="Y193" s="105"/>
      <c r="Z193" s="105"/>
      <c r="AA193" s="105"/>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row>
    <row r="194" spans="1:86" x14ac:dyDescent="0.2">
      <c r="A194" s="104"/>
      <c r="B194" s="105"/>
      <c r="C194" s="104"/>
      <c r="D194" s="105"/>
      <c r="E194" s="105"/>
      <c r="F194" s="105"/>
      <c r="G194" s="105"/>
      <c r="H194" s="105"/>
      <c r="I194" s="105"/>
      <c r="J194" s="105"/>
      <c r="K194" s="105"/>
      <c r="L194" s="105"/>
      <c r="M194" s="105"/>
      <c r="N194" s="105"/>
      <c r="O194" s="105"/>
      <c r="P194" s="105"/>
      <c r="Q194" s="105"/>
      <c r="R194" s="105"/>
      <c r="S194" s="105"/>
      <c r="T194" s="105"/>
      <c r="U194" s="105"/>
      <c r="V194" s="105"/>
      <c r="W194" s="104"/>
      <c r="X194" s="213"/>
      <c r="Y194" s="105"/>
      <c r="Z194" s="105"/>
      <c r="AA194" s="105"/>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row>
    <row r="195" spans="1:86" x14ac:dyDescent="0.2">
      <c r="A195" s="104"/>
      <c r="B195" s="105"/>
      <c r="C195" s="104"/>
      <c r="D195" s="105"/>
      <c r="E195" s="105"/>
      <c r="F195" s="105"/>
      <c r="G195" s="105"/>
      <c r="H195" s="105"/>
      <c r="I195" s="105"/>
      <c r="J195" s="105"/>
      <c r="K195" s="105"/>
      <c r="L195" s="105"/>
      <c r="M195" s="105"/>
      <c r="N195" s="105"/>
      <c r="O195" s="105"/>
      <c r="P195" s="105"/>
      <c r="Q195" s="105"/>
      <c r="R195" s="105"/>
      <c r="S195" s="105"/>
      <c r="T195" s="105"/>
      <c r="U195" s="105"/>
      <c r="V195" s="105"/>
      <c r="W195" s="104"/>
      <c r="X195" s="213"/>
      <c r="Y195" s="105"/>
      <c r="Z195" s="105"/>
      <c r="AA195" s="105"/>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row>
    <row r="196" spans="1:86" x14ac:dyDescent="0.2">
      <c r="A196" s="104"/>
      <c r="B196" s="105"/>
      <c r="C196" s="104"/>
      <c r="D196" s="105"/>
      <c r="E196" s="105"/>
      <c r="F196" s="105"/>
      <c r="G196" s="105"/>
      <c r="H196" s="105"/>
      <c r="I196" s="105"/>
      <c r="J196" s="105"/>
      <c r="K196" s="105"/>
      <c r="L196" s="105"/>
      <c r="M196" s="105"/>
      <c r="N196" s="105"/>
      <c r="O196" s="105"/>
      <c r="P196" s="105"/>
      <c r="Q196" s="105"/>
      <c r="R196" s="105"/>
      <c r="S196" s="105"/>
      <c r="T196" s="105"/>
      <c r="U196" s="105"/>
      <c r="V196" s="105"/>
      <c r="W196" s="104"/>
      <c r="X196" s="213"/>
      <c r="Y196" s="105"/>
      <c r="Z196" s="105"/>
      <c r="AA196" s="105"/>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row>
    <row r="197" spans="1:86" x14ac:dyDescent="0.2">
      <c r="A197" s="104"/>
      <c r="B197" s="105"/>
      <c r="C197" s="104"/>
      <c r="D197" s="105"/>
      <c r="E197" s="105"/>
      <c r="F197" s="105"/>
      <c r="G197" s="105"/>
      <c r="H197" s="105"/>
      <c r="I197" s="105"/>
      <c r="J197" s="105"/>
      <c r="K197" s="105"/>
      <c r="L197" s="105"/>
      <c r="M197" s="105"/>
      <c r="N197" s="105"/>
      <c r="O197" s="105"/>
      <c r="P197" s="105"/>
      <c r="Q197" s="105"/>
      <c r="R197" s="105"/>
      <c r="S197" s="105"/>
      <c r="T197" s="105"/>
      <c r="U197" s="105"/>
      <c r="V197" s="105"/>
      <c r="W197" s="104"/>
      <c r="X197" s="213"/>
      <c r="Y197" s="105"/>
      <c r="Z197" s="105"/>
      <c r="AA197" s="105"/>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row>
    <row r="198" spans="1:86" x14ac:dyDescent="0.2">
      <c r="A198" s="104"/>
      <c r="B198" s="105"/>
      <c r="C198" s="104"/>
      <c r="D198" s="105"/>
      <c r="E198" s="105"/>
      <c r="F198" s="105"/>
      <c r="G198" s="105"/>
      <c r="H198" s="105"/>
      <c r="I198" s="105"/>
      <c r="J198" s="105"/>
      <c r="K198" s="105"/>
      <c r="L198" s="105"/>
      <c r="M198" s="105"/>
      <c r="N198" s="105"/>
      <c r="O198" s="105"/>
      <c r="P198" s="105"/>
      <c r="Q198" s="105"/>
      <c r="R198" s="105"/>
      <c r="S198" s="105"/>
      <c r="T198" s="105"/>
      <c r="U198" s="105"/>
      <c r="V198" s="105"/>
      <c r="W198" s="104"/>
      <c r="X198" s="213"/>
      <c r="Y198" s="105"/>
      <c r="Z198" s="105"/>
      <c r="AA198" s="105"/>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row>
    <row r="199" spans="1:86" x14ac:dyDescent="0.2">
      <c r="A199" s="104"/>
      <c r="B199" s="105"/>
      <c r="C199" s="104"/>
      <c r="D199" s="105"/>
      <c r="E199" s="105"/>
      <c r="F199" s="105"/>
      <c r="G199" s="105"/>
      <c r="H199" s="105"/>
      <c r="I199" s="105"/>
      <c r="J199" s="105"/>
      <c r="K199" s="105"/>
      <c r="L199" s="105"/>
      <c r="M199" s="105"/>
      <c r="N199" s="105"/>
      <c r="O199" s="105"/>
      <c r="P199" s="105"/>
      <c r="Q199" s="105"/>
      <c r="R199" s="105"/>
      <c r="S199" s="105"/>
      <c r="T199" s="105"/>
      <c r="U199" s="105"/>
      <c r="V199" s="105"/>
      <c r="W199" s="104"/>
      <c r="X199" s="213"/>
      <c r="Y199" s="105"/>
      <c r="Z199" s="105"/>
      <c r="AA199" s="105"/>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row>
    <row r="200" spans="1:86" x14ac:dyDescent="0.2">
      <c r="A200" s="104"/>
      <c r="B200" s="105"/>
      <c r="C200" s="104"/>
      <c r="D200" s="105"/>
      <c r="E200" s="105"/>
      <c r="F200" s="105"/>
      <c r="G200" s="105"/>
      <c r="H200" s="105"/>
      <c r="I200" s="105"/>
      <c r="J200" s="105"/>
      <c r="K200" s="105"/>
      <c r="L200" s="105"/>
      <c r="M200" s="105"/>
      <c r="N200" s="105"/>
      <c r="O200" s="105"/>
      <c r="P200" s="105"/>
      <c r="Q200" s="105"/>
      <c r="R200" s="105"/>
      <c r="S200" s="105"/>
      <c r="T200" s="105"/>
      <c r="U200" s="105"/>
      <c r="V200" s="105"/>
      <c r="W200" s="104"/>
      <c r="X200" s="213"/>
      <c r="Y200" s="105"/>
      <c r="Z200" s="105"/>
      <c r="AA200" s="105"/>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row>
    <row r="201" spans="1:86" x14ac:dyDescent="0.2">
      <c r="A201" s="104"/>
      <c r="B201" s="105"/>
      <c r="C201" s="104"/>
      <c r="D201" s="105"/>
      <c r="E201" s="105"/>
      <c r="F201" s="105"/>
      <c r="G201" s="105"/>
      <c r="H201" s="105"/>
      <c r="I201" s="105"/>
      <c r="J201" s="105"/>
      <c r="K201" s="105"/>
      <c r="L201" s="105"/>
      <c r="M201" s="105"/>
      <c r="N201" s="105"/>
      <c r="O201" s="105"/>
      <c r="P201" s="105"/>
      <c r="Q201" s="105"/>
      <c r="R201" s="105"/>
      <c r="S201" s="105"/>
      <c r="T201" s="105"/>
      <c r="U201" s="105"/>
      <c r="V201" s="105"/>
      <c r="W201" s="104"/>
      <c r="X201" s="213"/>
      <c r="Y201" s="105"/>
      <c r="Z201" s="105"/>
      <c r="AA201" s="105"/>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row>
    <row r="202" spans="1:86" x14ac:dyDescent="0.2">
      <c r="A202" s="104"/>
      <c r="B202" s="105"/>
      <c r="C202" s="104"/>
      <c r="D202" s="105"/>
      <c r="E202" s="105"/>
      <c r="F202" s="105"/>
      <c r="G202" s="105"/>
      <c r="H202" s="105"/>
      <c r="I202" s="105"/>
      <c r="J202" s="105"/>
      <c r="K202" s="105"/>
      <c r="L202" s="105"/>
      <c r="M202" s="105"/>
      <c r="N202" s="105"/>
      <c r="O202" s="105"/>
      <c r="P202" s="105"/>
      <c r="Q202" s="105"/>
      <c r="R202" s="105"/>
      <c r="S202" s="105"/>
      <c r="T202" s="105"/>
      <c r="U202" s="105"/>
      <c r="V202" s="105"/>
      <c r="W202" s="104"/>
      <c r="X202" s="213"/>
      <c r="Y202" s="105"/>
      <c r="Z202" s="105"/>
      <c r="AA202" s="105"/>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row>
    <row r="203" spans="1:86" x14ac:dyDescent="0.2">
      <c r="A203" s="104"/>
      <c r="B203" s="105"/>
      <c r="C203" s="104"/>
      <c r="D203" s="105"/>
      <c r="E203" s="105"/>
      <c r="F203" s="105"/>
      <c r="G203" s="105"/>
      <c r="H203" s="105"/>
      <c r="I203" s="105"/>
      <c r="J203" s="105"/>
      <c r="K203" s="105"/>
      <c r="L203" s="105"/>
      <c r="M203" s="105"/>
      <c r="N203" s="105"/>
      <c r="O203" s="105"/>
      <c r="P203" s="105"/>
      <c r="Q203" s="105"/>
      <c r="R203" s="105"/>
      <c r="S203" s="105"/>
      <c r="T203" s="105"/>
      <c r="U203" s="105"/>
      <c r="V203" s="105"/>
      <c r="W203" s="104"/>
      <c r="X203" s="213"/>
      <c r="Y203" s="105"/>
      <c r="Z203" s="105"/>
      <c r="AA203" s="105"/>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row>
    <row r="204" spans="1:86" x14ac:dyDescent="0.2">
      <c r="A204" s="104"/>
      <c r="B204" s="105"/>
      <c r="C204" s="104"/>
      <c r="D204" s="105"/>
      <c r="E204" s="105"/>
      <c r="F204" s="105"/>
      <c r="G204" s="105"/>
      <c r="H204" s="105"/>
      <c r="I204" s="105"/>
      <c r="J204" s="105"/>
      <c r="K204" s="105"/>
      <c r="L204" s="105"/>
      <c r="M204" s="105"/>
      <c r="N204" s="105"/>
      <c r="O204" s="105"/>
      <c r="P204" s="105"/>
      <c r="Q204" s="105"/>
      <c r="R204" s="105"/>
      <c r="S204" s="105"/>
      <c r="T204" s="105"/>
      <c r="U204" s="105"/>
      <c r="V204" s="105"/>
      <c r="W204" s="104"/>
      <c r="X204" s="213"/>
      <c r="Y204" s="105"/>
      <c r="Z204" s="105"/>
      <c r="AA204" s="105"/>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row>
    <row r="205" spans="1:86" x14ac:dyDescent="0.2">
      <c r="A205" s="104"/>
      <c r="B205" s="105"/>
      <c r="C205" s="104"/>
      <c r="D205" s="105"/>
      <c r="E205" s="105"/>
      <c r="F205" s="105"/>
      <c r="G205" s="105"/>
      <c r="H205" s="105"/>
      <c r="I205" s="105"/>
      <c r="J205" s="105"/>
      <c r="K205" s="105"/>
      <c r="L205" s="105"/>
      <c r="M205" s="105"/>
      <c r="N205" s="105"/>
      <c r="O205" s="105"/>
      <c r="P205" s="105"/>
      <c r="Q205" s="105"/>
      <c r="R205" s="105"/>
      <c r="S205" s="105"/>
      <c r="T205" s="105"/>
      <c r="U205" s="105"/>
      <c r="V205" s="105"/>
      <c r="W205" s="104"/>
      <c r="X205" s="213"/>
      <c r="Y205" s="105"/>
      <c r="Z205" s="105"/>
      <c r="AA205" s="105"/>
      <c r="AB205" s="105"/>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row>
  </sheetData>
  <mergeCells count="3">
    <mergeCell ref="AB7:AF7"/>
    <mergeCell ref="AB51:AF51"/>
    <mergeCell ref="AB95:AF95"/>
  </mergeCells>
  <pageMargins left="0.7" right="0.7" top="0.75" bottom="0.75" header="0.3" footer="0.3"/>
  <pageSetup scale="68" fitToWidth="0" fitToHeight="2" orientation="portrait" blackAndWhite="1"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F18A0-F142-484B-AA1C-98683A29D88C}">
  <sheetPr>
    <pageSetUpPr fitToPage="1"/>
  </sheetPr>
  <dimension ref="A1:CH206"/>
  <sheetViews>
    <sheetView topLeftCell="A7" zoomScale="90" zoomScaleNormal="90" workbookViewId="0">
      <selection activeCell="Y27" sqref="Y27"/>
    </sheetView>
  </sheetViews>
  <sheetFormatPr defaultColWidth="9.42578125" defaultRowHeight="15" x14ac:dyDescent="0.2"/>
  <cols>
    <col min="1" max="1" width="11.42578125" style="140" customWidth="1"/>
    <col min="2" max="2" width="17.140625" style="141" customWidth="1"/>
    <col min="3" max="3" width="25.85546875" style="140" customWidth="1"/>
    <col min="4" max="4" width="10.42578125" style="141" customWidth="1"/>
    <col min="5" max="5" width="12.7109375" style="505" customWidth="1"/>
    <col min="6" max="6" width="10.42578125" style="141" customWidth="1"/>
    <col min="7" max="7" width="7.42578125" style="141" customWidth="1"/>
    <col min="8" max="8" width="8.42578125" style="141" customWidth="1"/>
    <col min="9" max="10" width="7.42578125" style="141" customWidth="1"/>
    <col min="11" max="11" width="8.42578125" style="141" customWidth="1"/>
    <col min="12" max="12" width="6.5703125" style="141" customWidth="1"/>
    <col min="13" max="13" width="8.42578125" style="141" customWidth="1"/>
    <col min="14" max="18" width="8.5703125" style="141" customWidth="1"/>
    <col min="19" max="19" width="10.42578125" style="141" customWidth="1"/>
    <col min="20" max="20" width="13" style="141" customWidth="1"/>
    <col min="21" max="21" width="12.42578125" style="141" customWidth="1"/>
    <col min="22" max="22" width="15" style="141" customWidth="1"/>
    <col min="23" max="23" width="14.28515625" style="140" customWidth="1"/>
    <col min="24" max="24" width="22.85546875" style="212" customWidth="1"/>
    <col min="25" max="25" width="19.140625" style="141" customWidth="1"/>
    <col min="26" max="27" width="10.42578125" style="141" customWidth="1"/>
    <col min="28" max="28" width="15.5703125" style="141" customWidth="1"/>
    <col min="29" max="29" width="12.28515625" style="140" customWidth="1"/>
    <col min="30" max="30" width="56.42578125" style="140" customWidth="1"/>
    <col min="31" max="31" width="47" style="140" customWidth="1"/>
    <col min="32" max="32" width="24.42578125" style="140" customWidth="1"/>
    <col min="33" max="86" width="9.42578125" style="140" customWidth="1"/>
    <col min="87" max="16384" width="9.42578125" style="140"/>
  </cols>
  <sheetData>
    <row r="1" spans="1:86" x14ac:dyDescent="0.2">
      <c r="A1" s="104"/>
      <c r="B1" s="105"/>
      <c r="C1" s="104"/>
      <c r="D1" s="105"/>
      <c r="E1" s="197"/>
      <c r="F1" s="105"/>
      <c r="G1" s="155"/>
      <c r="H1" s="105"/>
      <c r="I1" s="105"/>
      <c r="J1" s="105"/>
      <c r="K1" s="105"/>
      <c r="L1" s="105"/>
      <c r="M1" s="105"/>
      <c r="N1" s="105"/>
      <c r="O1" s="105"/>
      <c r="P1" s="105"/>
      <c r="Q1" s="105"/>
      <c r="R1" s="105"/>
      <c r="S1" s="105"/>
      <c r="T1" s="105"/>
      <c r="U1" s="105"/>
      <c r="V1" s="105"/>
      <c r="W1" s="105"/>
      <c r="X1" s="213"/>
      <c r="Y1" s="104"/>
      <c r="Z1" s="105"/>
      <c r="AA1" s="105"/>
      <c r="AB1" s="105"/>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104"/>
      <c r="BC1" s="104"/>
      <c r="BD1" s="104"/>
      <c r="BE1" s="104"/>
      <c r="BF1" s="104"/>
      <c r="BG1" s="104"/>
      <c r="BH1" s="104"/>
      <c r="BI1" s="104"/>
      <c r="BJ1" s="104"/>
      <c r="BK1" s="104"/>
      <c r="BL1" s="104"/>
      <c r="BM1" s="104"/>
      <c r="BN1" s="104"/>
      <c r="BO1" s="104"/>
      <c r="BP1" s="104"/>
      <c r="BQ1" s="104"/>
      <c r="BR1" s="104"/>
      <c r="BS1" s="104"/>
      <c r="BT1" s="104"/>
      <c r="BU1" s="104"/>
      <c r="BV1" s="104"/>
      <c r="BW1" s="104"/>
      <c r="BX1" s="104"/>
      <c r="BY1" s="104"/>
      <c r="BZ1" s="104"/>
      <c r="CA1" s="104"/>
      <c r="CB1" s="104"/>
      <c r="CC1" s="104"/>
      <c r="CD1" s="104"/>
      <c r="CE1" s="104"/>
      <c r="CF1" s="104"/>
      <c r="CG1" s="104"/>
      <c r="CH1" s="104"/>
    </row>
    <row r="2" spans="1:86" x14ac:dyDescent="0.2">
      <c r="A2" s="104"/>
      <c r="B2" s="105"/>
      <c r="C2" s="155" t="s">
        <v>35</v>
      </c>
      <c r="D2" s="105"/>
      <c r="E2" s="197"/>
      <c r="F2" s="105"/>
      <c r="G2" s="105"/>
      <c r="H2" s="105"/>
      <c r="I2" s="105"/>
      <c r="J2" s="105"/>
      <c r="K2" s="105"/>
      <c r="L2" s="105"/>
      <c r="M2" s="105"/>
      <c r="N2" s="105"/>
      <c r="O2" s="105"/>
      <c r="P2" s="105"/>
      <c r="Q2" s="105"/>
      <c r="R2" s="105"/>
      <c r="S2" s="105"/>
      <c r="T2" s="105"/>
      <c r="U2" s="105"/>
      <c r="V2" s="105"/>
      <c r="W2" s="105"/>
      <c r="X2" s="213"/>
      <c r="Y2" s="104"/>
      <c r="Z2" s="105"/>
      <c r="AA2" s="105"/>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row>
    <row r="3" spans="1:86" x14ac:dyDescent="0.2">
      <c r="A3" s="104"/>
      <c r="B3" s="105"/>
      <c r="C3" s="105"/>
      <c r="D3" s="105"/>
      <c r="E3" s="197"/>
      <c r="F3" s="105"/>
      <c r="G3" s="105"/>
      <c r="H3" s="105"/>
      <c r="I3" s="105"/>
      <c r="J3" s="105"/>
      <c r="K3" s="105"/>
      <c r="L3" s="105"/>
      <c r="M3" s="105"/>
      <c r="N3" s="105"/>
      <c r="O3" s="105"/>
      <c r="P3" s="105"/>
      <c r="Q3" s="105"/>
      <c r="R3" s="105"/>
      <c r="S3" s="105"/>
      <c r="T3" s="105"/>
      <c r="U3" s="105"/>
      <c r="V3" s="105"/>
      <c r="W3" s="105"/>
      <c r="X3" s="213"/>
      <c r="Y3" s="104"/>
      <c r="Z3" s="105"/>
      <c r="AA3" s="105"/>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04"/>
      <c r="BB3" s="104"/>
      <c r="BC3" s="104"/>
      <c r="BD3" s="104"/>
      <c r="BE3" s="104"/>
      <c r="BF3" s="104"/>
      <c r="BG3" s="104"/>
      <c r="BH3" s="104"/>
      <c r="BI3" s="104"/>
      <c r="BJ3" s="104"/>
      <c r="BK3" s="104"/>
      <c r="BL3" s="104"/>
      <c r="BM3" s="104"/>
      <c r="BN3" s="104"/>
      <c r="BO3" s="104"/>
      <c r="BP3" s="104"/>
      <c r="BQ3" s="104"/>
      <c r="BR3" s="104"/>
      <c r="BS3" s="104"/>
      <c r="BT3" s="104"/>
      <c r="BU3" s="104"/>
      <c r="BV3" s="104"/>
      <c r="BW3" s="104"/>
      <c r="BX3" s="104"/>
      <c r="BY3" s="104"/>
      <c r="BZ3" s="104"/>
      <c r="CA3" s="104"/>
      <c r="CB3" s="104"/>
      <c r="CC3" s="104"/>
      <c r="CD3" s="104"/>
      <c r="CE3" s="104"/>
      <c r="CF3" s="104"/>
      <c r="CG3" s="104"/>
      <c r="CH3" s="104"/>
    </row>
    <row r="4" spans="1:86" x14ac:dyDescent="0.2">
      <c r="A4" s="104"/>
      <c r="B4" s="105"/>
      <c r="C4" s="104"/>
      <c r="D4" s="105"/>
      <c r="E4" s="197"/>
      <c r="F4" s="105"/>
      <c r="G4" s="105"/>
      <c r="H4" s="105"/>
      <c r="I4" s="105"/>
      <c r="J4" s="105"/>
      <c r="K4" s="105"/>
      <c r="L4" s="105"/>
      <c r="M4" s="105"/>
      <c r="N4" s="105"/>
      <c r="O4" s="105"/>
      <c r="P4" s="105"/>
      <c r="Q4" s="105"/>
      <c r="R4" s="105"/>
      <c r="S4" s="105"/>
      <c r="T4" s="105"/>
      <c r="U4" s="105"/>
      <c r="V4" s="105"/>
      <c r="W4" s="105"/>
      <c r="X4" s="213"/>
      <c r="Y4" s="104"/>
      <c r="Z4" s="105"/>
      <c r="AA4" s="105"/>
      <c r="AB4" s="104"/>
      <c r="AC4" s="104"/>
      <c r="AD4" s="104"/>
      <c r="AE4" s="104"/>
      <c r="AF4" s="104"/>
      <c r="AG4" s="104"/>
      <c r="AH4" s="104"/>
      <c r="AI4" s="104"/>
      <c r="AJ4" s="104"/>
      <c r="AK4" s="104"/>
      <c r="AL4" s="104"/>
      <c r="AM4" s="104"/>
      <c r="AN4" s="104"/>
      <c r="AO4" s="104"/>
      <c r="AP4" s="104"/>
      <c r="AQ4" s="104"/>
      <c r="AR4" s="104"/>
      <c r="AS4" s="104"/>
      <c r="AT4" s="104"/>
      <c r="AU4" s="104"/>
      <c r="AV4" s="104"/>
      <c r="AW4" s="104"/>
      <c r="AX4" s="104"/>
      <c r="AY4" s="104"/>
      <c r="AZ4" s="104"/>
      <c r="BA4" s="104"/>
      <c r="BB4" s="104"/>
      <c r="BC4" s="104"/>
      <c r="BD4" s="104"/>
      <c r="BE4" s="104"/>
      <c r="BF4" s="104"/>
      <c r="BG4" s="104"/>
      <c r="BH4" s="104"/>
      <c r="BI4" s="104"/>
      <c r="BJ4" s="104"/>
      <c r="BK4" s="104"/>
      <c r="BL4" s="104"/>
      <c r="BM4" s="104"/>
      <c r="BN4" s="104"/>
      <c r="BO4" s="104"/>
      <c r="BP4" s="104"/>
      <c r="BQ4" s="104"/>
      <c r="BR4" s="104"/>
      <c r="BS4" s="104"/>
      <c r="BT4" s="104"/>
      <c r="BU4" s="104"/>
      <c r="BV4" s="104"/>
      <c r="BW4" s="104"/>
      <c r="BX4" s="104"/>
      <c r="BY4" s="104"/>
      <c r="BZ4" s="104"/>
      <c r="CA4" s="104"/>
      <c r="CB4" s="104"/>
      <c r="CC4" s="104"/>
      <c r="CD4" s="104"/>
      <c r="CE4" s="104"/>
      <c r="CF4" s="104"/>
      <c r="CG4" s="104"/>
      <c r="CH4" s="104"/>
    </row>
    <row r="5" spans="1:86" ht="15.75" thickBot="1" x14ac:dyDescent="0.25">
      <c r="A5" s="104"/>
      <c r="B5" s="105"/>
      <c r="C5" s="104"/>
      <c r="D5" s="105"/>
      <c r="E5" s="197"/>
      <c r="F5" s="105"/>
      <c r="G5" s="105"/>
      <c r="H5" s="105"/>
      <c r="I5" s="105"/>
      <c r="J5" s="105"/>
      <c r="K5" s="105"/>
      <c r="L5" s="105"/>
      <c r="M5" s="105"/>
      <c r="N5" s="105"/>
      <c r="O5" s="105"/>
      <c r="P5" s="105"/>
      <c r="Q5" s="105"/>
      <c r="R5" s="105"/>
      <c r="S5" s="105"/>
      <c r="T5" s="105"/>
      <c r="U5" s="105"/>
      <c r="V5" s="105"/>
      <c r="W5" s="105"/>
      <c r="X5" s="213"/>
      <c r="Y5" s="104"/>
      <c r="Z5" s="105"/>
      <c r="AA5" s="105"/>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4"/>
      <c r="BE5" s="104"/>
      <c r="BF5" s="104"/>
      <c r="BG5" s="104"/>
      <c r="BH5" s="104"/>
      <c r="BI5" s="104"/>
      <c r="BJ5" s="104"/>
      <c r="BK5" s="104"/>
      <c r="BL5" s="104"/>
      <c r="BM5" s="104"/>
      <c r="BN5" s="104"/>
      <c r="BO5" s="104"/>
      <c r="BP5" s="104"/>
      <c r="BQ5" s="104"/>
      <c r="BR5" s="104"/>
      <c r="BS5" s="104"/>
      <c r="BT5" s="104"/>
      <c r="BU5" s="104"/>
      <c r="BV5" s="104"/>
      <c r="BW5" s="104"/>
      <c r="BX5" s="104"/>
      <c r="BY5" s="104"/>
      <c r="BZ5" s="104"/>
      <c r="CA5" s="104"/>
      <c r="CB5" s="104"/>
      <c r="CC5" s="104"/>
      <c r="CD5" s="104"/>
      <c r="CE5" s="104"/>
      <c r="CF5" s="104"/>
      <c r="CG5" s="104"/>
      <c r="CH5" s="104"/>
    </row>
    <row r="6" spans="1:86" ht="16.5" thickBot="1" x14ac:dyDescent="0.3">
      <c r="A6" s="106"/>
      <c r="B6" s="217" t="s">
        <v>0</v>
      </c>
      <c r="C6" s="108"/>
      <c r="D6" s="108"/>
      <c r="E6" s="500"/>
      <c r="F6" s="170"/>
      <c r="G6" s="170"/>
      <c r="H6" s="170"/>
      <c r="I6" s="170"/>
      <c r="J6" s="170"/>
      <c r="K6" s="170"/>
      <c r="L6" s="170"/>
      <c r="M6" s="170"/>
      <c r="N6" s="170"/>
      <c r="O6" s="170"/>
      <c r="P6" s="170"/>
      <c r="Q6" s="170"/>
      <c r="R6" s="170"/>
      <c r="S6" s="170"/>
      <c r="T6" s="170"/>
      <c r="U6" s="170"/>
      <c r="V6" s="170"/>
      <c r="W6" s="151"/>
      <c r="X6" s="214" t="s">
        <v>0</v>
      </c>
      <c r="Y6" s="108"/>
      <c r="Z6" s="105"/>
      <c r="AA6" s="105"/>
      <c r="AB6" s="104"/>
      <c r="AC6" s="104"/>
      <c r="AD6" s="104"/>
      <c r="AE6" s="104"/>
      <c r="AF6" s="104"/>
      <c r="AG6" s="104"/>
      <c r="AH6" s="104"/>
      <c r="AI6" s="104"/>
      <c r="AJ6" s="104"/>
      <c r="AK6" s="104"/>
      <c r="AL6" s="104"/>
      <c r="AM6" s="104"/>
      <c r="AN6" s="104"/>
      <c r="AO6" s="104"/>
      <c r="AP6" s="104"/>
      <c r="AQ6" s="104"/>
      <c r="AR6" s="104"/>
      <c r="AS6" s="104"/>
      <c r="AT6" s="104"/>
      <c r="AU6" s="104"/>
      <c r="AV6" s="104"/>
      <c r="AW6" s="104"/>
      <c r="AX6" s="104"/>
      <c r="AY6" s="104"/>
      <c r="AZ6" s="104"/>
      <c r="BA6" s="104"/>
      <c r="BB6" s="104"/>
      <c r="BC6" s="104"/>
      <c r="BD6" s="104"/>
      <c r="BE6" s="104"/>
      <c r="BF6" s="104"/>
      <c r="BG6" s="104"/>
      <c r="BH6" s="104"/>
      <c r="BI6" s="104"/>
      <c r="BJ6" s="104"/>
      <c r="BK6" s="104"/>
      <c r="BL6" s="104"/>
      <c r="BM6" s="104"/>
      <c r="BN6" s="104"/>
      <c r="BO6" s="104"/>
      <c r="BP6" s="104"/>
      <c r="BQ6" s="104"/>
      <c r="BR6" s="104"/>
      <c r="BS6" s="104"/>
      <c r="BT6" s="104"/>
      <c r="BU6" s="104"/>
      <c r="BV6" s="104"/>
      <c r="BW6" s="104"/>
      <c r="BX6" s="104"/>
      <c r="BY6" s="104"/>
      <c r="BZ6" s="104"/>
      <c r="CA6" s="104"/>
      <c r="CB6" s="104"/>
      <c r="CC6" s="104"/>
      <c r="CD6" s="104"/>
      <c r="CE6" s="104"/>
      <c r="CF6" s="104"/>
      <c r="CG6" s="104"/>
      <c r="CH6" s="104"/>
    </row>
    <row r="7" spans="1:86" ht="48" thickBot="1" x14ac:dyDescent="0.3">
      <c r="A7" s="248" t="s">
        <v>60</v>
      </c>
      <c r="B7" s="83" t="s">
        <v>3</v>
      </c>
      <c r="C7" s="55" t="s">
        <v>2</v>
      </c>
      <c r="D7" s="56" t="s">
        <v>832</v>
      </c>
      <c r="E7" s="501" t="s">
        <v>566</v>
      </c>
      <c r="F7" s="57" t="s">
        <v>754</v>
      </c>
      <c r="G7" s="103" t="s">
        <v>4</v>
      </c>
      <c r="H7" s="58" t="s">
        <v>5</v>
      </c>
      <c r="I7" s="58" t="s">
        <v>6</v>
      </c>
      <c r="J7" s="58" t="s">
        <v>7</v>
      </c>
      <c r="K7" s="58" t="s">
        <v>8</v>
      </c>
      <c r="L7" s="58" t="s">
        <v>9</v>
      </c>
      <c r="M7" s="58" t="s">
        <v>10</v>
      </c>
      <c r="N7" s="58" t="s">
        <v>11</v>
      </c>
      <c r="O7" s="58" t="s">
        <v>12</v>
      </c>
      <c r="P7" s="58" t="s">
        <v>13</v>
      </c>
      <c r="Q7" s="58" t="s">
        <v>14</v>
      </c>
      <c r="R7" s="58" t="s">
        <v>15</v>
      </c>
      <c r="S7" s="59" t="s">
        <v>16</v>
      </c>
      <c r="T7" s="60" t="s">
        <v>833</v>
      </c>
      <c r="U7" s="57" t="s">
        <v>19</v>
      </c>
      <c r="V7" s="61" t="s">
        <v>41</v>
      </c>
      <c r="W7" s="211" t="s">
        <v>3</v>
      </c>
      <c r="X7" s="55" t="s">
        <v>2</v>
      </c>
      <c r="Y7" s="105"/>
      <c r="Z7" s="105"/>
      <c r="AA7" s="104"/>
      <c r="AB7" s="579" t="s">
        <v>834</v>
      </c>
      <c r="AC7" s="579"/>
      <c r="AD7" s="579"/>
      <c r="AE7" s="579"/>
      <c r="AF7" s="579"/>
      <c r="AG7" s="104"/>
      <c r="AH7" s="104"/>
      <c r="AI7" s="104"/>
      <c r="AJ7" s="104"/>
      <c r="AK7" s="104"/>
      <c r="AL7" s="104"/>
      <c r="AM7" s="104"/>
      <c r="AN7" s="104"/>
      <c r="AO7" s="104"/>
      <c r="AP7" s="104"/>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row>
    <row r="8" spans="1:86" x14ac:dyDescent="0.2">
      <c r="A8" s="249"/>
      <c r="B8" s="251"/>
      <c r="C8" s="249"/>
      <c r="D8" s="250"/>
      <c r="E8" s="502"/>
      <c r="F8" s="251"/>
      <c r="G8" s="251"/>
      <c r="H8" s="251"/>
      <c r="I8" s="251"/>
      <c r="J8" s="251"/>
      <c r="K8" s="251"/>
      <c r="L8" s="251"/>
      <c r="M8" s="251"/>
      <c r="N8" s="251"/>
      <c r="O8" s="251"/>
      <c r="P8" s="251"/>
      <c r="Q8" s="251"/>
      <c r="R8" s="251"/>
      <c r="S8" s="509"/>
      <c r="T8" s="510"/>
      <c r="U8" s="511"/>
      <c r="V8" s="462"/>
      <c r="W8" s="264"/>
      <c r="X8" s="249"/>
      <c r="Y8" s="105"/>
      <c r="Z8" s="105"/>
      <c r="AA8" s="104"/>
      <c r="AB8" s="244" t="s">
        <v>144</v>
      </c>
      <c r="AC8" s="245" t="s">
        <v>147</v>
      </c>
      <c r="AD8" s="246" t="s">
        <v>2</v>
      </c>
      <c r="AE8" s="247" t="s">
        <v>570</v>
      </c>
      <c r="AF8" s="246" t="s">
        <v>571</v>
      </c>
      <c r="AG8" s="104"/>
      <c r="AH8" s="104"/>
      <c r="AI8" s="104"/>
      <c r="AJ8" s="104"/>
      <c r="AK8" s="104"/>
      <c r="AL8" s="104"/>
      <c r="AM8" s="104"/>
      <c r="AN8" s="104"/>
      <c r="AO8" s="104"/>
      <c r="AP8" s="104"/>
      <c r="AQ8" s="104"/>
      <c r="AR8" s="104"/>
      <c r="AS8" s="104"/>
      <c r="AT8" s="104"/>
      <c r="AU8" s="104"/>
      <c r="AV8" s="104"/>
      <c r="AW8" s="104"/>
      <c r="AX8" s="104"/>
      <c r="AY8" s="104"/>
      <c r="AZ8" s="104"/>
      <c r="BA8" s="104"/>
      <c r="BB8" s="104"/>
      <c r="BC8" s="104"/>
      <c r="BD8" s="104"/>
      <c r="BE8" s="104"/>
      <c r="BF8" s="104"/>
      <c r="BG8" s="104"/>
      <c r="BH8" s="104"/>
      <c r="BI8" s="104"/>
      <c r="BJ8" s="104"/>
      <c r="BK8" s="104"/>
      <c r="BL8" s="104"/>
      <c r="BM8" s="104"/>
      <c r="BN8" s="104"/>
      <c r="BO8" s="104"/>
      <c r="BP8" s="104"/>
      <c r="BQ8" s="104"/>
      <c r="BR8" s="104"/>
      <c r="BS8" s="104"/>
      <c r="BT8" s="104"/>
      <c r="BU8" s="104"/>
      <c r="BV8" s="104"/>
      <c r="BW8" s="104"/>
      <c r="BX8" s="104"/>
      <c r="BY8" s="104"/>
      <c r="BZ8" s="104"/>
      <c r="CA8" s="104"/>
      <c r="CB8" s="104"/>
      <c r="CC8" s="104"/>
      <c r="CD8" s="104"/>
      <c r="CE8" s="104"/>
      <c r="CF8" s="104"/>
      <c r="CG8" s="104"/>
      <c r="CH8" s="104"/>
    </row>
    <row r="9" spans="1:86" x14ac:dyDescent="0.2">
      <c r="A9" s="252">
        <v>30306</v>
      </c>
      <c r="B9" s="287">
        <v>2015</v>
      </c>
      <c r="C9" s="252" t="s">
        <v>244</v>
      </c>
      <c r="D9" s="512">
        <v>1.5833333333333333</v>
      </c>
      <c r="E9" s="318">
        <v>38</v>
      </c>
      <c r="F9" s="241">
        <v>0</v>
      </c>
      <c r="G9" s="342" t="s">
        <v>35</v>
      </c>
      <c r="H9" s="241"/>
      <c r="I9" s="241"/>
      <c r="J9" s="241"/>
      <c r="K9" s="241"/>
      <c r="L9" s="241"/>
      <c r="M9" s="241"/>
      <c r="N9" s="241"/>
      <c r="O9" s="241"/>
      <c r="P9" s="241"/>
      <c r="Q9" s="241"/>
      <c r="R9" s="241"/>
      <c r="S9" s="256">
        <f>SUM(G9:R9)</f>
        <v>0</v>
      </c>
      <c r="T9" s="512">
        <f>IFERROR((AVERAGE(G9:R9)),0)</f>
        <v>0</v>
      </c>
      <c r="U9" s="513">
        <f>IFERROR((V9/T9),0)</f>
        <v>0</v>
      </c>
      <c r="V9" s="461">
        <f>E9+F9-S9</f>
        <v>38</v>
      </c>
      <c r="W9" s="288">
        <v>2015</v>
      </c>
      <c r="X9" s="252" t="s">
        <v>73</v>
      </c>
      <c r="Y9" s="105"/>
      <c r="Z9" s="105"/>
      <c r="AA9" s="104"/>
      <c r="AB9" s="244">
        <v>414979</v>
      </c>
      <c r="AC9" s="245">
        <v>2025</v>
      </c>
      <c r="AD9" s="246" t="s">
        <v>673</v>
      </c>
      <c r="AE9" s="246">
        <v>139</v>
      </c>
      <c r="AF9" s="246" t="s">
        <v>378</v>
      </c>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c r="BO9" s="104"/>
      <c r="BP9" s="104"/>
      <c r="BQ9" s="104"/>
      <c r="BR9" s="104"/>
      <c r="BS9" s="104"/>
      <c r="BT9" s="104"/>
      <c r="BU9" s="104"/>
      <c r="BV9" s="104"/>
      <c r="BW9" s="104"/>
      <c r="BX9" s="104"/>
      <c r="BY9" s="104"/>
      <c r="BZ9" s="104"/>
      <c r="CA9" s="104"/>
      <c r="CB9" s="104"/>
      <c r="CC9" s="104"/>
      <c r="CD9" s="104"/>
      <c r="CE9" s="104"/>
      <c r="CF9" s="104"/>
      <c r="CG9" s="104"/>
      <c r="CH9" s="104"/>
    </row>
    <row r="10" spans="1:86" x14ac:dyDescent="0.2">
      <c r="A10" s="249"/>
      <c r="B10" s="251"/>
      <c r="C10" s="249"/>
      <c r="D10" s="251"/>
      <c r="E10" s="502"/>
      <c r="F10" s="251"/>
      <c r="G10" s="251"/>
      <c r="H10" s="251"/>
      <c r="I10" s="251"/>
      <c r="J10" s="251"/>
      <c r="K10" s="251"/>
      <c r="L10" s="251"/>
      <c r="M10" s="251"/>
      <c r="N10" s="251"/>
      <c r="O10" s="251"/>
      <c r="P10" s="251"/>
      <c r="Q10" s="251"/>
      <c r="R10" s="251"/>
      <c r="S10" s="251"/>
      <c r="T10" s="251"/>
      <c r="U10" s="251"/>
      <c r="V10" s="462"/>
      <c r="W10" s="264"/>
      <c r="X10" s="249"/>
      <c r="Y10" s="105"/>
      <c r="Z10" s="105"/>
      <c r="AA10" s="104"/>
      <c r="AB10" s="244">
        <v>414979</v>
      </c>
      <c r="AC10" s="245">
        <v>2025</v>
      </c>
      <c r="AD10" s="246" t="s">
        <v>835</v>
      </c>
      <c r="AE10" s="246">
        <v>116</v>
      </c>
      <c r="AF10" s="246" t="s">
        <v>378</v>
      </c>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c r="BU10" s="104"/>
      <c r="BV10" s="104"/>
      <c r="BW10" s="104"/>
      <c r="BX10" s="104"/>
      <c r="BY10" s="104"/>
      <c r="BZ10" s="104"/>
      <c r="CA10" s="104"/>
      <c r="CB10" s="104"/>
      <c r="CC10" s="104"/>
      <c r="CD10" s="104"/>
      <c r="CE10" s="104"/>
      <c r="CF10" s="104"/>
      <c r="CG10" s="104"/>
      <c r="CH10" s="104"/>
    </row>
    <row r="11" spans="1:86" x14ac:dyDescent="0.2">
      <c r="A11" s="252">
        <v>133687</v>
      </c>
      <c r="B11" s="116">
        <v>2020</v>
      </c>
      <c r="C11" s="252" t="s">
        <v>278</v>
      </c>
      <c r="D11" s="512">
        <v>30.166666666666668</v>
      </c>
      <c r="E11" s="318">
        <v>37</v>
      </c>
      <c r="F11" s="241">
        <v>0</v>
      </c>
      <c r="G11" s="283">
        <v>37</v>
      </c>
      <c r="H11" s="281"/>
      <c r="I11" s="281"/>
      <c r="J11" s="281"/>
      <c r="K11" s="281"/>
      <c r="L11" s="281"/>
      <c r="M11" s="281"/>
      <c r="N11" s="281"/>
      <c r="O11" s="281"/>
      <c r="P11" s="281"/>
      <c r="Q11" s="281"/>
      <c r="R11" s="281"/>
      <c r="S11" s="256">
        <f t="shared" ref="S11:S20" si="0">SUM(G11:R11)</f>
        <v>37</v>
      </c>
      <c r="T11" s="512">
        <f t="shared" ref="T11:T13" si="1">IFERROR((AVERAGE(G11:R11)),0)</f>
        <v>37</v>
      </c>
      <c r="U11" s="513">
        <f t="shared" ref="U11:U13" si="2">IFERROR((V11/T11),0)</f>
        <v>0</v>
      </c>
      <c r="V11" s="461">
        <f t="shared" ref="V11:V13" si="3">E11+F11-S11</f>
        <v>0</v>
      </c>
      <c r="W11" s="314">
        <v>2020</v>
      </c>
      <c r="X11" s="252" t="s">
        <v>278</v>
      </c>
      <c r="Y11" s="105"/>
      <c r="Z11" s="105"/>
      <c r="AA11" s="104"/>
      <c r="AB11" s="244">
        <v>414979</v>
      </c>
      <c r="AC11" s="245">
        <v>2025</v>
      </c>
      <c r="AD11" s="244" t="s">
        <v>291</v>
      </c>
      <c r="AE11" s="246">
        <v>139</v>
      </c>
      <c r="AF11" s="246" t="s">
        <v>378</v>
      </c>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c r="BU11" s="104"/>
      <c r="BV11" s="104"/>
      <c r="BW11" s="104"/>
      <c r="BX11" s="104"/>
      <c r="BY11" s="104"/>
      <c r="BZ11" s="104"/>
      <c r="CA11" s="104"/>
      <c r="CB11" s="104"/>
      <c r="CC11" s="104"/>
      <c r="CD11" s="104"/>
      <c r="CE11" s="104"/>
      <c r="CF11" s="104"/>
      <c r="CG11" s="104"/>
      <c r="CH11" s="104"/>
    </row>
    <row r="12" spans="1:86" x14ac:dyDescent="0.2">
      <c r="A12" s="252"/>
      <c r="B12" s="116">
        <v>2020</v>
      </c>
      <c r="C12" s="252" t="s">
        <v>836</v>
      </c>
      <c r="D12" s="512">
        <v>28</v>
      </c>
      <c r="E12" s="543">
        <v>53</v>
      </c>
      <c r="F12" s="241">
        <v>0</v>
      </c>
      <c r="G12" s="283">
        <v>8</v>
      </c>
      <c r="H12" s="283">
        <v>0</v>
      </c>
      <c r="I12" s="283">
        <v>3</v>
      </c>
      <c r="J12" s="283"/>
      <c r="K12" s="283"/>
      <c r="L12" s="283"/>
      <c r="M12" s="283"/>
      <c r="N12" s="283"/>
      <c r="O12" s="283"/>
      <c r="P12" s="283"/>
      <c r="Q12" s="283"/>
      <c r="R12" s="283"/>
      <c r="S12" s="256">
        <f t="shared" ref="S12" si="4">SUM(G12:R12)</f>
        <v>11</v>
      </c>
      <c r="T12" s="512">
        <f t="shared" ref="T12" si="5">IFERROR((AVERAGE(G12:R12)),0)</f>
        <v>3.6666666666666665</v>
      </c>
      <c r="U12" s="513">
        <f t="shared" ref="U12" si="6">IFERROR((V12/T12),0)</f>
        <v>11.454545454545455</v>
      </c>
      <c r="V12" s="461">
        <f t="shared" ref="V12" si="7">E12+F12-S12</f>
        <v>42</v>
      </c>
      <c r="W12" s="314">
        <v>2020</v>
      </c>
      <c r="X12" s="252" t="s">
        <v>556</v>
      </c>
      <c r="Y12" s="105"/>
      <c r="Z12" s="105"/>
      <c r="AA12" s="104"/>
      <c r="AB12" s="244">
        <v>414979</v>
      </c>
      <c r="AC12" s="245">
        <v>2025</v>
      </c>
      <c r="AD12" s="244" t="s">
        <v>775</v>
      </c>
      <c r="AE12" s="246">
        <v>56</v>
      </c>
      <c r="AF12" s="246" t="s">
        <v>378</v>
      </c>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c r="BU12" s="104"/>
      <c r="BV12" s="104"/>
      <c r="BW12" s="104"/>
      <c r="BX12" s="104"/>
      <c r="BY12" s="104"/>
      <c r="BZ12" s="104"/>
      <c r="CA12" s="104"/>
      <c r="CB12" s="104"/>
      <c r="CC12" s="104"/>
      <c r="CD12" s="104"/>
      <c r="CE12" s="104"/>
      <c r="CF12" s="104"/>
      <c r="CG12" s="104"/>
      <c r="CH12" s="104"/>
    </row>
    <row r="13" spans="1:86" ht="15" customHeight="1" x14ac:dyDescent="0.2">
      <c r="A13" s="252"/>
      <c r="B13" s="116">
        <v>2020</v>
      </c>
      <c r="C13" s="252" t="s">
        <v>678</v>
      </c>
      <c r="D13" s="512">
        <v>0</v>
      </c>
      <c r="E13" s="543">
        <v>88</v>
      </c>
      <c r="F13" s="241">
        <v>0</v>
      </c>
      <c r="G13" s="283">
        <v>7</v>
      </c>
      <c r="H13" s="283">
        <v>6</v>
      </c>
      <c r="I13" s="283">
        <v>2</v>
      </c>
      <c r="J13" s="283"/>
      <c r="K13" s="283"/>
      <c r="L13" s="283"/>
      <c r="M13" s="283"/>
      <c r="N13" s="283"/>
      <c r="O13" s="283"/>
      <c r="P13" s="283"/>
      <c r="Q13" s="283"/>
      <c r="R13" s="283"/>
      <c r="S13" s="256">
        <f t="shared" si="0"/>
        <v>15</v>
      </c>
      <c r="T13" s="512">
        <f t="shared" si="1"/>
        <v>5</v>
      </c>
      <c r="U13" s="513">
        <f t="shared" si="2"/>
        <v>14.6</v>
      </c>
      <c r="V13" s="461">
        <f t="shared" si="3"/>
        <v>73</v>
      </c>
      <c r="W13" s="314">
        <v>2020</v>
      </c>
      <c r="X13" s="252" t="s">
        <v>678</v>
      </c>
      <c r="Y13" s="105"/>
      <c r="Z13" s="105"/>
      <c r="AA13" s="104"/>
      <c r="AB13" s="244">
        <v>414979</v>
      </c>
      <c r="AC13" s="245">
        <v>2025</v>
      </c>
      <c r="AD13" s="246" t="s">
        <v>837</v>
      </c>
      <c r="AE13" s="246">
        <v>243</v>
      </c>
      <c r="AF13" s="246" t="s">
        <v>378</v>
      </c>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4"/>
      <c r="BY13" s="104"/>
      <c r="BZ13" s="104"/>
      <c r="CA13" s="104"/>
      <c r="CB13" s="104"/>
      <c r="CC13" s="104"/>
      <c r="CD13" s="104"/>
      <c r="CE13" s="104"/>
      <c r="CF13" s="104"/>
      <c r="CG13" s="104"/>
      <c r="CH13" s="104"/>
    </row>
    <row r="14" spans="1:86" ht="15" customHeight="1" x14ac:dyDescent="0.25">
      <c r="A14" s="249"/>
      <c r="B14" s="315"/>
      <c r="C14" s="249"/>
      <c r="D14" s="510"/>
      <c r="E14" s="544"/>
      <c r="F14" s="509"/>
      <c r="G14" s="251"/>
      <c r="H14" s="251"/>
      <c r="I14" s="251"/>
      <c r="J14" s="251"/>
      <c r="K14" s="251"/>
      <c r="L14" s="251"/>
      <c r="M14" s="251"/>
      <c r="N14" s="251"/>
      <c r="O14" s="251"/>
      <c r="P14" s="251"/>
      <c r="Q14" s="251"/>
      <c r="R14" s="251"/>
      <c r="S14" s="251">
        <f t="shared" si="0"/>
        <v>0</v>
      </c>
      <c r="T14" s="510"/>
      <c r="U14" s="511"/>
      <c r="V14" s="462"/>
      <c r="W14" s="316"/>
      <c r="X14" s="249"/>
      <c r="Y14" s="105"/>
      <c r="Z14" s="105"/>
      <c r="AA14" s="104"/>
      <c r="AB14" s="244">
        <v>414979</v>
      </c>
      <c r="AC14" s="245">
        <v>2025</v>
      </c>
      <c r="AD14" s="246" t="s">
        <v>573</v>
      </c>
      <c r="AE14" s="246">
        <v>224</v>
      </c>
      <c r="AF14" s="246" t="s">
        <v>378</v>
      </c>
      <c r="AG14" s="104"/>
      <c r="AH14" s="238" t="s">
        <v>35</v>
      </c>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row>
    <row r="15" spans="1:86" ht="15.75" x14ac:dyDescent="0.25">
      <c r="A15" s="252">
        <v>133688</v>
      </c>
      <c r="B15" s="116">
        <v>2021</v>
      </c>
      <c r="C15" s="252" t="s">
        <v>23</v>
      </c>
      <c r="D15" s="512">
        <v>0</v>
      </c>
      <c r="E15" s="318">
        <v>116</v>
      </c>
      <c r="F15" s="241">
        <v>0</v>
      </c>
      <c r="G15" s="283">
        <v>23</v>
      </c>
      <c r="H15" s="283">
        <v>26</v>
      </c>
      <c r="I15" s="283">
        <v>19</v>
      </c>
      <c r="J15" s="283"/>
      <c r="K15" s="283"/>
      <c r="L15" s="283"/>
      <c r="M15" s="283"/>
      <c r="N15" s="283"/>
      <c r="O15" s="283"/>
      <c r="P15" s="283"/>
      <c r="Q15" s="283"/>
      <c r="R15" s="283"/>
      <c r="S15" s="256">
        <f t="shared" si="0"/>
        <v>68</v>
      </c>
      <c r="T15" s="512">
        <f t="shared" ref="T15:T20" si="8">IFERROR((AVERAGE(G15:R15)),0)</f>
        <v>22.666666666666668</v>
      </c>
      <c r="U15" s="513">
        <f t="shared" ref="U15:U20" si="9">IFERROR((V15/T15),0)</f>
        <v>2.1176470588235294</v>
      </c>
      <c r="V15" s="461">
        <f t="shared" ref="V15:V20" si="10">E15+F15-S15</f>
        <v>48</v>
      </c>
      <c r="W15" s="314">
        <v>2021</v>
      </c>
      <c r="X15" s="252" t="s">
        <v>23</v>
      </c>
      <c r="Y15" s="105"/>
      <c r="Z15" s="105"/>
      <c r="AA15" s="104"/>
      <c r="AB15" s="244"/>
      <c r="AC15" s="245"/>
      <c r="AD15" s="246"/>
      <c r="AE15" s="247"/>
      <c r="AF15" s="246"/>
      <c r="AG15" s="104"/>
      <c r="AH15" s="238" t="s">
        <v>35</v>
      </c>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104"/>
      <c r="CG15" s="104"/>
      <c r="CH15" s="104"/>
    </row>
    <row r="16" spans="1:86" ht="15.75" customHeight="1" x14ac:dyDescent="0.25">
      <c r="A16" s="252">
        <v>133687</v>
      </c>
      <c r="B16" s="116">
        <v>2021</v>
      </c>
      <c r="C16" s="252" t="s">
        <v>93</v>
      </c>
      <c r="D16" s="512">
        <v>4</v>
      </c>
      <c r="E16" s="318">
        <v>161</v>
      </c>
      <c r="F16" s="241">
        <v>0</v>
      </c>
      <c r="G16" s="283">
        <v>12</v>
      </c>
      <c r="H16" s="283">
        <v>9</v>
      </c>
      <c r="I16" s="283">
        <v>14</v>
      </c>
      <c r="J16" s="283"/>
      <c r="K16" s="283"/>
      <c r="L16" s="283"/>
      <c r="M16" s="283"/>
      <c r="N16" s="283"/>
      <c r="O16" s="283"/>
      <c r="P16" s="283"/>
      <c r="Q16" s="283"/>
      <c r="R16" s="283"/>
      <c r="S16" s="256">
        <f t="shared" si="0"/>
        <v>35</v>
      </c>
      <c r="T16" s="512">
        <f t="shared" si="8"/>
        <v>11.666666666666666</v>
      </c>
      <c r="U16" s="513">
        <f t="shared" si="9"/>
        <v>10.8</v>
      </c>
      <c r="V16" s="461">
        <f t="shared" si="10"/>
        <v>126</v>
      </c>
      <c r="W16" s="314">
        <v>2021</v>
      </c>
      <c r="X16" s="252" t="s">
        <v>93</v>
      </c>
      <c r="Y16" s="105"/>
      <c r="Z16" s="105"/>
      <c r="AA16" s="104"/>
      <c r="AB16" s="244"/>
      <c r="AC16" s="245"/>
      <c r="AD16" s="246"/>
      <c r="AE16" s="247"/>
      <c r="AF16" s="246"/>
      <c r="AG16" s="104"/>
      <c r="AH16" s="238" t="s">
        <v>35</v>
      </c>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4"/>
      <c r="BZ16" s="104"/>
      <c r="CA16" s="104"/>
      <c r="CB16" s="104"/>
      <c r="CC16" s="104"/>
      <c r="CD16" s="104"/>
      <c r="CE16" s="104"/>
      <c r="CF16" s="104"/>
      <c r="CG16" s="104"/>
      <c r="CH16" s="104"/>
    </row>
    <row r="17" spans="1:86" ht="15.75" customHeight="1" x14ac:dyDescent="0.25">
      <c r="A17" s="252">
        <v>135370</v>
      </c>
      <c r="B17" s="116">
        <v>2021</v>
      </c>
      <c r="C17" s="252" t="s">
        <v>217</v>
      </c>
      <c r="D17" s="512">
        <v>0</v>
      </c>
      <c r="E17" s="318">
        <v>45</v>
      </c>
      <c r="F17" s="241">
        <v>0</v>
      </c>
      <c r="G17" s="283">
        <v>10</v>
      </c>
      <c r="H17" s="283">
        <v>8</v>
      </c>
      <c r="I17" s="283">
        <v>6</v>
      </c>
      <c r="J17" s="283"/>
      <c r="K17" s="283"/>
      <c r="L17" s="283"/>
      <c r="M17" s="283"/>
      <c r="N17" s="283"/>
      <c r="O17" s="283"/>
      <c r="P17" s="283"/>
      <c r="Q17" s="283"/>
      <c r="R17" s="283"/>
      <c r="S17" s="256">
        <f t="shared" si="0"/>
        <v>24</v>
      </c>
      <c r="T17" s="512">
        <f t="shared" si="8"/>
        <v>8</v>
      </c>
      <c r="U17" s="513">
        <f t="shared" si="9"/>
        <v>2.625</v>
      </c>
      <c r="V17" s="461">
        <f t="shared" si="10"/>
        <v>21</v>
      </c>
      <c r="W17" s="314">
        <v>2021</v>
      </c>
      <c r="X17" s="252" t="s">
        <v>505</v>
      </c>
      <c r="Y17" s="105"/>
      <c r="Z17" s="105"/>
      <c r="AA17" s="104"/>
      <c r="AB17" s="244"/>
      <c r="AC17" s="245"/>
      <c r="AD17" s="246"/>
      <c r="AE17" s="247"/>
      <c r="AF17" s="246"/>
      <c r="AG17" s="104"/>
      <c r="AH17" s="238" t="s">
        <v>35</v>
      </c>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104"/>
      <c r="BZ17" s="104"/>
      <c r="CA17" s="104"/>
      <c r="CB17" s="104"/>
      <c r="CC17" s="104"/>
      <c r="CD17" s="104"/>
      <c r="CE17" s="104"/>
      <c r="CF17" s="104"/>
      <c r="CG17" s="104"/>
      <c r="CH17" s="104"/>
    </row>
    <row r="18" spans="1:86" ht="15.75" customHeight="1" x14ac:dyDescent="0.2">
      <c r="A18" s="104">
        <v>27736</v>
      </c>
      <c r="B18" s="116">
        <v>2021</v>
      </c>
      <c r="C18" s="252" t="s">
        <v>70</v>
      </c>
      <c r="D18" s="512">
        <v>20.375</v>
      </c>
      <c r="E18" s="318">
        <v>5</v>
      </c>
      <c r="F18" s="241">
        <v>0</v>
      </c>
      <c r="G18" s="241">
        <v>5</v>
      </c>
      <c r="H18" s="281"/>
      <c r="I18" s="281"/>
      <c r="J18" s="281"/>
      <c r="K18" s="281"/>
      <c r="L18" s="281"/>
      <c r="M18" s="281"/>
      <c r="N18" s="281"/>
      <c r="O18" s="281"/>
      <c r="P18" s="281"/>
      <c r="Q18" s="281"/>
      <c r="R18" s="281"/>
      <c r="S18" s="256">
        <f t="shared" si="0"/>
        <v>5</v>
      </c>
      <c r="T18" s="512">
        <f t="shared" si="8"/>
        <v>5</v>
      </c>
      <c r="U18" s="513">
        <f t="shared" si="9"/>
        <v>0</v>
      </c>
      <c r="V18" s="461">
        <f t="shared" si="10"/>
        <v>0</v>
      </c>
      <c r="W18" s="314">
        <v>2021</v>
      </c>
      <c r="X18" s="252" t="s">
        <v>70</v>
      </c>
      <c r="Y18" s="105"/>
      <c r="Z18" s="105"/>
      <c r="AA18" s="104"/>
      <c r="AB18" s="244"/>
      <c r="AC18" s="245"/>
      <c r="AD18" s="246"/>
      <c r="AE18" s="247"/>
      <c r="AF18" s="246"/>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104"/>
      <c r="BZ18" s="104"/>
      <c r="CA18" s="104"/>
      <c r="CB18" s="104"/>
      <c r="CC18" s="104"/>
      <c r="CD18" s="104"/>
      <c r="CE18" s="104"/>
      <c r="CF18" s="104"/>
      <c r="CG18" s="104"/>
      <c r="CH18" s="104"/>
    </row>
    <row r="19" spans="1:86" ht="15.75" customHeight="1" x14ac:dyDescent="0.2">
      <c r="A19" s="522">
        <v>34641</v>
      </c>
      <c r="B19" s="116">
        <v>2021</v>
      </c>
      <c r="C19" s="252" t="s">
        <v>118</v>
      </c>
      <c r="D19" s="512">
        <v>11</v>
      </c>
      <c r="E19" s="318">
        <v>357</v>
      </c>
      <c r="F19" s="241">
        <v>0</v>
      </c>
      <c r="G19" s="283">
        <v>10</v>
      </c>
      <c r="H19" s="283">
        <v>5</v>
      </c>
      <c r="I19" s="283">
        <v>27</v>
      </c>
      <c r="J19" s="283"/>
      <c r="K19" s="283"/>
      <c r="L19" s="283"/>
      <c r="M19" s="283"/>
      <c r="N19" s="283"/>
      <c r="O19" s="283"/>
      <c r="P19" s="283"/>
      <c r="Q19" s="241"/>
      <c r="R19" s="241"/>
      <c r="S19" s="256">
        <f t="shared" si="0"/>
        <v>42</v>
      </c>
      <c r="T19" s="512">
        <f t="shared" si="8"/>
        <v>14</v>
      </c>
      <c r="U19" s="513">
        <f t="shared" si="9"/>
        <v>22.5</v>
      </c>
      <c r="V19" s="461">
        <f t="shared" si="10"/>
        <v>315</v>
      </c>
      <c r="W19" s="314">
        <v>2021</v>
      </c>
      <c r="X19" s="252" t="s">
        <v>118</v>
      </c>
      <c r="Y19" s="105"/>
      <c r="Z19" s="105"/>
      <c r="AA19" s="104"/>
      <c r="AB19" s="244"/>
      <c r="AC19" s="245"/>
      <c r="AD19" s="246"/>
      <c r="AE19" s="247"/>
      <c r="AF19" s="246"/>
      <c r="AG19" s="104"/>
      <c r="AH19" s="104"/>
      <c r="AI19" s="104"/>
      <c r="AJ19" s="104"/>
      <c r="AK19" s="104"/>
      <c r="AL19" s="104"/>
      <c r="AM19" s="104"/>
      <c r="AN19" s="104"/>
      <c r="AO19" s="104"/>
      <c r="AP19" s="104"/>
      <c r="AQ19" s="104"/>
      <c r="AR19" s="104"/>
      <c r="AS19" s="104"/>
      <c r="AT19" s="104"/>
      <c r="AU19" s="104"/>
      <c r="AV19" s="104"/>
      <c r="AW19" s="104"/>
      <c r="AX19" s="104"/>
      <c r="AY19" s="104"/>
      <c r="AZ19" s="104"/>
      <c r="BA19" s="104"/>
      <c r="BB19" s="104"/>
      <c r="BC19" s="104"/>
      <c r="BD19" s="104"/>
      <c r="BE19" s="104"/>
      <c r="BF19" s="104"/>
      <c r="BG19" s="104"/>
      <c r="BH19" s="104"/>
      <c r="BI19" s="104"/>
      <c r="BJ19" s="104"/>
      <c r="BK19" s="104"/>
      <c r="BL19" s="104"/>
      <c r="BM19" s="104"/>
      <c r="BN19" s="104"/>
      <c r="BO19" s="104"/>
      <c r="BP19" s="104"/>
      <c r="BQ19" s="104"/>
      <c r="BR19" s="104"/>
      <c r="BS19" s="104"/>
      <c r="BT19" s="104"/>
      <c r="BU19" s="104"/>
      <c r="BV19" s="104"/>
      <c r="BW19" s="104"/>
      <c r="BX19" s="104"/>
      <c r="BY19" s="104"/>
      <c r="BZ19" s="104"/>
      <c r="CA19" s="104"/>
      <c r="CB19" s="104"/>
      <c r="CC19" s="104"/>
      <c r="CD19" s="104"/>
      <c r="CE19" s="104"/>
      <c r="CF19" s="104"/>
      <c r="CG19" s="104"/>
      <c r="CH19" s="104"/>
    </row>
    <row r="20" spans="1:86" ht="15.75" customHeight="1" x14ac:dyDescent="0.2">
      <c r="A20" s="252">
        <v>133687</v>
      </c>
      <c r="B20" s="116">
        <v>2021</v>
      </c>
      <c r="C20" s="252" t="s">
        <v>278</v>
      </c>
      <c r="D20" s="512">
        <v>0</v>
      </c>
      <c r="E20" s="318">
        <v>553</v>
      </c>
      <c r="F20" s="241">
        <v>0</v>
      </c>
      <c r="G20" s="241">
        <v>1</v>
      </c>
      <c r="H20" s="241">
        <v>27</v>
      </c>
      <c r="I20" s="241">
        <v>17</v>
      </c>
      <c r="J20" s="241"/>
      <c r="K20" s="241"/>
      <c r="L20" s="241"/>
      <c r="M20" s="241"/>
      <c r="N20" s="241"/>
      <c r="O20" s="241"/>
      <c r="P20" s="241"/>
      <c r="Q20" s="241"/>
      <c r="R20" s="241"/>
      <c r="S20" s="256">
        <f t="shared" si="0"/>
        <v>45</v>
      </c>
      <c r="T20" s="512">
        <f t="shared" si="8"/>
        <v>15</v>
      </c>
      <c r="U20" s="513">
        <f t="shared" si="9"/>
        <v>33.866666666666667</v>
      </c>
      <c r="V20" s="461">
        <f t="shared" si="10"/>
        <v>508</v>
      </c>
      <c r="W20" s="314">
        <v>2021</v>
      </c>
      <c r="X20" s="252" t="s">
        <v>278</v>
      </c>
      <c r="Y20" s="105"/>
      <c r="Z20" s="105"/>
      <c r="AA20" s="104"/>
      <c r="AB20" s="244"/>
      <c r="AC20" s="245"/>
      <c r="AD20" s="246"/>
      <c r="AE20" s="247"/>
      <c r="AF20" s="246"/>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104"/>
      <c r="CG20" s="104"/>
      <c r="CH20" s="104"/>
    </row>
    <row r="21" spans="1:86" ht="15.75" customHeight="1" x14ac:dyDescent="0.2">
      <c r="A21" s="249"/>
      <c r="B21" s="315"/>
      <c r="C21" s="249"/>
      <c r="D21" s="510"/>
      <c r="E21" s="545"/>
      <c r="F21" s="530"/>
      <c r="G21" s="294"/>
      <c r="H21" s="294"/>
      <c r="I21" s="294"/>
      <c r="J21" s="294"/>
      <c r="K21" s="294"/>
      <c r="L21" s="294"/>
      <c r="M21" s="294"/>
      <c r="N21" s="294"/>
      <c r="O21" s="294"/>
      <c r="P21" s="294"/>
      <c r="Q21" s="294"/>
      <c r="R21" s="294"/>
      <c r="S21" s="251"/>
      <c r="T21" s="510"/>
      <c r="U21" s="511"/>
      <c r="V21" s="462"/>
      <c r="W21" s="316"/>
      <c r="X21" s="249"/>
      <c r="Y21" s="105"/>
      <c r="Z21" s="105"/>
      <c r="AA21" s="104"/>
      <c r="AB21" s="244"/>
      <c r="AC21" s="245"/>
      <c r="AD21" s="246"/>
      <c r="AE21" s="247"/>
      <c r="AF21" s="246"/>
      <c r="AG21" s="104"/>
      <c r="AH21" s="104"/>
      <c r="AI21" s="104"/>
      <c r="AJ21" s="104"/>
      <c r="AK21" s="104"/>
      <c r="AL21" s="104"/>
      <c r="AM21" s="104"/>
      <c r="AN21" s="104"/>
      <c r="AO21" s="104"/>
      <c r="AP21" s="104"/>
      <c r="AQ21" s="104"/>
      <c r="AR21" s="104"/>
      <c r="AS21" s="104"/>
      <c r="AT21" s="104"/>
      <c r="AU21" s="104"/>
      <c r="AV21" s="104"/>
      <c r="AW21" s="104"/>
      <c r="AX21" s="104"/>
      <c r="AY21" s="104"/>
      <c r="AZ21" s="104"/>
      <c r="BA21" s="104"/>
      <c r="BB21" s="104"/>
      <c r="BC21" s="104"/>
      <c r="BD21" s="104"/>
      <c r="BE21" s="104"/>
      <c r="BF21" s="104"/>
      <c r="BG21" s="104"/>
      <c r="BH21" s="104"/>
      <c r="BI21" s="104"/>
      <c r="BJ21" s="104"/>
      <c r="BK21" s="104"/>
      <c r="BL21" s="104"/>
      <c r="BM21" s="104"/>
      <c r="BN21" s="104"/>
      <c r="BO21" s="104"/>
      <c r="BP21" s="104"/>
      <c r="BQ21" s="104"/>
      <c r="BR21" s="104"/>
      <c r="BS21" s="104"/>
      <c r="BT21" s="104"/>
      <c r="BU21" s="104"/>
      <c r="BV21" s="104"/>
      <c r="BW21" s="104"/>
      <c r="BX21" s="104"/>
      <c r="BY21" s="104"/>
      <c r="BZ21" s="104"/>
      <c r="CA21" s="104"/>
      <c r="CB21" s="104"/>
      <c r="CC21" s="104"/>
      <c r="CD21" s="104"/>
      <c r="CE21" s="104"/>
      <c r="CF21" s="104"/>
      <c r="CG21" s="104"/>
      <c r="CH21" s="104"/>
    </row>
    <row r="22" spans="1:86" ht="15.75" customHeight="1" x14ac:dyDescent="0.2">
      <c r="A22" s="487">
        <v>57632</v>
      </c>
      <c r="B22" s="255">
        <v>2022</v>
      </c>
      <c r="C22" s="252" t="s">
        <v>31</v>
      </c>
      <c r="D22" s="512">
        <v>0</v>
      </c>
      <c r="E22" s="318">
        <v>113</v>
      </c>
      <c r="F22" s="241">
        <v>0</v>
      </c>
      <c r="G22" s="283">
        <v>15</v>
      </c>
      <c r="H22" s="283">
        <v>14</v>
      </c>
      <c r="I22" s="283">
        <v>12</v>
      </c>
      <c r="J22" s="283"/>
      <c r="K22" s="283"/>
      <c r="L22" s="283"/>
      <c r="M22" s="283"/>
      <c r="N22" s="283"/>
      <c r="O22" s="283"/>
      <c r="P22" s="283"/>
      <c r="Q22" s="283"/>
      <c r="R22" s="283"/>
      <c r="S22" s="256">
        <f t="shared" ref="S22:S31" si="11">SUM(G22:R22)</f>
        <v>41</v>
      </c>
      <c r="T22" s="512">
        <f t="shared" ref="T22:T97" si="12">IFERROR((AVERAGE(G22:R22)),0)</f>
        <v>13.666666666666666</v>
      </c>
      <c r="U22" s="513">
        <f t="shared" ref="U22:U97" si="13">IFERROR((V22/T22),0)</f>
        <v>5.2682926829268295</v>
      </c>
      <c r="V22" s="461">
        <f t="shared" ref="V22:V31" si="14">E22+F22-S22</f>
        <v>72</v>
      </c>
      <c r="W22" s="314">
        <v>2022</v>
      </c>
      <c r="X22" s="252" t="s">
        <v>31</v>
      </c>
      <c r="Y22" s="105"/>
      <c r="Z22" s="105"/>
      <c r="AA22" s="104"/>
      <c r="AB22" s="244"/>
      <c r="AC22" s="245"/>
      <c r="AD22" s="246"/>
      <c r="AE22" s="247"/>
      <c r="AF22" s="246"/>
      <c r="AG22" s="104"/>
      <c r="AH22" s="104"/>
      <c r="AI22" s="104"/>
      <c r="AJ22" s="104"/>
      <c r="AK22" s="104"/>
      <c r="AL22" s="104"/>
      <c r="AM22" s="104"/>
      <c r="AN22" s="104"/>
      <c r="AO22" s="104"/>
      <c r="AP22" s="104"/>
      <c r="AQ22" s="104"/>
      <c r="AR22" s="104"/>
      <c r="AS22" s="104"/>
      <c r="AT22" s="104"/>
      <c r="AU22" s="104"/>
      <c r="AV22" s="104"/>
      <c r="AW22" s="104"/>
      <c r="AX22" s="104"/>
      <c r="AY22" s="104"/>
      <c r="AZ22" s="104"/>
      <c r="BA22" s="104"/>
      <c r="BB22" s="104"/>
      <c r="BC22" s="104"/>
      <c r="BD22" s="104"/>
      <c r="BE22" s="104"/>
      <c r="BF22" s="104"/>
      <c r="BG22" s="104"/>
      <c r="BH22" s="104"/>
      <c r="BI22" s="104"/>
      <c r="BJ22" s="104"/>
      <c r="BK22" s="104"/>
      <c r="BL22" s="104"/>
      <c r="BM22" s="104"/>
      <c r="BN22" s="104"/>
      <c r="BO22" s="104"/>
      <c r="BP22" s="104"/>
      <c r="BQ22" s="104"/>
      <c r="BR22" s="104"/>
      <c r="BS22" s="104"/>
      <c r="BT22" s="104"/>
      <c r="BU22" s="104"/>
      <c r="BV22" s="104"/>
      <c r="BW22" s="104"/>
      <c r="BX22" s="104"/>
      <c r="BY22" s="104"/>
      <c r="BZ22" s="104"/>
      <c r="CA22" s="104"/>
      <c r="CB22" s="104"/>
      <c r="CC22" s="104"/>
      <c r="CD22" s="104"/>
      <c r="CE22" s="104"/>
      <c r="CF22" s="104"/>
      <c r="CG22" s="104"/>
      <c r="CH22" s="104"/>
    </row>
    <row r="23" spans="1:86" ht="15.75" customHeight="1" x14ac:dyDescent="0.2">
      <c r="A23" s="487">
        <v>57630</v>
      </c>
      <c r="B23" s="255">
        <v>2022</v>
      </c>
      <c r="C23" s="252" t="s">
        <v>25</v>
      </c>
      <c r="D23" s="512">
        <v>4</v>
      </c>
      <c r="E23" s="318">
        <v>43</v>
      </c>
      <c r="F23" s="241">
        <v>0</v>
      </c>
      <c r="G23" s="283">
        <v>21</v>
      </c>
      <c r="H23" s="283">
        <v>19</v>
      </c>
      <c r="I23" s="283">
        <v>3</v>
      </c>
      <c r="J23" s="281"/>
      <c r="K23" s="281"/>
      <c r="L23" s="281"/>
      <c r="M23" s="281"/>
      <c r="N23" s="281"/>
      <c r="O23" s="281"/>
      <c r="P23" s="281"/>
      <c r="Q23" s="281"/>
      <c r="R23" s="281"/>
      <c r="S23" s="256">
        <f t="shared" si="11"/>
        <v>43</v>
      </c>
      <c r="T23" s="512">
        <f t="shared" si="12"/>
        <v>14.333333333333334</v>
      </c>
      <c r="U23" s="513">
        <f t="shared" si="13"/>
        <v>0</v>
      </c>
      <c r="V23" s="461">
        <f t="shared" si="14"/>
        <v>0</v>
      </c>
      <c r="W23" s="314">
        <v>2022</v>
      </c>
      <c r="X23" s="252" t="s">
        <v>25</v>
      </c>
      <c r="Y23" s="105"/>
      <c r="Z23" s="105"/>
      <c r="AA23" s="104"/>
      <c r="AB23" s="244"/>
      <c r="AC23" s="245"/>
      <c r="AD23" s="246"/>
      <c r="AE23" s="247"/>
      <c r="AF23" s="246"/>
      <c r="AG23" s="104"/>
      <c r="AH23" s="104" t="s">
        <v>35</v>
      </c>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4"/>
      <c r="CD23" s="104"/>
      <c r="CE23" s="104"/>
      <c r="CF23" s="104"/>
      <c r="CG23" s="104"/>
      <c r="CH23" s="104"/>
    </row>
    <row r="24" spans="1:86" ht="15.75" customHeight="1" x14ac:dyDescent="0.2">
      <c r="A24" s="487">
        <v>133688</v>
      </c>
      <c r="B24" s="255">
        <v>2022</v>
      </c>
      <c r="C24" s="252" t="s">
        <v>23</v>
      </c>
      <c r="D24" s="512">
        <v>18</v>
      </c>
      <c r="E24" s="318">
        <v>201</v>
      </c>
      <c r="F24" s="241">
        <v>0</v>
      </c>
      <c r="G24" s="293">
        <v>17</v>
      </c>
      <c r="H24" s="293">
        <v>12</v>
      </c>
      <c r="I24" s="293">
        <v>15</v>
      </c>
      <c r="J24" s="293"/>
      <c r="K24" s="293"/>
      <c r="L24" s="293"/>
      <c r="M24" s="293"/>
      <c r="N24" s="293"/>
      <c r="O24" s="293"/>
      <c r="P24" s="293"/>
      <c r="Q24" s="293"/>
      <c r="R24" s="293"/>
      <c r="S24" s="256">
        <f t="shared" si="11"/>
        <v>44</v>
      </c>
      <c r="T24" s="512">
        <f t="shared" si="12"/>
        <v>14.666666666666666</v>
      </c>
      <c r="U24" s="513">
        <f t="shared" si="13"/>
        <v>10.704545454545455</v>
      </c>
      <c r="V24" s="461">
        <f t="shared" si="14"/>
        <v>157</v>
      </c>
      <c r="W24" s="314">
        <v>2022</v>
      </c>
      <c r="X24" s="252" t="s">
        <v>23</v>
      </c>
      <c r="Y24" s="105"/>
      <c r="Z24" s="105"/>
      <c r="AA24" s="104"/>
      <c r="AB24" s="244"/>
      <c r="AC24" s="245"/>
      <c r="AD24" s="246"/>
      <c r="AE24" s="247"/>
      <c r="AF24" s="246"/>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c r="BP24" s="104"/>
      <c r="BQ24" s="104"/>
      <c r="BR24" s="104"/>
      <c r="BS24" s="104"/>
      <c r="BT24" s="104"/>
      <c r="BU24" s="104"/>
      <c r="BV24" s="104"/>
      <c r="BW24" s="104"/>
      <c r="BX24" s="104"/>
      <c r="BY24" s="104"/>
      <c r="BZ24" s="104"/>
      <c r="CA24" s="104"/>
      <c r="CB24" s="104"/>
      <c r="CC24" s="104"/>
      <c r="CD24" s="104"/>
      <c r="CE24" s="104"/>
      <c r="CF24" s="104"/>
      <c r="CG24" s="104"/>
      <c r="CH24" s="104"/>
    </row>
    <row r="25" spans="1:86" ht="15.75" customHeight="1" x14ac:dyDescent="0.2">
      <c r="A25" s="487">
        <v>133687</v>
      </c>
      <c r="B25" s="255">
        <v>2022</v>
      </c>
      <c r="C25" s="252" t="s">
        <v>93</v>
      </c>
      <c r="D25" s="512">
        <v>8</v>
      </c>
      <c r="E25" s="318">
        <v>90</v>
      </c>
      <c r="F25" s="241">
        <v>0</v>
      </c>
      <c r="G25" s="293"/>
      <c r="H25" s="293"/>
      <c r="I25" s="293"/>
      <c r="J25" s="293"/>
      <c r="K25" s="293"/>
      <c r="L25" s="293"/>
      <c r="M25" s="293"/>
      <c r="N25" s="293"/>
      <c r="O25" s="293"/>
      <c r="P25" s="293"/>
      <c r="Q25" s="293"/>
      <c r="R25" s="293"/>
      <c r="S25" s="256">
        <f t="shared" si="11"/>
        <v>0</v>
      </c>
      <c r="T25" s="512">
        <f t="shared" si="12"/>
        <v>0</v>
      </c>
      <c r="U25" s="513">
        <f t="shared" si="13"/>
        <v>0</v>
      </c>
      <c r="V25" s="461">
        <f t="shared" si="14"/>
        <v>90</v>
      </c>
      <c r="W25" s="314">
        <v>2022</v>
      </c>
      <c r="X25" s="252" t="s">
        <v>393</v>
      </c>
      <c r="Y25" s="105"/>
      <c r="Z25" s="105"/>
      <c r="AA25" s="104"/>
      <c r="AB25" s="244"/>
      <c r="AC25" s="245"/>
      <c r="AD25" s="246"/>
      <c r="AE25" s="247"/>
      <c r="AF25" s="246"/>
      <c r="AG25" s="104"/>
      <c r="AH25" s="104"/>
      <c r="AI25" s="104" t="s">
        <v>682</v>
      </c>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104"/>
      <c r="CG25" s="104"/>
      <c r="CH25" s="104"/>
    </row>
    <row r="26" spans="1:86" ht="15.75" customHeight="1" x14ac:dyDescent="0.2">
      <c r="A26" s="104">
        <v>27736</v>
      </c>
      <c r="B26" s="255">
        <v>2022</v>
      </c>
      <c r="C26" s="252" t="s">
        <v>70</v>
      </c>
      <c r="D26" s="512">
        <v>13</v>
      </c>
      <c r="E26" s="318">
        <v>294</v>
      </c>
      <c r="F26" s="241">
        <v>0</v>
      </c>
      <c r="G26" s="283">
        <v>24</v>
      </c>
      <c r="H26" s="283">
        <v>40</v>
      </c>
      <c r="I26" s="283">
        <v>16</v>
      </c>
      <c r="J26" s="283"/>
      <c r="K26" s="283"/>
      <c r="L26" s="283"/>
      <c r="M26" s="283"/>
      <c r="N26" s="283"/>
      <c r="O26" s="283"/>
      <c r="P26" s="283"/>
      <c r="Q26" s="283"/>
      <c r="R26" s="283"/>
      <c r="S26" s="256">
        <f t="shared" si="11"/>
        <v>80</v>
      </c>
      <c r="T26" s="512">
        <f t="shared" si="12"/>
        <v>26.666666666666668</v>
      </c>
      <c r="U26" s="513">
        <f t="shared" si="13"/>
        <v>8.0250000000000004</v>
      </c>
      <c r="V26" s="461">
        <f t="shared" si="14"/>
        <v>214</v>
      </c>
      <c r="W26" s="314">
        <v>2022</v>
      </c>
      <c r="X26" s="252" t="s">
        <v>116</v>
      </c>
      <c r="Y26"/>
      <c r="Z26"/>
      <c r="AA26" s="104"/>
      <c r="AB26" s="244"/>
      <c r="AC26" s="245"/>
      <c r="AD26" s="246"/>
      <c r="AE26" s="247"/>
      <c r="AF26" s="246"/>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4"/>
      <c r="CG26" s="104"/>
      <c r="CH26" s="104"/>
    </row>
    <row r="27" spans="1:86" ht="15.75" customHeight="1" x14ac:dyDescent="0.2">
      <c r="A27" s="535">
        <v>34641</v>
      </c>
      <c r="B27" s="255">
        <v>2022</v>
      </c>
      <c r="C27" s="252" t="s">
        <v>118</v>
      </c>
      <c r="D27" s="512">
        <v>4.4000000000000004</v>
      </c>
      <c r="E27" s="318">
        <v>325</v>
      </c>
      <c r="F27" s="241">
        <v>0</v>
      </c>
      <c r="G27" s="293"/>
      <c r="H27" s="293"/>
      <c r="I27" s="293"/>
      <c r="J27" s="293"/>
      <c r="K27" s="293"/>
      <c r="L27" s="293"/>
      <c r="M27" s="293"/>
      <c r="N27" s="293"/>
      <c r="O27" s="293"/>
      <c r="P27" s="293"/>
      <c r="Q27" s="293"/>
      <c r="R27" s="293"/>
      <c r="S27" s="256">
        <f t="shared" si="11"/>
        <v>0</v>
      </c>
      <c r="T27" s="512">
        <f t="shared" si="12"/>
        <v>0</v>
      </c>
      <c r="U27" s="513">
        <f t="shared" si="13"/>
        <v>0</v>
      </c>
      <c r="V27" s="461">
        <f t="shared" si="14"/>
        <v>325</v>
      </c>
      <c r="W27" s="314">
        <v>2022</v>
      </c>
      <c r="X27" s="252" t="s">
        <v>118</v>
      </c>
      <c r="Y27"/>
      <c r="Z27"/>
      <c r="AA27" s="104"/>
      <c r="AB27" s="244"/>
      <c r="AC27" s="245"/>
      <c r="AD27" s="246"/>
      <c r="AE27" s="247"/>
      <c r="AF27" s="246"/>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c r="BU27" s="104"/>
      <c r="BV27" s="104"/>
      <c r="BW27" s="104"/>
      <c r="BX27" s="104"/>
      <c r="BY27" s="104"/>
      <c r="BZ27" s="104"/>
      <c r="CA27" s="104"/>
      <c r="CB27" s="104"/>
      <c r="CC27" s="104"/>
      <c r="CD27" s="104"/>
      <c r="CE27" s="104"/>
      <c r="CF27" s="104"/>
      <c r="CG27" s="104"/>
      <c r="CH27" s="104"/>
    </row>
    <row r="28" spans="1:86" ht="15.75" customHeight="1" x14ac:dyDescent="0.2">
      <c r="A28" s="104">
        <v>196105</v>
      </c>
      <c r="B28" s="255">
        <v>2022</v>
      </c>
      <c r="C28" s="252" t="s">
        <v>547</v>
      </c>
      <c r="D28" s="512">
        <v>6.8888888888888893</v>
      </c>
      <c r="E28" s="318">
        <v>98</v>
      </c>
      <c r="F28" s="241">
        <v>0</v>
      </c>
      <c r="G28" s="283">
        <v>2</v>
      </c>
      <c r="H28" s="283">
        <v>12</v>
      </c>
      <c r="I28" s="283">
        <v>7</v>
      </c>
      <c r="J28" s="283"/>
      <c r="K28" s="283"/>
      <c r="L28" s="283"/>
      <c r="M28" s="283"/>
      <c r="N28" s="283"/>
      <c r="O28" s="283"/>
      <c r="P28" s="283"/>
      <c r="Q28" s="283"/>
      <c r="R28" s="283"/>
      <c r="S28" s="256">
        <f t="shared" si="11"/>
        <v>21</v>
      </c>
      <c r="T28" s="512">
        <f t="shared" si="12"/>
        <v>7</v>
      </c>
      <c r="U28" s="513">
        <f t="shared" si="13"/>
        <v>11</v>
      </c>
      <c r="V28" s="461">
        <f t="shared" si="14"/>
        <v>77</v>
      </c>
      <c r="W28" s="314">
        <v>2022</v>
      </c>
      <c r="X28" s="252" t="s">
        <v>548</v>
      </c>
      <c r="Y28"/>
      <c r="Z28"/>
      <c r="AA28" s="104"/>
      <c r="AB28" s="244"/>
      <c r="AC28" s="245"/>
      <c r="AD28" s="246"/>
      <c r="AE28" s="247"/>
      <c r="AF28" s="246"/>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c r="BP28" s="104"/>
      <c r="BQ28" s="104"/>
      <c r="BR28" s="104"/>
      <c r="BS28" s="104"/>
      <c r="BT28" s="104"/>
      <c r="BU28" s="104"/>
      <c r="BV28" s="104"/>
      <c r="BW28" s="104"/>
      <c r="BX28" s="104"/>
      <c r="BY28" s="104"/>
      <c r="BZ28" s="104"/>
      <c r="CA28" s="104"/>
      <c r="CB28" s="104"/>
      <c r="CC28" s="104"/>
      <c r="CD28" s="104"/>
      <c r="CE28" s="104"/>
      <c r="CF28" s="104"/>
      <c r="CG28" s="104"/>
      <c r="CH28" s="104"/>
    </row>
    <row r="29" spans="1:86" x14ac:dyDescent="0.2">
      <c r="A29" s="487">
        <v>135371</v>
      </c>
      <c r="B29" s="255">
        <v>2022</v>
      </c>
      <c r="C29" s="252" t="s">
        <v>307</v>
      </c>
      <c r="D29" s="512">
        <v>5.5</v>
      </c>
      <c r="E29" s="318">
        <v>131</v>
      </c>
      <c r="F29" s="241">
        <v>0</v>
      </c>
      <c r="G29" s="283">
        <v>15</v>
      </c>
      <c r="H29" s="283">
        <v>3</v>
      </c>
      <c r="I29" s="283">
        <v>5</v>
      </c>
      <c r="J29" s="283"/>
      <c r="K29" s="283"/>
      <c r="L29" s="283"/>
      <c r="M29" s="283"/>
      <c r="N29" s="283"/>
      <c r="O29" s="283"/>
      <c r="P29" s="283"/>
      <c r="Q29" s="283"/>
      <c r="R29" s="283"/>
      <c r="S29" s="256">
        <f t="shared" si="11"/>
        <v>23</v>
      </c>
      <c r="T29" s="512">
        <f t="shared" si="12"/>
        <v>7.666666666666667</v>
      </c>
      <c r="U29" s="513">
        <f t="shared" si="13"/>
        <v>14.086956521739129</v>
      </c>
      <c r="V29" s="461">
        <f t="shared" si="14"/>
        <v>108</v>
      </c>
      <c r="W29" s="314">
        <v>2022</v>
      </c>
      <c r="X29" s="252" t="s">
        <v>627</v>
      </c>
      <c r="Y29"/>
      <c r="Z29"/>
      <c r="AA29" s="104"/>
      <c r="AB29" s="244"/>
      <c r="AC29" s="245"/>
      <c r="AD29" s="246"/>
      <c r="AE29" s="247"/>
      <c r="AF29" s="246"/>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104"/>
      <c r="CG29" s="104"/>
      <c r="CH29" s="104"/>
    </row>
    <row r="30" spans="1:86" ht="15.75" customHeight="1" x14ac:dyDescent="0.2">
      <c r="A30" s="487">
        <v>133687</v>
      </c>
      <c r="B30" s="255">
        <v>2022</v>
      </c>
      <c r="C30" s="252" t="s">
        <v>278</v>
      </c>
      <c r="D30" s="512">
        <v>1.5</v>
      </c>
      <c r="E30" s="318">
        <v>391</v>
      </c>
      <c r="F30" s="241">
        <v>0</v>
      </c>
      <c r="G30" s="293">
        <v>4</v>
      </c>
      <c r="H30" s="293"/>
      <c r="I30" s="293"/>
      <c r="J30" s="293"/>
      <c r="K30" s="293"/>
      <c r="L30" s="293"/>
      <c r="M30" s="293"/>
      <c r="N30" s="293"/>
      <c r="O30" s="293"/>
      <c r="P30" s="293"/>
      <c r="Q30" s="293"/>
      <c r="R30" s="293"/>
      <c r="S30" s="256">
        <f t="shared" si="11"/>
        <v>4</v>
      </c>
      <c r="T30" s="512">
        <f t="shared" si="12"/>
        <v>4</v>
      </c>
      <c r="U30" s="513">
        <f t="shared" si="13"/>
        <v>96.75</v>
      </c>
      <c r="V30" s="461">
        <f t="shared" si="14"/>
        <v>387</v>
      </c>
      <c r="W30" s="314">
        <v>2022</v>
      </c>
      <c r="X30" s="252" t="s">
        <v>278</v>
      </c>
      <c r="Y30"/>
      <c r="Z30" s="124"/>
      <c r="AA30" s="104"/>
      <c r="AB30" s="244"/>
      <c r="AC30" s="245"/>
      <c r="AD30" s="246"/>
      <c r="AE30" s="247"/>
      <c r="AF30" s="246"/>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104"/>
      <c r="CG30" s="104"/>
      <c r="CH30" s="104"/>
    </row>
    <row r="31" spans="1:86" ht="15.75" customHeight="1" x14ac:dyDescent="0.2">
      <c r="A31" s="487">
        <v>168932</v>
      </c>
      <c r="B31" s="255">
        <v>2022</v>
      </c>
      <c r="C31" s="252" t="s">
        <v>630</v>
      </c>
      <c r="D31" s="512">
        <v>6.5</v>
      </c>
      <c r="E31" s="318">
        <v>295</v>
      </c>
      <c r="F31" s="241">
        <v>0</v>
      </c>
      <c r="G31" s="283">
        <v>25</v>
      </c>
      <c r="H31" s="283">
        <v>47</v>
      </c>
      <c r="I31" s="283">
        <v>18</v>
      </c>
      <c r="J31" s="283"/>
      <c r="K31" s="283"/>
      <c r="L31" s="283"/>
      <c r="M31" s="283"/>
      <c r="N31" s="283"/>
      <c r="O31" s="283"/>
      <c r="P31" s="283"/>
      <c r="Q31" s="283"/>
      <c r="R31" s="283"/>
      <c r="S31" s="256">
        <f t="shared" si="11"/>
        <v>90</v>
      </c>
      <c r="T31" s="512">
        <f t="shared" si="12"/>
        <v>30</v>
      </c>
      <c r="U31" s="513">
        <f t="shared" si="13"/>
        <v>6.833333333333333</v>
      </c>
      <c r="V31" s="461">
        <f t="shared" si="14"/>
        <v>205</v>
      </c>
      <c r="W31" s="314" t="s">
        <v>631</v>
      </c>
      <c r="X31" s="252"/>
      <c r="Y31"/>
      <c r="Z31" s="124"/>
      <c r="AA31" s="105"/>
      <c r="AB31" s="244"/>
      <c r="AC31" s="245"/>
      <c r="AD31" s="246"/>
      <c r="AE31" s="247"/>
      <c r="AF31" s="246"/>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104"/>
      <c r="CG31" s="104"/>
      <c r="CH31" s="104"/>
    </row>
    <row r="32" spans="1:86" ht="15.75" customHeight="1" x14ac:dyDescent="0.2">
      <c r="A32" s="487"/>
      <c r="B32" s="116" t="s">
        <v>377</v>
      </c>
      <c r="C32" s="252" t="s">
        <v>134</v>
      </c>
      <c r="D32" s="512"/>
      <c r="E32" s="543">
        <v>-2</v>
      </c>
      <c r="F32" s="528">
        <v>0</v>
      </c>
      <c r="G32" s="281">
        <v>-2</v>
      </c>
      <c r="H32" s="281"/>
      <c r="I32" s="281"/>
      <c r="J32" s="281"/>
      <c r="K32" s="281"/>
      <c r="L32" s="281"/>
      <c r="M32" s="281"/>
      <c r="N32" s="281"/>
      <c r="O32" s="281"/>
      <c r="P32" s="281"/>
      <c r="Q32" s="281"/>
      <c r="R32" s="281"/>
      <c r="S32" s="256">
        <f t="shared" ref="S32" si="15">SUM(G32:R32)</f>
        <v>-2</v>
      </c>
      <c r="T32" s="512">
        <f t="shared" ref="T32" si="16">IFERROR((AVERAGE(G32:R32)),0)</f>
        <v>-2</v>
      </c>
      <c r="U32" s="513">
        <f t="shared" ref="U32" si="17">IFERROR((V32/T32),0)</f>
        <v>0</v>
      </c>
      <c r="V32" s="461">
        <f t="shared" ref="V32" si="18">E32+F32-S32</f>
        <v>0</v>
      </c>
      <c r="W32" s="314" t="s">
        <v>377</v>
      </c>
      <c r="X32" s="104" t="s">
        <v>134</v>
      </c>
      <c r="Y32"/>
      <c r="Z32" s="124"/>
      <c r="AA32" s="105"/>
      <c r="AB32" s="244"/>
      <c r="AC32" s="245"/>
      <c r="AD32" s="246"/>
      <c r="AE32" s="247"/>
      <c r="AF32" s="246"/>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c r="BY32" s="104"/>
      <c r="BZ32" s="104"/>
      <c r="CA32" s="104"/>
      <c r="CB32" s="104"/>
      <c r="CC32" s="104"/>
      <c r="CD32" s="104"/>
      <c r="CE32" s="104"/>
      <c r="CF32" s="104"/>
      <c r="CG32" s="104"/>
      <c r="CH32" s="104"/>
    </row>
    <row r="33" spans="1:86" ht="15.75" customHeight="1" x14ac:dyDescent="0.2">
      <c r="A33" s="249"/>
      <c r="B33" s="315" t="s">
        <v>35</v>
      </c>
      <c r="C33" s="249"/>
      <c r="D33" s="510"/>
      <c r="E33" s="545"/>
      <c r="F33" s="530"/>
      <c r="G33" s="530"/>
      <c r="H33" s="530"/>
      <c r="I33" s="530"/>
      <c r="J33" s="530"/>
      <c r="K33" s="530"/>
      <c r="L33" s="530"/>
      <c r="M33" s="530"/>
      <c r="N33" s="530"/>
      <c r="O33" s="530"/>
      <c r="P33" s="530"/>
      <c r="Q33" s="530"/>
      <c r="R33" s="530"/>
      <c r="S33" s="251"/>
      <c r="T33" s="510"/>
      <c r="U33" s="511"/>
      <c r="V33" s="462"/>
      <c r="W33" s="316"/>
      <c r="X33" s="127"/>
      <c r="Y33"/>
      <c r="Z33" s="124"/>
      <c r="AA33" s="124"/>
      <c r="AB33" s="244"/>
      <c r="AC33" s="245"/>
      <c r="AD33" s="246"/>
      <c r="AE33" s="247"/>
      <c r="AF33" s="246"/>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4"/>
      <c r="CD33" s="104"/>
      <c r="CE33" s="104"/>
      <c r="CF33" s="104"/>
      <c r="CG33" s="104"/>
      <c r="CH33" s="104"/>
    </row>
    <row r="34" spans="1:86" ht="15.75" customHeight="1" x14ac:dyDescent="0.2">
      <c r="A34" s="487">
        <v>11198</v>
      </c>
      <c r="B34" s="255">
        <v>2023</v>
      </c>
      <c r="C34" s="252" t="s">
        <v>46</v>
      </c>
      <c r="D34" s="512">
        <v>21.5</v>
      </c>
      <c r="E34" s="451">
        <v>90</v>
      </c>
      <c r="F34" s="241">
        <v>0</v>
      </c>
      <c r="G34" s="283">
        <v>27</v>
      </c>
      <c r="H34" s="283">
        <v>40</v>
      </c>
      <c r="I34" s="283">
        <v>23</v>
      </c>
      <c r="J34" s="281"/>
      <c r="K34" s="281"/>
      <c r="L34" s="281"/>
      <c r="M34" s="281"/>
      <c r="N34" s="281"/>
      <c r="O34" s="281"/>
      <c r="P34" s="281"/>
      <c r="Q34" s="281"/>
      <c r="R34" s="281"/>
      <c r="S34" s="256">
        <f t="shared" ref="S34:S50" si="19">SUM(G34:R34)</f>
        <v>90</v>
      </c>
      <c r="T34" s="512">
        <f t="shared" ref="T34:T71" si="20">IFERROR((AVERAGE(G34:R34)),0)</f>
        <v>30</v>
      </c>
      <c r="U34" s="513">
        <f t="shared" ref="U34:U71" si="21">IFERROR((V34/T34),0)</f>
        <v>0</v>
      </c>
      <c r="V34" s="461">
        <f t="shared" ref="V34:V50" si="22">E34+F34-S34</f>
        <v>0</v>
      </c>
      <c r="W34" s="255">
        <v>2023</v>
      </c>
      <c r="X34" s="252" t="s">
        <v>46</v>
      </c>
      <c r="Y34"/>
      <c r="Z34" s="124"/>
      <c r="AA34" s="104"/>
      <c r="AB34" s="244"/>
      <c r="AC34" s="245"/>
      <c r="AD34" s="246"/>
      <c r="AE34" s="247"/>
      <c r="AF34" s="246" t="s">
        <v>35</v>
      </c>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104"/>
      <c r="CG34" s="104"/>
      <c r="CH34" s="104"/>
    </row>
    <row r="35" spans="1:86" ht="15.75" customHeight="1" x14ac:dyDescent="0.2">
      <c r="A35" s="487">
        <v>168933</v>
      </c>
      <c r="B35" s="255">
        <v>2023</v>
      </c>
      <c r="C35" s="252" t="s">
        <v>468</v>
      </c>
      <c r="D35" s="512">
        <v>14</v>
      </c>
      <c r="E35" s="451">
        <v>59</v>
      </c>
      <c r="F35" s="241">
        <v>0</v>
      </c>
      <c r="G35" s="241">
        <v>8</v>
      </c>
      <c r="H35" s="241">
        <v>5</v>
      </c>
      <c r="I35" s="241">
        <v>7</v>
      </c>
      <c r="J35" s="241"/>
      <c r="K35" s="241"/>
      <c r="L35" s="241"/>
      <c r="M35" s="241"/>
      <c r="N35" s="241"/>
      <c r="O35" s="241"/>
      <c r="P35" s="241"/>
      <c r="Q35" s="241"/>
      <c r="R35" s="241"/>
      <c r="S35" s="256">
        <f t="shared" si="19"/>
        <v>20</v>
      </c>
      <c r="T35" s="512">
        <f t="shared" si="20"/>
        <v>6.666666666666667</v>
      </c>
      <c r="U35" s="513">
        <f t="shared" si="21"/>
        <v>5.85</v>
      </c>
      <c r="V35" s="461">
        <f t="shared" si="22"/>
        <v>39</v>
      </c>
      <c r="W35" s="255">
        <v>2023</v>
      </c>
      <c r="X35" s="252" t="s">
        <v>468</v>
      </c>
      <c r="Y35"/>
      <c r="Z35" s="124"/>
      <c r="AA35" s="104"/>
      <c r="AB35" s="150"/>
      <c r="AC35" s="104"/>
      <c r="AD35" s="104"/>
      <c r="AE35" s="104" t="s">
        <v>35</v>
      </c>
      <c r="AF35" s="104"/>
      <c r="AG35" s="104"/>
      <c r="AH35" s="104"/>
      <c r="AI35" s="104"/>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104"/>
      <c r="CG35" s="104"/>
      <c r="CH35" s="104"/>
    </row>
    <row r="36" spans="1:86" ht="15.75" customHeight="1" x14ac:dyDescent="0.2">
      <c r="A36" s="487">
        <v>57632</v>
      </c>
      <c r="B36" s="255">
        <v>2023</v>
      </c>
      <c r="C36" s="252" t="s">
        <v>31</v>
      </c>
      <c r="D36" s="512">
        <v>9</v>
      </c>
      <c r="E36" s="451">
        <v>209</v>
      </c>
      <c r="F36" s="241">
        <v>0</v>
      </c>
      <c r="G36" s="293">
        <v>2</v>
      </c>
      <c r="H36" s="293"/>
      <c r="I36" s="293"/>
      <c r="J36" s="293"/>
      <c r="K36" s="293"/>
      <c r="L36" s="293"/>
      <c r="M36" s="293"/>
      <c r="N36" s="293"/>
      <c r="O36" s="293"/>
      <c r="P36" s="293"/>
      <c r="Q36" s="293"/>
      <c r="R36" s="293"/>
      <c r="S36" s="256">
        <f t="shared" si="19"/>
        <v>2</v>
      </c>
      <c r="T36" s="512">
        <f t="shared" si="20"/>
        <v>2</v>
      </c>
      <c r="U36" s="513">
        <f>IFERROR((V36/T36),0)</f>
        <v>103.5</v>
      </c>
      <c r="V36" s="461">
        <f t="shared" si="22"/>
        <v>207</v>
      </c>
      <c r="W36" s="255">
        <v>2023</v>
      </c>
      <c r="X36" s="252" t="s">
        <v>31</v>
      </c>
      <c r="Y36"/>
      <c r="Z36" s="124"/>
      <c r="AA36" s="104"/>
      <c r="AB36" s="150"/>
      <c r="AC36" s="104"/>
      <c r="AD36" s="104"/>
      <c r="AE36" s="104" t="s">
        <v>35</v>
      </c>
      <c r="AF36" s="104"/>
      <c r="AG36" s="104"/>
      <c r="AH36" s="104"/>
      <c r="AI36" s="104"/>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4"/>
      <c r="CE36" s="104"/>
      <c r="CF36" s="104"/>
      <c r="CG36" s="104"/>
      <c r="CH36" s="104"/>
    </row>
    <row r="37" spans="1:86" ht="15.75" customHeight="1" x14ac:dyDescent="0.2">
      <c r="A37" s="487">
        <v>235536</v>
      </c>
      <c r="B37" s="255">
        <v>2023</v>
      </c>
      <c r="C37" s="252" t="s">
        <v>25</v>
      </c>
      <c r="D37" s="512">
        <v>10</v>
      </c>
      <c r="E37" s="451">
        <v>330</v>
      </c>
      <c r="F37" s="241">
        <v>0</v>
      </c>
      <c r="G37" s="241">
        <v>1</v>
      </c>
      <c r="H37" s="241">
        <v>0</v>
      </c>
      <c r="I37" s="241">
        <v>12</v>
      </c>
      <c r="J37" s="241"/>
      <c r="K37" s="241"/>
      <c r="L37" s="241"/>
      <c r="M37" s="241"/>
      <c r="N37" s="241"/>
      <c r="O37" s="241"/>
      <c r="P37" s="241"/>
      <c r="Q37" s="241"/>
      <c r="R37" s="241"/>
      <c r="S37" s="256">
        <f t="shared" si="19"/>
        <v>13</v>
      </c>
      <c r="T37" s="512">
        <f t="shared" si="20"/>
        <v>4.333333333333333</v>
      </c>
      <c r="U37" s="513">
        <f t="shared" si="21"/>
        <v>73.15384615384616</v>
      </c>
      <c r="V37" s="461">
        <f t="shared" si="22"/>
        <v>317</v>
      </c>
      <c r="W37" s="255">
        <v>2023</v>
      </c>
      <c r="X37" s="252" t="s">
        <v>25</v>
      </c>
      <c r="Y37"/>
      <c r="Z37"/>
      <c r="AA37" s="104"/>
      <c r="AB37" s="266" t="s">
        <v>395</v>
      </c>
      <c r="AC37" s="267" t="s">
        <v>396</v>
      </c>
      <c r="AD37" s="267" t="s">
        <v>397</v>
      </c>
      <c r="AE37" s="267" t="s">
        <v>398</v>
      </c>
      <c r="AF37" s="267" t="s">
        <v>399</v>
      </c>
      <c r="AG37" s="104"/>
      <c r="AH37" s="104"/>
      <c r="AI37" s="104"/>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04"/>
      <c r="BZ37" s="104"/>
      <c r="CA37" s="104"/>
      <c r="CB37" s="104"/>
      <c r="CC37" s="104"/>
      <c r="CD37" s="104"/>
      <c r="CE37" s="104"/>
      <c r="CF37" s="104"/>
      <c r="CG37" s="104"/>
      <c r="CH37" s="104"/>
    </row>
    <row r="38" spans="1:86" ht="15.75" customHeight="1" x14ac:dyDescent="0.2">
      <c r="A38" s="487">
        <v>111575</v>
      </c>
      <c r="B38" s="255">
        <v>2023</v>
      </c>
      <c r="C38" s="252" t="s">
        <v>110</v>
      </c>
      <c r="D38" s="512">
        <v>2</v>
      </c>
      <c r="E38" s="451">
        <v>148</v>
      </c>
      <c r="F38" s="241">
        <v>0</v>
      </c>
      <c r="G38" s="241">
        <v>14</v>
      </c>
      <c r="H38" s="241">
        <v>10</v>
      </c>
      <c r="I38" s="241">
        <v>13</v>
      </c>
      <c r="J38" s="241"/>
      <c r="K38" s="241"/>
      <c r="L38" s="241"/>
      <c r="M38" s="241"/>
      <c r="N38" s="241"/>
      <c r="O38" s="241"/>
      <c r="P38" s="241"/>
      <c r="Q38" s="241"/>
      <c r="R38" s="241"/>
      <c r="S38" s="256">
        <f t="shared" si="19"/>
        <v>37</v>
      </c>
      <c r="T38" s="512">
        <f t="shared" si="20"/>
        <v>12.333333333333334</v>
      </c>
      <c r="U38" s="513">
        <f t="shared" si="21"/>
        <v>9</v>
      </c>
      <c r="V38" s="461">
        <f t="shared" si="22"/>
        <v>111</v>
      </c>
      <c r="W38" s="255">
        <v>2023</v>
      </c>
      <c r="X38" s="252" t="s">
        <v>110</v>
      </c>
      <c r="Y38"/>
      <c r="Z38"/>
      <c r="AA38" s="104"/>
      <c r="AB38" s="265">
        <v>46037</v>
      </c>
      <c r="AC38" s="267" t="s">
        <v>377</v>
      </c>
      <c r="AD38" s="265" t="s">
        <v>838</v>
      </c>
      <c r="AE38" s="269">
        <v>88</v>
      </c>
      <c r="AF38" s="265" t="s">
        <v>839</v>
      </c>
      <c r="AG38" s="104"/>
      <c r="AH38" s="104"/>
      <c r="AI38" s="104"/>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104"/>
      <c r="CG38" s="104"/>
      <c r="CH38" s="104"/>
    </row>
    <row r="39" spans="1:86" ht="15.75" customHeight="1" x14ac:dyDescent="0.2">
      <c r="A39" s="487"/>
      <c r="B39" s="255">
        <v>2023</v>
      </c>
      <c r="C39" s="252" t="s">
        <v>705</v>
      </c>
      <c r="D39" s="512">
        <v>1.8</v>
      </c>
      <c r="E39" s="451">
        <v>25</v>
      </c>
      <c r="F39" s="241">
        <v>0</v>
      </c>
      <c r="G39" s="241">
        <v>7</v>
      </c>
      <c r="H39" s="241">
        <v>-4</v>
      </c>
      <c r="I39" s="241">
        <v>2</v>
      </c>
      <c r="J39" s="241"/>
      <c r="K39" s="241"/>
      <c r="L39" s="241"/>
      <c r="M39" s="241"/>
      <c r="N39" s="241"/>
      <c r="O39" s="241"/>
      <c r="P39" s="241"/>
      <c r="Q39" s="241"/>
      <c r="R39" s="241"/>
      <c r="S39" s="256">
        <f>SUM(G39:R39)</f>
        <v>5</v>
      </c>
      <c r="T39" s="512">
        <f>IFERROR((AVERAGE(G39:R39)),0)</f>
        <v>1.6666666666666667</v>
      </c>
      <c r="U39" s="513">
        <f>IFERROR((V39/T39),0)</f>
        <v>12</v>
      </c>
      <c r="V39" s="461">
        <f>E39+F39-S39</f>
        <v>20</v>
      </c>
      <c r="W39" s="255">
        <v>2023</v>
      </c>
      <c r="X39" s="252" t="s">
        <v>705</v>
      </c>
      <c r="Y39"/>
      <c r="Z39"/>
      <c r="AA39" s="104"/>
      <c r="AB39" s="265">
        <v>46065</v>
      </c>
      <c r="AC39" s="267">
        <v>2024</v>
      </c>
      <c r="AD39" s="265" t="s">
        <v>840</v>
      </c>
      <c r="AE39" s="269">
        <v>56</v>
      </c>
      <c r="AF39" s="265" t="s">
        <v>839</v>
      </c>
      <c r="AG39" s="104"/>
      <c r="AH39" s="104"/>
      <c r="AI39" s="104"/>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104"/>
      <c r="CG39" s="104"/>
      <c r="CH39" s="104"/>
    </row>
    <row r="40" spans="1:86" ht="15.75" customHeight="1" x14ac:dyDescent="0.2">
      <c r="A40" s="487"/>
      <c r="B40" s="255">
        <v>2023</v>
      </c>
      <c r="C40" s="252" t="s">
        <v>841</v>
      </c>
      <c r="D40" s="512"/>
      <c r="E40" s="451">
        <v>0</v>
      </c>
      <c r="F40" s="241">
        <v>0</v>
      </c>
      <c r="G40" s="241">
        <v>-4</v>
      </c>
      <c r="H40" s="241">
        <v>1</v>
      </c>
      <c r="I40" s="241"/>
      <c r="J40" s="241"/>
      <c r="K40" s="241"/>
      <c r="L40" s="241"/>
      <c r="M40" s="241"/>
      <c r="N40" s="241"/>
      <c r="O40" s="241"/>
      <c r="P40" s="241"/>
      <c r="Q40" s="241"/>
      <c r="R40" s="241"/>
      <c r="S40" s="256">
        <f>SUM(G40:R40)</f>
        <v>-3</v>
      </c>
      <c r="T40" s="512">
        <f>IFERROR((AVERAGE(G40:R40)),0)</f>
        <v>-1.5</v>
      </c>
      <c r="U40" s="513">
        <f>IFERROR((V40/T40),0)</f>
        <v>-2</v>
      </c>
      <c r="V40" s="461">
        <f>E40+F40-S40</f>
        <v>3</v>
      </c>
      <c r="W40" s="255">
        <v>2023</v>
      </c>
      <c r="X40" s="252" t="s">
        <v>705</v>
      </c>
      <c r="Y40"/>
      <c r="Z40"/>
      <c r="AA40" s="104"/>
      <c r="AB40" s="265"/>
      <c r="AC40" s="267"/>
      <c r="AD40" s="265"/>
      <c r="AE40" s="269"/>
      <c r="AF40" s="265"/>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104"/>
      <c r="CG40" s="104"/>
      <c r="CH40" s="104"/>
    </row>
    <row r="41" spans="1:86" ht="15.75" customHeight="1" x14ac:dyDescent="0.2">
      <c r="A41" s="487">
        <v>133688</v>
      </c>
      <c r="B41" s="255">
        <v>2023</v>
      </c>
      <c r="C41" s="252" t="s">
        <v>23</v>
      </c>
      <c r="D41" s="512">
        <v>0</v>
      </c>
      <c r="E41" s="451">
        <v>302</v>
      </c>
      <c r="F41" s="241">
        <v>0</v>
      </c>
      <c r="G41" s="293"/>
      <c r="H41" s="293"/>
      <c r="I41" s="293"/>
      <c r="J41" s="293"/>
      <c r="K41" s="293"/>
      <c r="L41" s="293"/>
      <c r="M41" s="293"/>
      <c r="N41" s="293"/>
      <c r="O41" s="293"/>
      <c r="P41" s="293"/>
      <c r="Q41" s="293"/>
      <c r="R41" s="293"/>
      <c r="S41" s="256">
        <f t="shared" si="19"/>
        <v>0</v>
      </c>
      <c r="T41" s="512">
        <f t="shared" si="20"/>
        <v>0</v>
      </c>
      <c r="U41" s="513">
        <f t="shared" si="21"/>
        <v>0</v>
      </c>
      <c r="V41" s="461">
        <f t="shared" si="22"/>
        <v>302</v>
      </c>
      <c r="W41" s="255">
        <v>2023</v>
      </c>
      <c r="X41" s="252" t="s">
        <v>23</v>
      </c>
      <c r="Y41"/>
      <c r="Z41"/>
      <c r="AA41" s="104"/>
      <c r="AB41" s="265"/>
      <c r="AC41" s="267"/>
      <c r="AD41" s="265"/>
      <c r="AE41" s="269"/>
      <c r="AF41" s="265"/>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104"/>
      <c r="CG41" s="104"/>
      <c r="CH41" s="104"/>
    </row>
    <row r="42" spans="1:86" ht="15.75" customHeight="1" x14ac:dyDescent="0.2">
      <c r="A42" s="487">
        <v>133687</v>
      </c>
      <c r="B42" s="255">
        <v>2023</v>
      </c>
      <c r="C42" s="252" t="s">
        <v>93</v>
      </c>
      <c r="D42" s="512">
        <v>0</v>
      </c>
      <c r="E42" s="451">
        <v>140</v>
      </c>
      <c r="F42" s="241">
        <v>0</v>
      </c>
      <c r="G42" s="293"/>
      <c r="H42" s="293"/>
      <c r="I42" s="293"/>
      <c r="J42" s="293"/>
      <c r="K42" s="293"/>
      <c r="L42" s="293"/>
      <c r="M42" s="293"/>
      <c r="N42" s="293"/>
      <c r="O42" s="293"/>
      <c r="P42" s="293"/>
      <c r="Q42" s="293"/>
      <c r="R42" s="293"/>
      <c r="S42" s="256">
        <f t="shared" si="19"/>
        <v>0</v>
      </c>
      <c r="T42" s="512">
        <f t="shared" si="20"/>
        <v>0</v>
      </c>
      <c r="U42" s="513">
        <f t="shared" si="21"/>
        <v>0</v>
      </c>
      <c r="V42" s="461">
        <f t="shared" si="22"/>
        <v>140</v>
      </c>
      <c r="W42" s="255">
        <v>2023</v>
      </c>
      <c r="X42" s="252" t="s">
        <v>393</v>
      </c>
      <c r="Y42"/>
      <c r="Z42"/>
      <c r="AA42" s="104"/>
      <c r="AB42" s="265"/>
      <c r="AC42" s="267"/>
      <c r="AD42" s="265"/>
      <c r="AE42" s="269"/>
      <c r="AF42" s="265"/>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4"/>
      <c r="CA42" s="104"/>
      <c r="CB42" s="104"/>
      <c r="CC42" s="104"/>
      <c r="CD42" s="104"/>
      <c r="CE42" s="104"/>
      <c r="CF42" s="104"/>
      <c r="CG42" s="104"/>
      <c r="CH42" s="104"/>
    </row>
    <row r="43" spans="1:86" ht="15.75" customHeight="1" x14ac:dyDescent="0.2">
      <c r="A43" s="252">
        <v>22384</v>
      </c>
      <c r="B43" s="255">
        <v>2023</v>
      </c>
      <c r="C43" s="252" t="s">
        <v>26</v>
      </c>
      <c r="D43" s="512">
        <v>0</v>
      </c>
      <c r="E43" s="451">
        <v>128</v>
      </c>
      <c r="F43" s="241">
        <v>0</v>
      </c>
      <c r="G43" s="241">
        <v>18</v>
      </c>
      <c r="H43" s="241">
        <v>41</v>
      </c>
      <c r="I43" s="241">
        <v>11</v>
      </c>
      <c r="J43" s="241"/>
      <c r="K43" s="241"/>
      <c r="L43" s="241"/>
      <c r="M43" s="241"/>
      <c r="N43" s="241"/>
      <c r="O43" s="241"/>
      <c r="P43" s="241"/>
      <c r="Q43" s="241"/>
      <c r="R43" s="241"/>
      <c r="S43" s="256">
        <f t="shared" ref="S43" si="23">SUM(G43:R43)</f>
        <v>70</v>
      </c>
      <c r="T43" s="512">
        <f t="shared" si="20"/>
        <v>23.333333333333332</v>
      </c>
      <c r="U43" s="513">
        <f t="shared" si="21"/>
        <v>2.4857142857142858</v>
      </c>
      <c r="V43" s="461">
        <f t="shared" si="22"/>
        <v>58</v>
      </c>
      <c r="W43" s="255">
        <v>2023</v>
      </c>
      <c r="X43" s="252" t="s">
        <v>26</v>
      </c>
      <c r="Y43"/>
      <c r="Z43"/>
      <c r="AA43" s="104"/>
      <c r="AB43" s="265"/>
      <c r="AC43" s="267"/>
      <c r="AD43" s="265"/>
      <c r="AE43" s="269"/>
      <c r="AF43" s="265"/>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104"/>
      <c r="CG43" s="104"/>
      <c r="CH43" s="104"/>
    </row>
    <row r="44" spans="1:86" ht="15.75" customHeight="1" x14ac:dyDescent="0.2">
      <c r="A44" s="104">
        <v>27736</v>
      </c>
      <c r="B44" s="255">
        <v>2023</v>
      </c>
      <c r="C44" s="252" t="s">
        <v>70</v>
      </c>
      <c r="D44" s="512">
        <v>0</v>
      </c>
      <c r="E44" s="451">
        <v>302</v>
      </c>
      <c r="F44" s="241">
        <v>0</v>
      </c>
      <c r="G44" s="293"/>
      <c r="H44" s="293"/>
      <c r="I44" s="293"/>
      <c r="J44" s="293"/>
      <c r="K44" s="293"/>
      <c r="L44" s="293"/>
      <c r="M44" s="293"/>
      <c r="N44" s="293"/>
      <c r="O44" s="293"/>
      <c r="P44" s="293"/>
      <c r="Q44" s="293"/>
      <c r="R44" s="293"/>
      <c r="S44" s="256">
        <f t="shared" si="19"/>
        <v>0</v>
      </c>
      <c r="T44" s="512">
        <f t="shared" si="20"/>
        <v>0</v>
      </c>
      <c r="U44" s="513">
        <f t="shared" si="21"/>
        <v>0</v>
      </c>
      <c r="V44" s="461">
        <f t="shared" si="22"/>
        <v>302</v>
      </c>
      <c r="W44" s="255">
        <v>2023</v>
      </c>
      <c r="X44" s="252" t="s">
        <v>116</v>
      </c>
      <c r="Y44"/>
      <c r="Z44"/>
      <c r="AA44" s="104"/>
      <c r="AB44" s="265"/>
      <c r="AC44" s="267"/>
      <c r="AD44" s="265"/>
      <c r="AE44" s="269"/>
      <c r="AF44" s="265"/>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104"/>
      <c r="CG44" s="104"/>
      <c r="CH44" s="104"/>
    </row>
    <row r="45" spans="1:86" ht="15.75" customHeight="1" x14ac:dyDescent="0.2">
      <c r="A45" s="252">
        <v>135370</v>
      </c>
      <c r="B45" s="116">
        <v>2023</v>
      </c>
      <c r="C45" s="252" t="s">
        <v>217</v>
      </c>
      <c r="D45" s="512">
        <v>0</v>
      </c>
      <c r="E45" s="451">
        <v>213</v>
      </c>
      <c r="F45" s="241">
        <v>0</v>
      </c>
      <c r="G45" s="293"/>
      <c r="H45" s="293"/>
      <c r="I45" s="293"/>
      <c r="J45" s="293"/>
      <c r="K45" s="293"/>
      <c r="L45" s="293"/>
      <c r="M45" s="293"/>
      <c r="N45" s="293"/>
      <c r="O45" s="293"/>
      <c r="P45" s="293"/>
      <c r="Q45" s="293"/>
      <c r="R45" s="293"/>
      <c r="S45" s="256">
        <f t="shared" ref="S45" si="24">SUM(G45:R45)</f>
        <v>0</v>
      </c>
      <c r="T45" s="512">
        <f t="shared" si="20"/>
        <v>0</v>
      </c>
      <c r="U45" s="513">
        <f t="shared" si="21"/>
        <v>0</v>
      </c>
      <c r="V45" s="461">
        <f t="shared" si="22"/>
        <v>213</v>
      </c>
      <c r="W45" s="255">
        <v>2023</v>
      </c>
      <c r="X45" s="252" t="s">
        <v>505</v>
      </c>
      <c r="Y45"/>
      <c r="Z45"/>
      <c r="AA45" s="104"/>
      <c r="AB45" s="265"/>
      <c r="AC45" s="267"/>
      <c r="AD45" s="265"/>
      <c r="AE45" s="269"/>
      <c r="AF45" s="265"/>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04"/>
      <c r="BG45" s="104"/>
      <c r="BH45" s="104"/>
      <c r="BI45" s="104"/>
      <c r="BJ45" s="104"/>
      <c r="BK45" s="104"/>
      <c r="BL45" s="104"/>
      <c r="BM45" s="104"/>
      <c r="BN45" s="104"/>
      <c r="BO45" s="104"/>
      <c r="BP45" s="104"/>
      <c r="BQ45" s="104"/>
      <c r="BR45" s="104"/>
      <c r="BS45" s="104"/>
      <c r="BT45" s="104"/>
      <c r="BU45" s="104"/>
      <c r="BV45" s="104"/>
      <c r="BW45" s="104"/>
      <c r="BX45" s="104"/>
      <c r="BY45" s="104"/>
      <c r="BZ45" s="104"/>
      <c r="CA45" s="104"/>
      <c r="CB45" s="104"/>
      <c r="CC45" s="104"/>
      <c r="CD45" s="104"/>
      <c r="CE45" s="104"/>
      <c r="CF45" s="104"/>
      <c r="CG45" s="104"/>
      <c r="CH45" s="104"/>
    </row>
    <row r="46" spans="1:86" ht="15.75" customHeight="1" x14ac:dyDescent="0.2">
      <c r="A46" s="535">
        <v>34641</v>
      </c>
      <c r="B46" s="255">
        <v>2023</v>
      </c>
      <c r="C46" s="252" t="s">
        <v>118</v>
      </c>
      <c r="D46" s="512">
        <v>0</v>
      </c>
      <c r="E46" s="451">
        <v>410</v>
      </c>
      <c r="F46" s="241">
        <v>0</v>
      </c>
      <c r="G46" s="293"/>
      <c r="H46" s="293">
        <v>5</v>
      </c>
      <c r="I46" s="293"/>
      <c r="J46" s="293"/>
      <c r="K46" s="293"/>
      <c r="L46" s="293"/>
      <c r="M46" s="293"/>
      <c r="N46" s="293"/>
      <c r="O46" s="293"/>
      <c r="P46" s="293"/>
      <c r="Q46" s="293"/>
      <c r="R46" s="293"/>
      <c r="S46" s="256">
        <f t="shared" si="19"/>
        <v>5</v>
      </c>
      <c r="T46" s="512">
        <f t="shared" si="20"/>
        <v>5</v>
      </c>
      <c r="U46" s="513">
        <f t="shared" si="21"/>
        <v>81</v>
      </c>
      <c r="V46" s="461">
        <f t="shared" si="22"/>
        <v>405</v>
      </c>
      <c r="W46" s="255">
        <v>2023</v>
      </c>
      <c r="X46" s="252" t="s">
        <v>118</v>
      </c>
      <c r="Y46"/>
      <c r="Z46"/>
      <c r="AA46" s="104"/>
      <c r="AB46" s="265"/>
      <c r="AC46" s="267"/>
      <c r="AD46" s="267"/>
      <c r="AE46" s="267"/>
      <c r="AF46" s="267"/>
      <c r="AG46" s="104"/>
      <c r="AH46" s="104"/>
      <c r="AI46" s="104"/>
      <c r="AJ46" s="104"/>
      <c r="AK46" s="104"/>
      <c r="AL46" s="104"/>
      <c r="AM46" s="104"/>
      <c r="AN46" s="104"/>
      <c r="AO46" s="104"/>
      <c r="AP46" s="104"/>
      <c r="AQ46" s="104"/>
      <c r="AR46" s="104"/>
      <c r="AS46" s="104"/>
      <c r="AT46" s="104"/>
      <c r="AU46" s="104"/>
      <c r="AV46" s="104"/>
      <c r="AW46" s="104"/>
      <c r="AX46" s="104"/>
      <c r="AY46" s="104"/>
      <c r="AZ46" s="104"/>
      <c r="BA46" s="104"/>
      <c r="BB46" s="104"/>
      <c r="BC46" s="104"/>
      <c r="BD46" s="104"/>
      <c r="BE46" s="104"/>
      <c r="BF46" s="104"/>
      <c r="BG46" s="104"/>
      <c r="BH46" s="104"/>
      <c r="BI46" s="104"/>
      <c r="BJ46" s="104"/>
      <c r="BK46" s="104"/>
      <c r="BL46" s="104"/>
      <c r="BM46" s="104"/>
      <c r="BN46" s="104"/>
      <c r="BO46" s="104"/>
      <c r="BP46" s="104"/>
      <c r="BQ46" s="104"/>
      <c r="BR46" s="104"/>
      <c r="BS46" s="104"/>
      <c r="BT46" s="104"/>
      <c r="BU46" s="104"/>
      <c r="BV46" s="104"/>
      <c r="BW46" s="104"/>
      <c r="BX46" s="104"/>
      <c r="BY46" s="104"/>
      <c r="BZ46" s="104"/>
      <c r="CA46" s="104"/>
      <c r="CB46" s="104"/>
      <c r="CC46" s="104"/>
      <c r="CD46" s="104"/>
      <c r="CE46" s="104"/>
      <c r="CF46" s="104"/>
      <c r="CG46" s="104"/>
      <c r="CH46" s="104"/>
    </row>
    <row r="47" spans="1:86" ht="15.75" customHeight="1" x14ac:dyDescent="0.2">
      <c r="A47" s="487">
        <v>135371</v>
      </c>
      <c r="B47" s="255">
        <v>2023</v>
      </c>
      <c r="C47" s="252" t="s">
        <v>307</v>
      </c>
      <c r="D47" s="512">
        <v>0</v>
      </c>
      <c r="E47" s="451">
        <v>135</v>
      </c>
      <c r="F47" s="241">
        <v>0</v>
      </c>
      <c r="G47" s="293"/>
      <c r="H47" s="293"/>
      <c r="I47" s="293"/>
      <c r="J47" s="293"/>
      <c r="K47" s="293"/>
      <c r="L47" s="293"/>
      <c r="M47" s="293"/>
      <c r="N47" s="293"/>
      <c r="O47" s="293"/>
      <c r="P47" s="293"/>
      <c r="Q47" s="293"/>
      <c r="R47" s="293"/>
      <c r="S47" s="256">
        <f t="shared" si="19"/>
        <v>0</v>
      </c>
      <c r="T47" s="512">
        <f t="shared" si="20"/>
        <v>0</v>
      </c>
      <c r="U47" s="513">
        <f t="shared" si="21"/>
        <v>0</v>
      </c>
      <c r="V47" s="461">
        <f t="shared" si="22"/>
        <v>135</v>
      </c>
      <c r="W47" s="255">
        <v>2023</v>
      </c>
      <c r="X47" s="252" t="s">
        <v>627</v>
      </c>
      <c r="Y47"/>
      <c r="Z47"/>
      <c r="AA47" s="104"/>
      <c r="AB47" s="265"/>
      <c r="AC47" s="267"/>
      <c r="AD47" s="267"/>
      <c r="AE47" s="267"/>
      <c r="AF47" s="267"/>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04"/>
      <c r="BU47" s="104"/>
      <c r="BV47" s="104"/>
      <c r="BW47" s="104"/>
      <c r="BX47" s="104"/>
      <c r="BY47" s="104"/>
      <c r="BZ47" s="104"/>
      <c r="CA47" s="104"/>
      <c r="CB47" s="104"/>
      <c r="CC47" s="104"/>
      <c r="CD47" s="104"/>
      <c r="CE47" s="104"/>
      <c r="CF47" s="104"/>
      <c r="CG47" s="104"/>
      <c r="CH47" s="104"/>
    </row>
    <row r="48" spans="1:86" ht="15.75" customHeight="1" x14ac:dyDescent="0.2">
      <c r="A48" s="487">
        <v>133687</v>
      </c>
      <c r="B48" s="255">
        <v>2023</v>
      </c>
      <c r="C48" s="252" t="s">
        <v>278</v>
      </c>
      <c r="D48" s="512">
        <v>0</v>
      </c>
      <c r="E48" s="451">
        <v>422</v>
      </c>
      <c r="F48" s="241">
        <v>0</v>
      </c>
      <c r="G48" s="293">
        <v>3</v>
      </c>
      <c r="H48" s="293"/>
      <c r="I48" s="293"/>
      <c r="J48" s="293"/>
      <c r="K48" s="293"/>
      <c r="L48" s="293"/>
      <c r="M48" s="293"/>
      <c r="N48" s="293"/>
      <c r="O48" s="293"/>
      <c r="P48" s="293"/>
      <c r="Q48" s="293"/>
      <c r="R48" s="293"/>
      <c r="S48" s="256">
        <f t="shared" si="19"/>
        <v>3</v>
      </c>
      <c r="T48" s="512">
        <f t="shared" si="20"/>
        <v>3</v>
      </c>
      <c r="U48" s="513">
        <f t="shared" si="21"/>
        <v>139.66666666666666</v>
      </c>
      <c r="V48" s="461">
        <f t="shared" si="22"/>
        <v>419</v>
      </c>
      <c r="W48" s="255">
        <v>2023</v>
      </c>
      <c r="X48" s="252" t="s">
        <v>278</v>
      </c>
      <c r="Y48"/>
      <c r="Z48"/>
      <c r="AA48" s="104"/>
      <c r="AB48" s="265"/>
      <c r="AC48" s="267"/>
      <c r="AD48" s="267"/>
      <c r="AE48" s="267"/>
      <c r="AF48" s="267"/>
      <c r="AG48" s="104"/>
      <c r="AH48" s="104"/>
      <c r="AI48" s="104"/>
      <c r="AJ48" s="104"/>
      <c r="AK48" s="104"/>
      <c r="AL48" s="104"/>
      <c r="AM48" s="104"/>
      <c r="AN48" s="104"/>
      <c r="AO48" s="104"/>
      <c r="AP48" s="104"/>
      <c r="AQ48" s="104"/>
      <c r="AR48" s="104"/>
      <c r="AS48" s="104"/>
      <c r="AT48" s="104"/>
      <c r="AU48" s="104"/>
      <c r="AV48" s="104"/>
      <c r="AW48" s="104"/>
      <c r="AX48" s="104"/>
      <c r="AY48" s="104"/>
      <c r="AZ48" s="104"/>
      <c r="BA48" s="104"/>
      <c r="BB48" s="104"/>
      <c r="BC48" s="104"/>
      <c r="BD48" s="104"/>
      <c r="BE48" s="104"/>
      <c r="BF48" s="104"/>
      <c r="BG48" s="104"/>
      <c r="BH48" s="104"/>
      <c r="BI48" s="104"/>
      <c r="BJ48" s="104"/>
      <c r="BK48" s="104"/>
      <c r="BL48" s="104"/>
      <c r="BM48" s="104"/>
      <c r="BN48" s="104"/>
      <c r="BO48" s="104"/>
      <c r="BP48" s="104"/>
      <c r="BQ48" s="104"/>
      <c r="BR48" s="104"/>
      <c r="BS48" s="104"/>
      <c r="BT48" s="104"/>
      <c r="BU48" s="104"/>
      <c r="BV48" s="104"/>
      <c r="BW48" s="104"/>
      <c r="BX48" s="104"/>
      <c r="BY48" s="104"/>
      <c r="BZ48" s="104"/>
      <c r="CA48" s="104"/>
      <c r="CB48" s="104"/>
      <c r="CC48" s="104"/>
      <c r="CD48" s="104"/>
      <c r="CE48" s="104"/>
      <c r="CF48" s="104"/>
      <c r="CG48" s="104"/>
      <c r="CH48" s="104"/>
    </row>
    <row r="49" spans="1:86" ht="15.75" customHeight="1" x14ac:dyDescent="0.2">
      <c r="A49" s="487">
        <v>168932</v>
      </c>
      <c r="B49" s="255">
        <v>2023</v>
      </c>
      <c r="C49" s="252" t="s">
        <v>712</v>
      </c>
      <c r="D49" s="512">
        <v>0</v>
      </c>
      <c r="E49" s="451">
        <v>599</v>
      </c>
      <c r="F49" s="241">
        <v>0</v>
      </c>
      <c r="G49" s="293">
        <v>8</v>
      </c>
      <c r="H49" s="293">
        <v>1</v>
      </c>
      <c r="I49" s="293">
        <v>12</v>
      </c>
      <c r="J49" s="293"/>
      <c r="K49" s="293"/>
      <c r="L49" s="293"/>
      <c r="M49" s="293"/>
      <c r="N49" s="293"/>
      <c r="O49" s="293"/>
      <c r="P49" s="293"/>
      <c r="Q49" s="293"/>
      <c r="R49" s="293"/>
      <c r="S49" s="256">
        <f t="shared" si="19"/>
        <v>21</v>
      </c>
      <c r="T49" s="512">
        <f t="shared" si="20"/>
        <v>7</v>
      </c>
      <c r="U49" s="513">
        <f t="shared" si="21"/>
        <v>82.571428571428569</v>
      </c>
      <c r="V49" s="461">
        <f t="shared" si="22"/>
        <v>578</v>
      </c>
      <c r="W49" s="255">
        <v>2023</v>
      </c>
      <c r="X49" s="252" t="s">
        <v>712</v>
      </c>
      <c r="Y49"/>
      <c r="Z49"/>
      <c r="AA49" s="104"/>
      <c r="AB49" s="265"/>
      <c r="AC49" s="267"/>
      <c r="AD49" s="267"/>
      <c r="AE49" s="267"/>
      <c r="AF49" s="267"/>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104"/>
      <c r="CG49" s="104"/>
      <c r="CH49" s="104"/>
    </row>
    <row r="50" spans="1:86" ht="15.75" customHeight="1" x14ac:dyDescent="0.2">
      <c r="A50" s="487"/>
      <c r="B50" s="255"/>
      <c r="C50" s="252" t="s">
        <v>842</v>
      </c>
      <c r="D50" s="512">
        <v>4</v>
      </c>
      <c r="E50" s="451">
        <v>32</v>
      </c>
      <c r="F50" s="241">
        <v>0</v>
      </c>
      <c r="G50" s="241">
        <v>8</v>
      </c>
      <c r="H50" s="241">
        <v>3</v>
      </c>
      <c r="I50" s="241">
        <v>5</v>
      </c>
      <c r="J50" s="241"/>
      <c r="K50" s="241"/>
      <c r="L50" s="241"/>
      <c r="M50" s="241"/>
      <c r="N50" s="241"/>
      <c r="O50" s="241"/>
      <c r="P50" s="241"/>
      <c r="Q50" s="241"/>
      <c r="R50" s="241"/>
      <c r="S50" s="256">
        <f t="shared" si="19"/>
        <v>16</v>
      </c>
      <c r="T50" s="512">
        <f t="shared" si="20"/>
        <v>5.333333333333333</v>
      </c>
      <c r="U50" s="513">
        <f t="shared" si="21"/>
        <v>3</v>
      </c>
      <c r="V50" s="461">
        <f t="shared" si="22"/>
        <v>16</v>
      </c>
      <c r="W50" s="314"/>
      <c r="X50" s="252" t="s">
        <v>134</v>
      </c>
      <c r="Y50"/>
      <c r="Z50" s="124"/>
      <c r="AA50" s="104"/>
      <c r="AB50" s="265"/>
      <c r="AC50" s="267"/>
      <c r="AD50" s="267"/>
      <c r="AE50" s="267"/>
      <c r="AF50" s="267"/>
      <c r="AG50" s="104"/>
      <c r="AH50" s="104"/>
      <c r="AI50" s="104"/>
      <c r="AJ50" s="104"/>
      <c r="AK50" s="104"/>
      <c r="AL50" s="104"/>
      <c r="AM50" s="104"/>
      <c r="AN50" s="104"/>
      <c r="AO50" s="104"/>
      <c r="AP50" s="104"/>
      <c r="AQ50" s="104"/>
      <c r="AR50" s="104"/>
      <c r="AS50" s="104"/>
      <c r="AT50" s="104"/>
      <c r="AU50" s="104"/>
      <c r="AV50" s="104"/>
      <c r="AW50" s="104"/>
      <c r="AX50" s="104"/>
      <c r="AY50" s="104"/>
      <c r="AZ50" s="104"/>
      <c r="BA50" s="104"/>
      <c r="BB50" s="104"/>
      <c r="BC50" s="104"/>
      <c r="BD50" s="104"/>
      <c r="BE50" s="104"/>
      <c r="BF50" s="104"/>
      <c r="BG50" s="104"/>
      <c r="BH50" s="104"/>
      <c r="BI50" s="104"/>
      <c r="BJ50" s="104"/>
      <c r="BK50" s="104"/>
      <c r="BL50" s="104"/>
      <c r="BM50" s="104"/>
      <c r="BN50" s="104"/>
      <c r="BO50" s="104"/>
      <c r="BP50" s="104"/>
      <c r="BQ50" s="104"/>
      <c r="BR50" s="104"/>
      <c r="BS50" s="104"/>
      <c r="BT50" s="104"/>
      <c r="BU50" s="104"/>
      <c r="BV50" s="104"/>
      <c r="BW50" s="104"/>
      <c r="BX50" s="104"/>
      <c r="BY50" s="104"/>
      <c r="BZ50" s="104"/>
      <c r="CA50" s="104"/>
      <c r="CB50" s="104"/>
      <c r="CC50" s="104"/>
      <c r="CD50" s="104"/>
      <c r="CE50" s="104"/>
      <c r="CF50" s="104"/>
      <c r="CG50" s="104"/>
      <c r="CH50" s="104"/>
    </row>
    <row r="51" spans="1:86" ht="15.75" customHeight="1" x14ac:dyDescent="0.2">
      <c r="A51" s="249"/>
      <c r="B51" s="315"/>
      <c r="C51" s="249"/>
      <c r="D51" s="249">
        <v>0</v>
      </c>
      <c r="E51" s="544"/>
      <c r="F51" s="509"/>
      <c r="G51" s="509"/>
      <c r="H51" s="509"/>
      <c r="I51" s="509"/>
      <c r="J51" s="509"/>
      <c r="K51" s="509"/>
      <c r="L51" s="509"/>
      <c r="M51" s="509"/>
      <c r="N51" s="509"/>
      <c r="O51" s="509"/>
      <c r="P51" s="509"/>
      <c r="Q51" s="509"/>
      <c r="R51" s="509"/>
      <c r="S51" s="251">
        <f t="shared" ref="S51:S91" si="25">SUM(G51:R51)</f>
        <v>0</v>
      </c>
      <c r="T51" s="510">
        <f t="shared" si="20"/>
        <v>0</v>
      </c>
      <c r="U51" s="511">
        <f t="shared" si="21"/>
        <v>0</v>
      </c>
      <c r="V51" s="462"/>
      <c r="W51" s="316"/>
      <c r="X51" s="104"/>
      <c r="Y51"/>
      <c r="Z51" s="124"/>
      <c r="AA51" s="104"/>
      <c r="AB51" s="265"/>
      <c r="AC51" s="267"/>
      <c r="AD51" s="267"/>
      <c r="AE51" s="267"/>
      <c r="AF51" s="267"/>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4"/>
      <c r="BU51" s="104"/>
      <c r="BV51" s="104"/>
      <c r="BW51" s="104"/>
      <c r="BX51" s="104"/>
      <c r="BY51" s="104"/>
      <c r="BZ51" s="104"/>
      <c r="CA51" s="104"/>
      <c r="CB51" s="104"/>
      <c r="CC51" s="104"/>
      <c r="CD51" s="104"/>
      <c r="CE51" s="104"/>
      <c r="CF51" s="104"/>
      <c r="CG51" s="104"/>
      <c r="CH51" s="104"/>
    </row>
    <row r="52" spans="1:86" ht="15.75" customHeight="1" x14ac:dyDescent="0.2">
      <c r="A52" s="487">
        <v>11198</v>
      </c>
      <c r="B52" s="255">
        <v>2024</v>
      </c>
      <c r="C52" s="252" t="s">
        <v>46</v>
      </c>
      <c r="D52" s="512">
        <v>21.5</v>
      </c>
      <c r="E52" s="318">
        <v>119</v>
      </c>
      <c r="F52" s="241">
        <v>0</v>
      </c>
      <c r="G52" s="293">
        <v>3</v>
      </c>
      <c r="H52" s="293"/>
      <c r="I52" s="293"/>
      <c r="J52" s="293"/>
      <c r="K52" s="293"/>
      <c r="L52" s="293"/>
      <c r="M52" s="293"/>
      <c r="N52" s="293"/>
      <c r="O52" s="293"/>
      <c r="P52" s="293"/>
      <c r="Q52" s="293"/>
      <c r="R52" s="293"/>
      <c r="S52" s="256">
        <f t="shared" si="25"/>
        <v>3</v>
      </c>
      <c r="T52" s="512">
        <f t="shared" si="20"/>
        <v>3</v>
      </c>
      <c r="U52" s="513">
        <f t="shared" si="21"/>
        <v>38.666666666666664</v>
      </c>
      <c r="V52" s="461">
        <f t="shared" ref="V52:V71" si="26">E52+F52-S52</f>
        <v>116</v>
      </c>
      <c r="W52" s="255">
        <v>2024</v>
      </c>
      <c r="X52" s="252" t="s">
        <v>46</v>
      </c>
      <c r="Y52"/>
      <c r="Z52" s="124"/>
      <c r="AA52" s="104"/>
      <c r="AB52" s="265"/>
      <c r="AC52" s="267"/>
      <c r="AD52" s="267"/>
      <c r="AE52" s="267"/>
      <c r="AF52" s="267"/>
      <c r="AG52" s="104"/>
      <c r="AH52" s="104"/>
      <c r="AI52" s="104"/>
      <c r="AJ52" s="104"/>
      <c r="AK52" s="104"/>
      <c r="AL52" s="104"/>
      <c r="AM52" s="104"/>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4"/>
      <c r="BR52" s="104"/>
      <c r="BS52" s="104"/>
      <c r="BT52" s="104"/>
      <c r="BU52" s="104"/>
      <c r="BV52" s="104"/>
      <c r="BW52" s="104"/>
      <c r="BX52" s="104"/>
      <c r="BY52" s="104"/>
      <c r="BZ52" s="104"/>
      <c r="CA52" s="104"/>
      <c r="CB52" s="104"/>
      <c r="CC52" s="104"/>
      <c r="CD52" s="104"/>
      <c r="CE52" s="104"/>
      <c r="CF52" s="104"/>
      <c r="CG52" s="104"/>
      <c r="CH52" s="104"/>
    </row>
    <row r="53" spans="1:86" ht="15.75" customHeight="1" x14ac:dyDescent="0.2">
      <c r="A53" s="487"/>
      <c r="B53" s="255">
        <v>2024</v>
      </c>
      <c r="C53" s="252" t="s">
        <v>775</v>
      </c>
      <c r="D53" s="512"/>
      <c r="E53" s="318">
        <v>85</v>
      </c>
      <c r="F53" s="241">
        <v>0</v>
      </c>
      <c r="G53" s="293">
        <v>3</v>
      </c>
      <c r="H53" s="293"/>
      <c r="I53" s="293">
        <v>6</v>
      </c>
      <c r="J53" s="293"/>
      <c r="K53" s="293"/>
      <c r="L53" s="293"/>
      <c r="M53" s="293"/>
      <c r="N53" s="293"/>
      <c r="O53" s="293"/>
      <c r="P53" s="293"/>
      <c r="Q53" s="293"/>
      <c r="R53" s="293"/>
      <c r="S53" s="256">
        <f t="shared" si="25"/>
        <v>9</v>
      </c>
      <c r="T53" s="512">
        <f t="shared" si="20"/>
        <v>4.5</v>
      </c>
      <c r="U53" s="513">
        <f t="shared" si="21"/>
        <v>16.888888888888889</v>
      </c>
      <c r="V53" s="461">
        <f t="shared" si="26"/>
        <v>76</v>
      </c>
      <c r="W53" s="255">
        <v>2024</v>
      </c>
      <c r="X53" s="252" t="s">
        <v>46</v>
      </c>
      <c r="Y53"/>
      <c r="Z53" s="124"/>
      <c r="AA53" s="104"/>
      <c r="AB53" s="265"/>
      <c r="AC53" s="267"/>
      <c r="AD53" s="267"/>
      <c r="AE53" s="267"/>
      <c r="AF53" s="267"/>
      <c r="AG53" s="104"/>
      <c r="AH53" s="104"/>
      <c r="AI53" s="104"/>
      <c r="AJ53" s="104"/>
      <c r="AK53" s="104"/>
      <c r="AL53" s="104"/>
      <c r="AM53" s="104"/>
      <c r="AN53" s="104"/>
      <c r="AO53" s="104"/>
      <c r="AP53" s="104"/>
      <c r="AQ53" s="104"/>
      <c r="AR53" s="104"/>
      <c r="AS53" s="104"/>
      <c r="AT53" s="104"/>
      <c r="AU53" s="104"/>
      <c r="AV53" s="104"/>
      <c r="AW53" s="104"/>
      <c r="AX53" s="104"/>
      <c r="AY53" s="104"/>
      <c r="AZ53" s="104"/>
      <c r="BA53" s="104"/>
      <c r="BB53" s="104"/>
      <c r="BC53" s="104"/>
      <c r="BD53" s="104"/>
      <c r="BE53" s="104"/>
      <c r="BF53" s="104"/>
      <c r="BG53" s="104"/>
      <c r="BH53" s="104"/>
      <c r="BI53" s="104"/>
      <c r="BJ53" s="104"/>
      <c r="BK53" s="104"/>
      <c r="BL53" s="104"/>
      <c r="BM53" s="104"/>
      <c r="BN53" s="104"/>
      <c r="BO53" s="104"/>
      <c r="BP53" s="104"/>
      <c r="BQ53" s="104"/>
      <c r="BR53" s="104"/>
      <c r="BS53" s="104"/>
      <c r="BT53" s="104"/>
      <c r="BU53" s="104"/>
      <c r="BV53" s="104"/>
      <c r="BW53" s="104"/>
      <c r="BX53" s="104"/>
      <c r="BY53" s="104"/>
      <c r="BZ53" s="104"/>
      <c r="CA53" s="104"/>
      <c r="CB53" s="104"/>
      <c r="CC53" s="104"/>
      <c r="CD53" s="104"/>
      <c r="CE53" s="104"/>
      <c r="CF53" s="104"/>
      <c r="CG53" s="104"/>
      <c r="CH53" s="104"/>
    </row>
    <row r="54" spans="1:86" ht="15.75" customHeight="1" x14ac:dyDescent="0.2">
      <c r="A54" s="487">
        <v>168933</v>
      </c>
      <c r="B54" s="255">
        <v>2024</v>
      </c>
      <c r="C54" s="252" t="s">
        <v>468</v>
      </c>
      <c r="D54" s="512">
        <v>14</v>
      </c>
      <c r="E54" s="318">
        <v>263</v>
      </c>
      <c r="F54" s="241">
        <v>0</v>
      </c>
      <c r="G54" s="293"/>
      <c r="H54" s="293"/>
      <c r="I54" s="293"/>
      <c r="J54" s="293"/>
      <c r="K54" s="293"/>
      <c r="L54" s="293"/>
      <c r="M54" s="293"/>
      <c r="N54" s="293"/>
      <c r="O54" s="293"/>
      <c r="P54" s="293"/>
      <c r="Q54" s="293"/>
      <c r="R54" s="293"/>
      <c r="S54" s="256">
        <f t="shared" si="25"/>
        <v>0</v>
      </c>
      <c r="T54" s="512">
        <f t="shared" si="20"/>
        <v>0</v>
      </c>
      <c r="U54" s="513">
        <f t="shared" si="21"/>
        <v>0</v>
      </c>
      <c r="V54" s="461">
        <f t="shared" si="26"/>
        <v>263</v>
      </c>
      <c r="W54" s="255">
        <v>2024</v>
      </c>
      <c r="X54" s="252" t="s">
        <v>468</v>
      </c>
      <c r="Y54"/>
      <c r="Z54" s="124"/>
      <c r="AA54" s="104"/>
      <c r="AB54" s="265"/>
      <c r="AC54" s="267"/>
      <c r="AD54" s="267"/>
      <c r="AE54" s="267"/>
      <c r="AF54" s="267"/>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104"/>
      <c r="BZ54" s="104"/>
      <c r="CA54" s="104"/>
      <c r="CB54" s="104"/>
      <c r="CC54" s="104"/>
      <c r="CD54" s="104"/>
      <c r="CE54" s="104"/>
      <c r="CF54" s="104"/>
      <c r="CG54" s="104"/>
      <c r="CH54" s="104"/>
    </row>
    <row r="55" spans="1:86" ht="15.75" customHeight="1" x14ac:dyDescent="0.2">
      <c r="A55" s="487" t="s">
        <v>35</v>
      </c>
      <c r="B55" s="255">
        <v>2024</v>
      </c>
      <c r="C55" s="252" t="s">
        <v>777</v>
      </c>
      <c r="D55" s="512">
        <v>14</v>
      </c>
      <c r="E55" s="318">
        <v>65</v>
      </c>
      <c r="F55" s="241">
        <v>0</v>
      </c>
      <c r="G55" s="293">
        <v>3</v>
      </c>
      <c r="H55" s="293">
        <v>2</v>
      </c>
      <c r="I55" s="293">
        <v>2</v>
      </c>
      <c r="J55" s="293"/>
      <c r="K55" s="293"/>
      <c r="L55" s="293"/>
      <c r="M55" s="293"/>
      <c r="N55" s="293"/>
      <c r="O55" s="293"/>
      <c r="P55" s="293"/>
      <c r="Q55" s="293"/>
      <c r="R55" s="293"/>
      <c r="S55" s="256">
        <f t="shared" si="25"/>
        <v>7</v>
      </c>
      <c r="T55" s="512">
        <f t="shared" si="20"/>
        <v>2.3333333333333335</v>
      </c>
      <c r="U55" s="513">
        <f t="shared" si="21"/>
        <v>24.857142857142854</v>
      </c>
      <c r="V55" s="461">
        <f t="shared" si="26"/>
        <v>58</v>
      </c>
      <c r="W55" s="255">
        <v>2024</v>
      </c>
      <c r="X55" s="252" t="s">
        <v>778</v>
      </c>
      <c r="Y55"/>
      <c r="Z55" s="124"/>
      <c r="AA55" s="104"/>
      <c r="AB55" s="265"/>
      <c r="AC55" s="495"/>
      <c r="AD55" s="267"/>
      <c r="AE55" s="267"/>
      <c r="AF55" s="267"/>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row>
    <row r="56" spans="1:86" ht="15.75" customHeight="1" x14ac:dyDescent="0.2">
      <c r="A56" s="487">
        <v>57632</v>
      </c>
      <c r="B56" s="255">
        <v>2024</v>
      </c>
      <c r="C56" s="252" t="s">
        <v>31</v>
      </c>
      <c r="D56" s="512">
        <v>9</v>
      </c>
      <c r="E56" s="318">
        <v>216</v>
      </c>
      <c r="F56" s="241">
        <v>0</v>
      </c>
      <c r="G56" s="293">
        <v>3</v>
      </c>
      <c r="H56" s="293"/>
      <c r="I56" s="293"/>
      <c r="J56" s="293"/>
      <c r="K56" s="293"/>
      <c r="L56" s="293"/>
      <c r="M56" s="293"/>
      <c r="N56" s="293"/>
      <c r="O56" s="293"/>
      <c r="P56" s="293"/>
      <c r="Q56" s="293"/>
      <c r="R56" s="293"/>
      <c r="S56" s="256">
        <f t="shared" si="25"/>
        <v>3</v>
      </c>
      <c r="T56" s="512">
        <f t="shared" si="20"/>
        <v>3</v>
      </c>
      <c r="U56" s="513">
        <f t="shared" si="21"/>
        <v>71</v>
      </c>
      <c r="V56" s="461">
        <f t="shared" si="26"/>
        <v>213</v>
      </c>
      <c r="W56" s="255">
        <v>2024</v>
      </c>
      <c r="X56" s="252" t="s">
        <v>31</v>
      </c>
      <c r="Y56"/>
      <c r="Z56" s="124"/>
      <c r="AA56" s="104"/>
      <c r="AB56" s="265"/>
      <c r="AC56" s="495"/>
      <c r="AD56" s="267"/>
      <c r="AE56" s="267"/>
      <c r="AF56" s="267"/>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104"/>
      <c r="CG56" s="104"/>
      <c r="CH56" s="104"/>
    </row>
    <row r="57" spans="1:86" ht="15.75" customHeight="1" x14ac:dyDescent="0.2">
      <c r="A57" s="487">
        <v>57630</v>
      </c>
      <c r="B57" s="255">
        <v>2024</v>
      </c>
      <c r="C57" s="252" t="s">
        <v>25</v>
      </c>
      <c r="D57" s="512">
        <v>10</v>
      </c>
      <c r="E57" s="318">
        <v>336</v>
      </c>
      <c r="F57" s="241">
        <v>0</v>
      </c>
      <c r="G57" s="293"/>
      <c r="H57" s="293"/>
      <c r="I57" s="293"/>
      <c r="J57" s="293"/>
      <c r="K57" s="293"/>
      <c r="L57" s="293"/>
      <c r="M57" s="293"/>
      <c r="N57" s="293"/>
      <c r="O57" s="293"/>
      <c r="P57" s="293"/>
      <c r="Q57" s="293"/>
      <c r="R57" s="293"/>
      <c r="S57" s="256">
        <f t="shared" si="25"/>
        <v>0</v>
      </c>
      <c r="T57" s="512">
        <f t="shared" si="20"/>
        <v>0</v>
      </c>
      <c r="U57" s="513">
        <f t="shared" si="21"/>
        <v>0</v>
      </c>
      <c r="V57" s="461">
        <f t="shared" si="26"/>
        <v>336</v>
      </c>
      <c r="W57" s="255">
        <v>2024</v>
      </c>
      <c r="X57" s="252" t="s">
        <v>25</v>
      </c>
      <c r="Y57"/>
      <c r="Z57" s="124"/>
      <c r="AA57" s="104"/>
      <c r="AB57" s="265"/>
      <c r="AC57" s="495"/>
      <c r="AD57" s="267"/>
      <c r="AE57" s="267"/>
      <c r="AF57" s="267"/>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row>
    <row r="58" spans="1:86" ht="15.75" customHeight="1" x14ac:dyDescent="0.2">
      <c r="A58" s="487">
        <v>111575</v>
      </c>
      <c r="B58" s="255">
        <v>2024</v>
      </c>
      <c r="C58" s="252" t="s">
        <v>110</v>
      </c>
      <c r="D58" s="512">
        <v>2</v>
      </c>
      <c r="E58" s="318">
        <v>258</v>
      </c>
      <c r="F58" s="241">
        <v>0</v>
      </c>
      <c r="G58" s="293">
        <v>2</v>
      </c>
      <c r="H58" s="293"/>
      <c r="I58" s="293"/>
      <c r="J58" s="293"/>
      <c r="K58" s="293"/>
      <c r="L58" s="293"/>
      <c r="M58" s="293"/>
      <c r="N58" s="293"/>
      <c r="O58" s="293"/>
      <c r="P58" s="293"/>
      <c r="Q58" s="293"/>
      <c r="R58" s="293"/>
      <c r="S58" s="256">
        <f t="shared" si="25"/>
        <v>2</v>
      </c>
      <c r="T58" s="512">
        <f t="shared" si="20"/>
        <v>2</v>
      </c>
      <c r="U58" s="513">
        <f t="shared" si="21"/>
        <v>128</v>
      </c>
      <c r="V58" s="461">
        <f t="shared" si="26"/>
        <v>256</v>
      </c>
      <c r="W58" s="255">
        <v>2024</v>
      </c>
      <c r="X58" s="252" t="s">
        <v>110</v>
      </c>
      <c r="Y58"/>
      <c r="Z58" s="124"/>
      <c r="AA58" s="104"/>
      <c r="AB58" s="265"/>
      <c r="AC58" s="495"/>
      <c r="AD58" s="267"/>
      <c r="AE58" s="267"/>
      <c r="AF58" s="267"/>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row>
    <row r="59" spans="1:86" ht="15.75" customHeight="1" x14ac:dyDescent="0.2">
      <c r="A59" s="487" t="s">
        <v>35</v>
      </c>
      <c r="B59" s="255">
        <v>2024</v>
      </c>
      <c r="C59" s="252" t="s">
        <v>761</v>
      </c>
      <c r="D59" s="512">
        <v>2</v>
      </c>
      <c r="E59" s="318">
        <v>123</v>
      </c>
      <c r="F59" s="241">
        <v>0</v>
      </c>
      <c r="G59" s="396">
        <v>0</v>
      </c>
      <c r="H59" s="283">
        <v>8</v>
      </c>
      <c r="I59" s="283">
        <v>10</v>
      </c>
      <c r="J59" s="283"/>
      <c r="K59" s="283"/>
      <c r="L59" s="283"/>
      <c r="M59" s="283"/>
      <c r="N59" s="283"/>
      <c r="O59" s="283"/>
      <c r="P59" s="283"/>
      <c r="Q59" s="283"/>
      <c r="R59" s="283"/>
      <c r="S59" s="256">
        <f t="shared" si="25"/>
        <v>18</v>
      </c>
      <c r="T59" s="512">
        <f t="shared" si="20"/>
        <v>6</v>
      </c>
      <c r="U59" s="513">
        <f t="shared" si="21"/>
        <v>17.5</v>
      </c>
      <c r="V59" s="461">
        <f t="shared" si="26"/>
        <v>105</v>
      </c>
      <c r="W59" s="255">
        <v>2024</v>
      </c>
      <c r="X59" s="252" t="s">
        <v>633</v>
      </c>
      <c r="Y59"/>
      <c r="Z59" s="124"/>
      <c r="AA59" s="104"/>
      <c r="AB59" s="265"/>
      <c r="AC59" s="495"/>
      <c r="AD59" s="267"/>
      <c r="AE59" s="267"/>
      <c r="AF59" s="267"/>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104"/>
      <c r="CG59" s="104"/>
      <c r="CH59" s="104"/>
    </row>
    <row r="60" spans="1:86" ht="15.75" customHeight="1" x14ac:dyDescent="0.2">
      <c r="A60" s="487">
        <v>196808</v>
      </c>
      <c r="B60" s="255">
        <v>2024</v>
      </c>
      <c r="C60" s="252" t="s">
        <v>575</v>
      </c>
      <c r="D60" s="512">
        <v>13.875</v>
      </c>
      <c r="E60" s="318">
        <v>41</v>
      </c>
      <c r="F60" s="241">
        <v>44</v>
      </c>
      <c r="G60" s="283">
        <v>12</v>
      </c>
      <c r="H60" s="283">
        <v>11</v>
      </c>
      <c r="I60" s="283">
        <v>12</v>
      </c>
      <c r="J60" s="283"/>
      <c r="K60" s="283"/>
      <c r="L60" s="283"/>
      <c r="M60" s="283"/>
      <c r="N60" s="283"/>
      <c r="O60" s="283"/>
      <c r="P60" s="283"/>
      <c r="Q60" s="283"/>
      <c r="R60" s="283"/>
      <c r="S60" s="256">
        <f t="shared" si="25"/>
        <v>35</v>
      </c>
      <c r="T60" s="512">
        <f t="shared" si="20"/>
        <v>11.666666666666666</v>
      </c>
      <c r="U60" s="513">
        <f t="shared" si="21"/>
        <v>4.2857142857142856</v>
      </c>
      <c r="V60" s="461">
        <f t="shared" si="26"/>
        <v>50</v>
      </c>
      <c r="W60" s="255">
        <v>2024</v>
      </c>
      <c r="X60" s="252" t="s">
        <v>25</v>
      </c>
      <c r="Y60"/>
      <c r="Z60" s="124"/>
      <c r="AA60" s="104"/>
      <c r="AB60" s="265"/>
      <c r="AC60" s="495"/>
      <c r="AD60" s="267"/>
      <c r="AE60" s="267"/>
      <c r="AF60" s="267"/>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104"/>
      <c r="CG60" s="104"/>
      <c r="CH60" s="104"/>
    </row>
    <row r="61" spans="1:86" ht="15.75" customHeight="1" x14ac:dyDescent="0.2">
      <c r="A61" s="252"/>
      <c r="B61" s="255">
        <v>2024</v>
      </c>
      <c r="C61" s="252" t="s">
        <v>785</v>
      </c>
      <c r="D61" s="512"/>
      <c r="E61" s="318">
        <v>386</v>
      </c>
      <c r="F61" s="241">
        <v>0</v>
      </c>
      <c r="G61" s="546">
        <v>0</v>
      </c>
      <c r="H61" s="529">
        <v>56</v>
      </c>
      <c r="I61" s="529">
        <v>49</v>
      </c>
      <c r="J61" s="529"/>
      <c r="K61" s="529"/>
      <c r="L61" s="529"/>
      <c r="M61" s="529"/>
      <c r="N61" s="529"/>
      <c r="O61" s="529"/>
      <c r="P61" s="529"/>
      <c r="Q61" s="529"/>
      <c r="R61" s="529"/>
      <c r="S61" s="256">
        <f t="shared" si="25"/>
        <v>105</v>
      </c>
      <c r="T61" s="512">
        <f t="shared" si="20"/>
        <v>35</v>
      </c>
      <c r="U61" s="513">
        <f t="shared" si="21"/>
        <v>8.0285714285714285</v>
      </c>
      <c r="V61" s="461">
        <f t="shared" si="26"/>
        <v>281</v>
      </c>
      <c r="W61" s="255">
        <v>2024</v>
      </c>
      <c r="X61" s="252" t="s">
        <v>785</v>
      </c>
      <c r="Y61"/>
      <c r="Z61" s="124"/>
      <c r="AA61" s="104"/>
      <c r="AB61" s="265"/>
      <c r="AC61" s="495"/>
      <c r="AD61" s="267"/>
      <c r="AE61" s="267"/>
      <c r="AF61" s="267"/>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4"/>
      <c r="CE61" s="104"/>
      <c r="CF61" s="104"/>
      <c r="CG61" s="104"/>
      <c r="CH61" s="104"/>
    </row>
    <row r="62" spans="1:86" ht="15.75" customHeight="1" x14ac:dyDescent="0.2">
      <c r="A62" s="487">
        <v>133688</v>
      </c>
      <c r="B62" s="255">
        <v>2024</v>
      </c>
      <c r="C62" s="252" t="s">
        <v>23</v>
      </c>
      <c r="D62" s="512">
        <v>0</v>
      </c>
      <c r="E62" s="318">
        <v>191</v>
      </c>
      <c r="F62" s="241">
        <v>0</v>
      </c>
      <c r="G62" s="293" t="s">
        <v>35</v>
      </c>
      <c r="H62" s="293">
        <v>2</v>
      </c>
      <c r="I62" s="293"/>
      <c r="J62" s="293"/>
      <c r="K62" s="293"/>
      <c r="L62" s="293"/>
      <c r="M62" s="293"/>
      <c r="N62" s="293"/>
      <c r="O62" s="293"/>
      <c r="P62" s="293"/>
      <c r="Q62" s="293"/>
      <c r="R62" s="293"/>
      <c r="S62" s="256">
        <f t="shared" si="25"/>
        <v>2</v>
      </c>
      <c r="T62" s="512">
        <f t="shared" si="20"/>
        <v>2</v>
      </c>
      <c r="U62" s="513">
        <f t="shared" si="21"/>
        <v>94.5</v>
      </c>
      <c r="V62" s="461">
        <f t="shared" si="26"/>
        <v>189</v>
      </c>
      <c r="W62" s="255">
        <v>2024</v>
      </c>
      <c r="X62" s="252" t="s">
        <v>23</v>
      </c>
      <c r="Y62"/>
      <c r="Z62" s="124"/>
      <c r="AA62" s="104"/>
      <c r="AB62" s="265"/>
      <c r="AC62" s="495"/>
      <c r="AD62" s="267"/>
      <c r="AE62" s="267"/>
      <c r="AF62" s="267"/>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row>
    <row r="63" spans="1:86" ht="15.75" customHeight="1" x14ac:dyDescent="0.2">
      <c r="A63" s="487">
        <v>133687</v>
      </c>
      <c r="B63" s="255">
        <v>2024</v>
      </c>
      <c r="C63" s="252" t="s">
        <v>93</v>
      </c>
      <c r="D63" s="512">
        <v>0</v>
      </c>
      <c r="E63" s="318">
        <v>0</v>
      </c>
      <c r="F63" s="241">
        <v>0</v>
      </c>
      <c r="G63" s="293"/>
      <c r="H63" s="293"/>
      <c r="I63" s="293"/>
      <c r="J63" s="293"/>
      <c r="K63" s="293"/>
      <c r="L63" s="293"/>
      <c r="M63" s="293"/>
      <c r="N63" s="293"/>
      <c r="O63" s="293"/>
      <c r="P63" s="293"/>
      <c r="Q63" s="293"/>
      <c r="R63" s="293"/>
      <c r="S63" s="256">
        <f t="shared" si="25"/>
        <v>0</v>
      </c>
      <c r="T63" s="512">
        <f t="shared" si="20"/>
        <v>0</v>
      </c>
      <c r="U63" s="513">
        <f t="shared" si="21"/>
        <v>0</v>
      </c>
      <c r="V63" s="461">
        <f t="shared" si="26"/>
        <v>0</v>
      </c>
      <c r="W63" s="255">
        <v>2024</v>
      </c>
      <c r="X63" s="252" t="s">
        <v>393</v>
      </c>
      <c r="Y63"/>
      <c r="Z63" s="124"/>
      <c r="AA63" s="104"/>
      <c r="AB63" s="265"/>
      <c r="AC63" s="495"/>
      <c r="AD63" s="267"/>
      <c r="AE63" s="267"/>
      <c r="AF63" s="267"/>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4"/>
      <c r="CE63" s="104"/>
      <c r="CF63" s="104"/>
      <c r="CG63" s="104"/>
      <c r="CH63" s="104"/>
    </row>
    <row r="64" spans="1:86" ht="15.75" customHeight="1" x14ac:dyDescent="0.2">
      <c r="A64" s="252">
        <v>22384</v>
      </c>
      <c r="B64" s="255">
        <v>2024</v>
      </c>
      <c r="C64" s="252" t="s">
        <v>26</v>
      </c>
      <c r="D64" s="512">
        <v>0</v>
      </c>
      <c r="E64" s="318">
        <v>0</v>
      </c>
      <c r="F64" s="241">
        <v>0</v>
      </c>
      <c r="G64" s="293"/>
      <c r="H64" s="293"/>
      <c r="I64" s="293"/>
      <c r="J64" s="293"/>
      <c r="K64" s="293"/>
      <c r="L64" s="293"/>
      <c r="M64" s="293"/>
      <c r="N64" s="293"/>
      <c r="O64" s="293"/>
      <c r="P64" s="293"/>
      <c r="Q64" s="293"/>
      <c r="R64" s="293"/>
      <c r="S64" s="256">
        <f t="shared" si="25"/>
        <v>0</v>
      </c>
      <c r="T64" s="512">
        <f t="shared" si="20"/>
        <v>0</v>
      </c>
      <c r="U64" s="513">
        <f t="shared" si="21"/>
        <v>0</v>
      </c>
      <c r="V64" s="461">
        <f t="shared" si="26"/>
        <v>0</v>
      </c>
      <c r="W64" s="255">
        <v>2024</v>
      </c>
      <c r="X64" s="252" t="s">
        <v>26</v>
      </c>
      <c r="Y64"/>
      <c r="Z64" s="124"/>
      <c r="AA64" s="104"/>
      <c r="AB64" s="265"/>
      <c r="AC64" s="495"/>
      <c r="AD64" s="267"/>
      <c r="AE64" s="267"/>
      <c r="AF64" s="267"/>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104"/>
      <c r="CG64" s="104"/>
      <c r="CH64" s="104"/>
    </row>
    <row r="65" spans="1:86" ht="15.75" customHeight="1" x14ac:dyDescent="0.2">
      <c r="A65" s="104">
        <v>27736</v>
      </c>
      <c r="B65" s="255">
        <v>2024</v>
      </c>
      <c r="C65" s="252" t="s">
        <v>70</v>
      </c>
      <c r="D65" s="512">
        <v>0</v>
      </c>
      <c r="E65" s="318">
        <v>0</v>
      </c>
      <c r="F65" s="241">
        <v>0</v>
      </c>
      <c r="G65" s="293"/>
      <c r="H65" s="293"/>
      <c r="I65" s="293"/>
      <c r="J65" s="293"/>
      <c r="K65" s="293"/>
      <c r="L65" s="293"/>
      <c r="M65" s="293"/>
      <c r="N65" s="293"/>
      <c r="O65" s="293"/>
      <c r="P65" s="293"/>
      <c r="Q65" s="293"/>
      <c r="R65" s="293"/>
      <c r="S65" s="256">
        <f t="shared" si="25"/>
        <v>0</v>
      </c>
      <c r="T65" s="512">
        <f t="shared" si="20"/>
        <v>0</v>
      </c>
      <c r="U65" s="513">
        <f t="shared" si="21"/>
        <v>0</v>
      </c>
      <c r="V65" s="461">
        <f t="shared" si="26"/>
        <v>0</v>
      </c>
      <c r="W65" s="255">
        <v>2024</v>
      </c>
      <c r="X65" s="252" t="s">
        <v>116</v>
      </c>
      <c r="Y65"/>
      <c r="Z65" s="124"/>
      <c r="AA65" s="104"/>
      <c r="AB65" s="265"/>
      <c r="AC65" s="495"/>
      <c r="AD65" s="267"/>
      <c r="AE65" s="267"/>
      <c r="AF65" s="267"/>
      <c r="AG65" s="104"/>
      <c r="AH65" s="104"/>
      <c r="AI65" s="104"/>
      <c r="AJ65" s="104"/>
      <c r="AK65" s="104"/>
      <c r="AL65" s="104"/>
      <c r="AM65" s="104"/>
      <c r="AN65" s="104"/>
      <c r="AO65" s="104"/>
      <c r="AP65" s="104"/>
      <c r="AQ65" s="104"/>
      <c r="AR65" s="104"/>
      <c r="AS65" s="104"/>
      <c r="AT65" s="104"/>
      <c r="AU65" s="104"/>
      <c r="AV65" s="104"/>
      <c r="AW65" s="104"/>
      <c r="AX65" s="104"/>
      <c r="AY65" s="104"/>
      <c r="AZ65" s="104"/>
      <c r="BA65" s="104"/>
      <c r="BB65" s="104"/>
      <c r="BC65" s="104"/>
      <c r="BD65" s="104"/>
      <c r="BE65" s="104"/>
      <c r="BF65" s="104"/>
      <c r="BG65" s="104"/>
      <c r="BH65" s="104"/>
      <c r="BI65" s="104"/>
      <c r="BJ65" s="104"/>
      <c r="BK65" s="104"/>
      <c r="BL65" s="104"/>
      <c r="BM65" s="104"/>
      <c r="BN65" s="104"/>
      <c r="BO65" s="104"/>
      <c r="BP65" s="104"/>
      <c r="BQ65" s="104"/>
      <c r="BR65" s="104"/>
      <c r="BS65" s="104"/>
      <c r="BT65" s="104"/>
      <c r="BU65" s="104"/>
      <c r="BV65" s="104"/>
      <c r="BW65" s="104"/>
      <c r="BX65" s="104"/>
      <c r="BY65" s="104"/>
      <c r="BZ65" s="104"/>
      <c r="CA65" s="104"/>
      <c r="CB65" s="104"/>
      <c r="CC65" s="104"/>
      <c r="CD65" s="104"/>
      <c r="CE65" s="104"/>
      <c r="CF65" s="104"/>
      <c r="CG65" s="104"/>
      <c r="CH65" s="104"/>
    </row>
    <row r="66" spans="1:86" ht="15.75" customHeight="1" x14ac:dyDescent="0.2">
      <c r="A66" s="252">
        <v>135370</v>
      </c>
      <c r="B66" s="255">
        <v>2024</v>
      </c>
      <c r="C66" s="252" t="s">
        <v>217</v>
      </c>
      <c r="D66" s="512">
        <v>0</v>
      </c>
      <c r="E66" s="318">
        <v>0</v>
      </c>
      <c r="F66" s="241">
        <v>0</v>
      </c>
      <c r="G66" s="293"/>
      <c r="H66" s="293"/>
      <c r="I66" s="293"/>
      <c r="J66" s="293"/>
      <c r="K66" s="293"/>
      <c r="L66" s="293"/>
      <c r="M66" s="293"/>
      <c r="N66" s="293"/>
      <c r="O66" s="293"/>
      <c r="P66" s="293"/>
      <c r="Q66" s="293"/>
      <c r="R66" s="293"/>
      <c r="S66" s="256">
        <f t="shared" si="25"/>
        <v>0</v>
      </c>
      <c r="T66" s="512">
        <f t="shared" si="20"/>
        <v>0</v>
      </c>
      <c r="U66" s="513">
        <f t="shared" si="21"/>
        <v>0</v>
      </c>
      <c r="V66" s="461">
        <f t="shared" si="26"/>
        <v>0</v>
      </c>
      <c r="W66" s="255">
        <v>2024</v>
      </c>
      <c r="X66" s="252" t="s">
        <v>505</v>
      </c>
      <c r="Y66"/>
      <c r="Z66" s="124"/>
      <c r="AA66" s="104"/>
      <c r="AB66" s="265"/>
      <c r="AC66" s="495"/>
      <c r="AD66" s="267"/>
      <c r="AE66" s="267"/>
      <c r="AF66" s="267"/>
      <c r="AG66" s="104"/>
      <c r="AH66" s="104"/>
      <c r="AI66" s="104"/>
      <c r="AJ66" s="104"/>
      <c r="AK66" s="104"/>
      <c r="AL66" s="104"/>
      <c r="AM66" s="104"/>
      <c r="AN66" s="104"/>
      <c r="AO66" s="104"/>
      <c r="AP66" s="104"/>
      <c r="AQ66" s="104"/>
      <c r="AR66" s="104"/>
      <c r="AS66" s="104"/>
      <c r="AT66" s="104"/>
      <c r="AU66" s="104"/>
      <c r="AV66" s="104"/>
      <c r="AW66" s="104"/>
      <c r="AX66" s="104"/>
      <c r="AY66" s="104"/>
      <c r="AZ66" s="104"/>
      <c r="BA66" s="104"/>
      <c r="BB66" s="104"/>
      <c r="BC66" s="104"/>
      <c r="BD66" s="104"/>
      <c r="BE66" s="104"/>
      <c r="BF66" s="104"/>
      <c r="BG66" s="104"/>
      <c r="BH66" s="104"/>
      <c r="BI66" s="104"/>
      <c r="BJ66" s="104"/>
      <c r="BK66" s="104"/>
      <c r="BL66" s="104"/>
      <c r="BM66" s="104"/>
      <c r="BN66" s="104"/>
      <c r="BO66" s="104"/>
      <c r="BP66" s="104"/>
      <c r="BQ66" s="104"/>
      <c r="BR66" s="104"/>
      <c r="BS66" s="104"/>
      <c r="BT66" s="104"/>
      <c r="BU66" s="104"/>
      <c r="BV66" s="104"/>
      <c r="BW66" s="104"/>
      <c r="BX66" s="104"/>
      <c r="BY66" s="104"/>
      <c r="BZ66" s="104"/>
      <c r="CA66" s="104"/>
      <c r="CB66" s="104"/>
      <c r="CC66" s="104"/>
      <c r="CD66" s="104"/>
      <c r="CE66" s="104"/>
      <c r="CF66" s="104"/>
      <c r="CG66" s="104"/>
      <c r="CH66" s="104"/>
    </row>
    <row r="67" spans="1:86" ht="15.75" customHeight="1" x14ac:dyDescent="0.2">
      <c r="A67" s="535">
        <v>34641</v>
      </c>
      <c r="B67" s="255">
        <v>2024</v>
      </c>
      <c r="C67" s="252" t="s">
        <v>118</v>
      </c>
      <c r="D67" s="512">
        <v>0</v>
      </c>
      <c r="E67" s="318">
        <v>0</v>
      </c>
      <c r="F67" s="241">
        <v>0</v>
      </c>
      <c r="G67" s="293"/>
      <c r="H67" s="293"/>
      <c r="I67" s="293"/>
      <c r="J67" s="293"/>
      <c r="K67" s="293"/>
      <c r="L67" s="293"/>
      <c r="M67" s="293"/>
      <c r="N67" s="293"/>
      <c r="O67" s="293"/>
      <c r="P67" s="293"/>
      <c r="Q67" s="293"/>
      <c r="R67" s="293"/>
      <c r="S67" s="256">
        <f t="shared" si="25"/>
        <v>0</v>
      </c>
      <c r="T67" s="512">
        <f t="shared" si="20"/>
        <v>0</v>
      </c>
      <c r="U67" s="513">
        <f t="shared" si="21"/>
        <v>0</v>
      </c>
      <c r="V67" s="461">
        <f t="shared" si="26"/>
        <v>0</v>
      </c>
      <c r="W67" s="255">
        <v>2024</v>
      </c>
      <c r="X67" s="252" t="s">
        <v>118</v>
      </c>
      <c r="Y67"/>
      <c r="Z67" s="124"/>
      <c r="AA67" s="104"/>
      <c r="AB67" s="265"/>
      <c r="AC67" s="495"/>
      <c r="AD67" s="267"/>
      <c r="AE67" s="267"/>
      <c r="AF67" s="267"/>
      <c r="AG67" s="104"/>
      <c r="AH67" s="104"/>
      <c r="AI67" s="104"/>
      <c r="AJ67" s="104"/>
      <c r="AK67" s="104"/>
      <c r="AL67" s="104"/>
      <c r="AM67" s="104"/>
      <c r="AN67" s="104"/>
      <c r="AO67" s="104"/>
      <c r="AP67" s="104"/>
      <c r="AQ67" s="104"/>
      <c r="AR67" s="104"/>
      <c r="AS67" s="104"/>
      <c r="AT67" s="104"/>
      <c r="AU67" s="104"/>
      <c r="AV67" s="104"/>
      <c r="AW67" s="104"/>
      <c r="AX67" s="104"/>
      <c r="AY67" s="104"/>
      <c r="AZ67" s="104"/>
      <c r="BA67" s="104"/>
      <c r="BB67" s="104"/>
      <c r="BC67" s="104"/>
      <c r="BD67" s="104"/>
      <c r="BE67" s="104"/>
      <c r="BF67" s="104"/>
      <c r="BG67" s="104"/>
      <c r="BH67" s="104"/>
      <c r="BI67" s="104"/>
      <c r="BJ67" s="104"/>
      <c r="BK67" s="104"/>
      <c r="BL67" s="104"/>
      <c r="BM67" s="104"/>
      <c r="BN67" s="104"/>
      <c r="BO67" s="104"/>
      <c r="BP67" s="104"/>
      <c r="BQ67" s="104"/>
      <c r="BR67" s="104"/>
      <c r="BS67" s="104"/>
      <c r="BT67" s="104"/>
      <c r="BU67" s="104"/>
      <c r="BV67" s="104"/>
      <c r="BW67" s="104"/>
      <c r="BX67" s="104"/>
      <c r="BY67" s="104"/>
      <c r="BZ67" s="104"/>
      <c r="CA67" s="104"/>
      <c r="CB67" s="104"/>
      <c r="CC67" s="104"/>
      <c r="CD67" s="104"/>
      <c r="CE67" s="104"/>
      <c r="CF67" s="104"/>
      <c r="CG67" s="104"/>
      <c r="CH67" s="104"/>
    </row>
    <row r="68" spans="1:86" ht="15.75" customHeight="1" x14ac:dyDescent="0.2">
      <c r="A68" s="104">
        <v>196105</v>
      </c>
      <c r="B68" s="255">
        <v>2024</v>
      </c>
      <c r="C68" s="252" t="s">
        <v>547</v>
      </c>
      <c r="D68" s="512">
        <v>0</v>
      </c>
      <c r="E68" s="318">
        <v>121</v>
      </c>
      <c r="F68" s="241">
        <v>0</v>
      </c>
      <c r="G68" s="507" t="s">
        <v>35</v>
      </c>
      <c r="H68" s="293"/>
      <c r="I68" s="293"/>
      <c r="J68" s="293"/>
      <c r="K68" s="293"/>
      <c r="L68" s="293"/>
      <c r="M68" s="293"/>
      <c r="N68" s="293"/>
      <c r="O68" s="293"/>
      <c r="P68" s="293"/>
      <c r="Q68" s="293"/>
      <c r="R68" s="293"/>
      <c r="S68" s="256">
        <f t="shared" si="25"/>
        <v>0</v>
      </c>
      <c r="T68" s="512">
        <f t="shared" si="20"/>
        <v>0</v>
      </c>
      <c r="U68" s="513">
        <f t="shared" si="21"/>
        <v>0</v>
      </c>
      <c r="V68" s="461">
        <f t="shared" si="26"/>
        <v>121</v>
      </c>
      <c r="W68" s="255">
        <v>2024</v>
      </c>
      <c r="X68" s="252" t="s">
        <v>548</v>
      </c>
      <c r="Y68"/>
      <c r="Z68" s="124"/>
      <c r="AA68" s="104"/>
      <c r="AB68" s="265"/>
      <c r="AC68" s="495"/>
      <c r="AD68" s="267"/>
      <c r="AE68" s="267"/>
      <c r="AF68" s="267"/>
      <c r="AG68" s="104"/>
      <c r="AH68" s="104"/>
      <c r="AI68" s="104"/>
      <c r="AJ68" s="104"/>
      <c r="AK68" s="104"/>
      <c r="AL68" s="104"/>
      <c r="AM68" s="104"/>
      <c r="AN68" s="104"/>
      <c r="AO68" s="104"/>
      <c r="AP68" s="104"/>
      <c r="AQ68" s="104"/>
      <c r="AR68" s="104"/>
      <c r="AS68" s="104"/>
      <c r="AT68" s="104"/>
      <c r="AU68" s="104"/>
      <c r="AV68" s="104"/>
      <c r="AW68" s="104"/>
      <c r="AX68" s="104"/>
      <c r="AY68" s="104"/>
      <c r="AZ68" s="104"/>
      <c r="BA68" s="104"/>
      <c r="BB68" s="104"/>
      <c r="BC68" s="104"/>
      <c r="BD68" s="104"/>
      <c r="BE68" s="104"/>
      <c r="BF68" s="104"/>
      <c r="BG68" s="104"/>
      <c r="BH68" s="104"/>
      <c r="BI68" s="104"/>
      <c r="BJ68" s="104"/>
      <c r="BK68" s="104"/>
      <c r="BL68" s="104"/>
      <c r="BM68" s="104"/>
      <c r="BN68" s="104"/>
      <c r="BO68" s="104"/>
      <c r="BP68" s="104"/>
      <c r="BQ68" s="104"/>
      <c r="BR68" s="104"/>
      <c r="BS68" s="104"/>
      <c r="BT68" s="104"/>
      <c r="BU68" s="104"/>
      <c r="BV68" s="104"/>
      <c r="BW68" s="104"/>
      <c r="BX68" s="104"/>
      <c r="BY68" s="104"/>
      <c r="BZ68" s="104"/>
      <c r="CA68" s="104"/>
      <c r="CB68" s="104"/>
      <c r="CC68" s="104"/>
      <c r="CD68" s="104"/>
      <c r="CE68" s="104"/>
      <c r="CF68" s="104"/>
      <c r="CG68" s="104"/>
      <c r="CH68" s="104"/>
    </row>
    <row r="69" spans="1:86" ht="15.75" customHeight="1" x14ac:dyDescent="0.2">
      <c r="A69" s="487">
        <v>28361</v>
      </c>
      <c r="B69" s="255">
        <v>2024</v>
      </c>
      <c r="C69" s="252" t="s">
        <v>555</v>
      </c>
      <c r="D69" s="512">
        <v>0</v>
      </c>
      <c r="E69" s="318">
        <v>101</v>
      </c>
      <c r="F69" s="241">
        <v>0</v>
      </c>
      <c r="G69" s="293"/>
      <c r="H69" s="293"/>
      <c r="I69" s="293"/>
      <c r="J69" s="293"/>
      <c r="K69" s="293"/>
      <c r="L69" s="293"/>
      <c r="M69" s="293"/>
      <c r="N69" s="293"/>
      <c r="O69" s="293"/>
      <c r="P69" s="293"/>
      <c r="Q69" s="293"/>
      <c r="R69" s="293" t="s">
        <v>35</v>
      </c>
      <c r="S69" s="256">
        <f t="shared" si="25"/>
        <v>0</v>
      </c>
      <c r="T69" s="512">
        <f t="shared" si="20"/>
        <v>0</v>
      </c>
      <c r="U69" s="513">
        <f t="shared" si="21"/>
        <v>0</v>
      </c>
      <c r="V69" s="461">
        <f t="shared" si="26"/>
        <v>101</v>
      </c>
      <c r="W69" s="255">
        <v>2024</v>
      </c>
      <c r="X69" s="252" t="s">
        <v>627</v>
      </c>
      <c r="Y69"/>
      <c r="Z69" s="124"/>
      <c r="AA69" s="104"/>
      <c r="AB69" s="265"/>
      <c r="AC69" s="495"/>
      <c r="AD69" s="267"/>
      <c r="AE69" s="267"/>
      <c r="AF69" s="267"/>
      <c r="AG69" s="104"/>
      <c r="AH69" s="104"/>
      <c r="AI69" s="104"/>
      <c r="AJ69" s="104"/>
      <c r="AK69" s="104"/>
      <c r="AL69" s="104"/>
      <c r="AM69" s="104"/>
      <c r="AN69" s="104"/>
      <c r="AO69" s="104"/>
      <c r="AP69" s="104"/>
      <c r="AQ69" s="104"/>
      <c r="AR69" s="104"/>
      <c r="AS69" s="104"/>
      <c r="AT69" s="104"/>
      <c r="AU69" s="104"/>
      <c r="AV69" s="104"/>
      <c r="AW69" s="104"/>
      <c r="AX69" s="104"/>
      <c r="AY69" s="104"/>
      <c r="AZ69" s="104"/>
      <c r="BA69" s="104"/>
      <c r="BB69" s="104"/>
      <c r="BC69" s="104"/>
      <c r="BD69" s="104"/>
      <c r="BE69" s="104"/>
      <c r="BF69" s="104"/>
      <c r="BG69" s="104"/>
      <c r="BH69" s="104"/>
      <c r="BI69" s="104"/>
      <c r="BJ69" s="104"/>
      <c r="BK69" s="104"/>
      <c r="BL69" s="104"/>
      <c r="BM69" s="104"/>
      <c r="BN69" s="104"/>
      <c r="BO69" s="104"/>
      <c r="BP69" s="104"/>
      <c r="BQ69" s="104"/>
      <c r="BR69" s="104"/>
      <c r="BS69" s="104"/>
      <c r="BT69" s="104"/>
      <c r="BU69" s="104"/>
      <c r="BV69" s="104"/>
      <c r="BW69" s="104"/>
      <c r="BX69" s="104"/>
      <c r="BY69" s="104"/>
      <c r="BZ69" s="104"/>
      <c r="CA69" s="104"/>
      <c r="CB69" s="104"/>
      <c r="CC69" s="104"/>
      <c r="CD69" s="104"/>
      <c r="CE69" s="104"/>
      <c r="CF69" s="104"/>
      <c r="CG69" s="104"/>
      <c r="CH69" s="104"/>
    </row>
    <row r="70" spans="1:86" ht="15.75" customHeight="1" x14ac:dyDescent="0.2">
      <c r="A70" s="487">
        <v>133687</v>
      </c>
      <c r="B70" s="255">
        <v>2024</v>
      </c>
      <c r="C70" s="252" t="s">
        <v>278</v>
      </c>
      <c r="D70" s="512">
        <v>0</v>
      </c>
      <c r="E70" s="318">
        <v>236</v>
      </c>
      <c r="F70" s="241">
        <v>0</v>
      </c>
      <c r="G70" s="293">
        <v>6</v>
      </c>
      <c r="H70" s="293"/>
      <c r="I70" s="293"/>
      <c r="J70" s="293"/>
      <c r="K70" s="293"/>
      <c r="L70" s="293"/>
      <c r="M70" s="293"/>
      <c r="N70" s="293"/>
      <c r="O70" s="293"/>
      <c r="P70" s="293"/>
      <c r="Q70" s="293"/>
      <c r="R70" s="293" t="s">
        <v>35</v>
      </c>
      <c r="S70" s="256">
        <f t="shared" si="25"/>
        <v>6</v>
      </c>
      <c r="T70" s="512">
        <f t="shared" si="20"/>
        <v>6</v>
      </c>
      <c r="U70" s="513">
        <f t="shared" si="21"/>
        <v>38.333333333333336</v>
      </c>
      <c r="V70" s="461">
        <f t="shared" si="26"/>
        <v>230</v>
      </c>
      <c r="W70" s="255">
        <v>2024</v>
      </c>
      <c r="X70" s="252" t="s">
        <v>278</v>
      </c>
      <c r="Y70"/>
      <c r="Z70" s="105"/>
      <c r="AA70" s="105"/>
      <c r="AB70" s="265"/>
      <c r="AC70" s="495"/>
      <c r="AD70" s="267"/>
      <c r="AE70" s="267"/>
      <c r="AF70" s="267"/>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104"/>
      <c r="CG70" s="104"/>
      <c r="CH70" s="104"/>
    </row>
    <row r="71" spans="1:86" ht="15.75" customHeight="1" x14ac:dyDescent="0.25">
      <c r="A71" s="487">
        <v>168932</v>
      </c>
      <c r="B71" s="255">
        <v>2024</v>
      </c>
      <c r="C71" s="252" t="s">
        <v>795</v>
      </c>
      <c r="D71" s="512">
        <v>0</v>
      </c>
      <c r="E71" s="318">
        <v>608</v>
      </c>
      <c r="F71" s="241">
        <v>0</v>
      </c>
      <c r="G71" s="293">
        <v>8</v>
      </c>
      <c r="H71" s="293"/>
      <c r="I71" s="293"/>
      <c r="J71" s="293"/>
      <c r="K71" s="293"/>
      <c r="L71" s="293"/>
      <c r="M71" s="293"/>
      <c r="N71" s="293"/>
      <c r="O71" s="293"/>
      <c r="P71" s="293"/>
      <c r="Q71" s="293"/>
      <c r="R71" s="293"/>
      <c r="S71" s="256">
        <f t="shared" si="25"/>
        <v>8</v>
      </c>
      <c r="T71" s="512">
        <f t="shared" si="20"/>
        <v>8</v>
      </c>
      <c r="U71" s="513">
        <f t="shared" si="21"/>
        <v>75</v>
      </c>
      <c r="V71" s="461">
        <f t="shared" si="26"/>
        <v>600</v>
      </c>
      <c r="W71" s="255">
        <v>2024</v>
      </c>
      <c r="X71" s="252" t="s">
        <v>795</v>
      </c>
      <c r="Y71"/>
      <c r="Z71" s="124"/>
      <c r="AA71" s="104"/>
      <c r="AB71" s="263"/>
      <c r="AC71" s="266"/>
      <c r="AD71" s="267"/>
      <c r="AE71" s="267"/>
      <c r="AF71" s="267"/>
      <c r="AG71" s="104"/>
      <c r="AH71" s="104"/>
      <c r="AI71" s="104"/>
      <c r="AJ71" s="104"/>
      <c r="AK71" s="104"/>
      <c r="AL71" s="104"/>
      <c r="AM71" s="104"/>
      <c r="AN71" s="104"/>
      <c r="AO71" s="104"/>
      <c r="AP71" s="104"/>
      <c r="AQ71" s="104"/>
      <c r="AR71" s="104"/>
      <c r="AS71" s="104"/>
      <c r="AT71" s="104"/>
      <c r="AU71" s="104"/>
      <c r="AV71" s="104"/>
      <c r="AW71" s="104"/>
      <c r="AX71" s="104"/>
      <c r="AY71" s="104"/>
      <c r="AZ71" s="104"/>
      <c r="BA71" s="104"/>
      <c r="BB71" s="104"/>
      <c r="BC71" s="104"/>
      <c r="BD71" s="104"/>
      <c r="BE71" s="104"/>
      <c r="BF71" s="104"/>
      <c r="BG71" s="104"/>
      <c r="BH71" s="104"/>
      <c r="BI71" s="104"/>
      <c r="BJ71" s="104"/>
      <c r="BK71" s="104"/>
      <c r="BL71" s="104"/>
      <c r="BM71" s="104"/>
      <c r="BN71" s="104"/>
      <c r="BO71" s="104"/>
      <c r="BP71" s="104"/>
      <c r="BQ71" s="104"/>
      <c r="BR71" s="104"/>
      <c r="BS71" s="104"/>
      <c r="BT71" s="104"/>
      <c r="BU71" s="104"/>
      <c r="BV71" s="104"/>
      <c r="BW71" s="104"/>
      <c r="BX71" s="104"/>
      <c r="BY71" s="104"/>
      <c r="BZ71" s="104"/>
      <c r="CA71" s="104"/>
      <c r="CB71" s="104"/>
      <c r="CC71" s="104"/>
      <c r="CD71" s="104"/>
      <c r="CE71" s="104"/>
      <c r="CF71" s="104"/>
      <c r="CG71" s="104"/>
      <c r="CH71" s="104"/>
    </row>
    <row r="72" spans="1:86" ht="15.75" customHeight="1" x14ac:dyDescent="0.25">
      <c r="A72" s="487"/>
      <c r="B72" s="116" t="s">
        <v>377</v>
      </c>
      <c r="C72" s="252" t="s">
        <v>843</v>
      </c>
      <c r="D72" s="512">
        <v>0</v>
      </c>
      <c r="E72" s="318">
        <v>66</v>
      </c>
      <c r="F72" s="241">
        <v>0</v>
      </c>
      <c r="G72" s="283"/>
      <c r="H72" s="283">
        <v>14</v>
      </c>
      <c r="I72" s="283">
        <v>44</v>
      </c>
      <c r="J72" s="283"/>
      <c r="K72" s="283"/>
      <c r="L72" s="283"/>
      <c r="M72" s="283"/>
      <c r="N72" s="283"/>
      <c r="O72" s="283"/>
      <c r="P72" s="283"/>
      <c r="Q72" s="283"/>
      <c r="R72" s="283"/>
      <c r="S72" s="256">
        <f>SUM(G72:R72)</f>
        <v>58</v>
      </c>
      <c r="T72" s="512">
        <f>IFERROR((AVERAGE(G72:R72)),0)</f>
        <v>29</v>
      </c>
      <c r="U72" s="513">
        <f t="shared" ref="U72" si="27">IFERROR((V72/T72),0)</f>
        <v>0.27586206896551724</v>
      </c>
      <c r="V72" s="461">
        <f t="shared" ref="V72" si="28">E72+F72-S72</f>
        <v>8</v>
      </c>
      <c r="W72" s="255" t="s">
        <v>377</v>
      </c>
      <c r="X72" s="252" t="s">
        <v>843</v>
      </c>
      <c r="Y72"/>
      <c r="Z72" s="124"/>
      <c r="AA72" s="104"/>
      <c r="AB72" s="263"/>
      <c r="AC72" s="266"/>
      <c r="AD72" s="267"/>
      <c r="AE72" s="267"/>
      <c r="AF72" s="267"/>
      <c r="AG72" s="104"/>
      <c r="AH72" s="104"/>
      <c r="AI72" s="104"/>
      <c r="AJ72" s="104"/>
      <c r="AK72" s="104"/>
      <c r="AL72" s="104"/>
      <c r="AM72" s="104"/>
      <c r="AN72" s="104"/>
      <c r="AO72" s="104"/>
      <c r="AP72" s="104"/>
      <c r="AQ72" s="104"/>
      <c r="AR72" s="104"/>
      <c r="AS72" s="104"/>
      <c r="AT72" s="104"/>
      <c r="AU72" s="104"/>
      <c r="AV72" s="104"/>
      <c r="AW72" s="104"/>
      <c r="AX72" s="104"/>
      <c r="AY72" s="104"/>
      <c r="AZ72" s="104"/>
      <c r="BA72" s="104"/>
      <c r="BB72" s="104"/>
      <c r="BC72" s="104"/>
      <c r="BD72" s="104"/>
      <c r="BE72" s="104"/>
      <c r="BF72" s="104"/>
      <c r="BG72" s="104"/>
      <c r="BH72" s="104"/>
      <c r="BI72" s="104"/>
      <c r="BJ72" s="104"/>
      <c r="BK72" s="104"/>
      <c r="BL72" s="104"/>
      <c r="BM72" s="104"/>
      <c r="BN72" s="104"/>
      <c r="BO72" s="104"/>
      <c r="BP72" s="104"/>
      <c r="BQ72" s="104"/>
      <c r="BR72" s="104"/>
      <c r="BS72" s="104"/>
      <c r="BT72" s="104"/>
      <c r="BU72" s="104"/>
      <c r="BV72" s="104"/>
      <c r="BW72" s="104"/>
      <c r="BX72" s="104"/>
      <c r="BY72" s="104"/>
      <c r="BZ72" s="104"/>
      <c r="CA72" s="104"/>
      <c r="CB72" s="104"/>
      <c r="CC72" s="104"/>
      <c r="CD72" s="104"/>
      <c r="CE72" s="104"/>
      <c r="CF72" s="104"/>
      <c r="CG72" s="104"/>
      <c r="CH72" s="104"/>
    </row>
    <row r="73" spans="1:86" ht="15.75" customHeight="1" x14ac:dyDescent="0.25">
      <c r="A73" s="249"/>
      <c r="B73" s="315"/>
      <c r="C73" s="249"/>
      <c r="D73" s="249">
        <v>0</v>
      </c>
      <c r="E73" s="544"/>
      <c r="F73" s="509"/>
      <c r="G73" s="509"/>
      <c r="H73" s="509"/>
      <c r="I73" s="509"/>
      <c r="J73" s="509"/>
      <c r="K73" s="509"/>
      <c r="L73" s="509"/>
      <c r="M73" s="509"/>
      <c r="N73" s="509"/>
      <c r="O73" s="509"/>
      <c r="P73" s="509"/>
      <c r="Q73" s="509"/>
      <c r="R73" s="509"/>
      <c r="S73" s="251">
        <f t="shared" ref="S73" si="29">SUM(G73:R73)</f>
        <v>0</v>
      </c>
      <c r="T73" s="510">
        <f t="shared" ref="T73" si="30">IFERROR((AVERAGE(G73:R73)),0)</f>
        <v>0</v>
      </c>
      <c r="U73" s="511">
        <f t="shared" ref="U73" si="31">IFERROR((V73/T73),0)</f>
        <v>0</v>
      </c>
      <c r="V73" s="462"/>
      <c r="W73" s="316"/>
      <c r="X73" s="104"/>
      <c r="Y73"/>
      <c r="Z73" s="124"/>
      <c r="AA73" s="104"/>
      <c r="AB73" s="263"/>
      <c r="AC73" s="266"/>
      <c r="AD73" s="267"/>
      <c r="AE73" s="267"/>
      <c r="AF73" s="267"/>
      <c r="AG73" s="104"/>
      <c r="AH73" s="104"/>
      <c r="AI73" s="104"/>
      <c r="AJ73" s="104"/>
      <c r="AK73" s="104"/>
      <c r="AL73" s="104"/>
      <c r="AM73" s="104"/>
      <c r="AN73" s="104"/>
      <c r="AO73" s="104"/>
      <c r="AP73" s="104"/>
      <c r="AQ73" s="104"/>
      <c r="AR73" s="104"/>
      <c r="AS73" s="104"/>
      <c r="AT73" s="104"/>
      <c r="AU73" s="104"/>
      <c r="AV73" s="104"/>
      <c r="AW73" s="104"/>
      <c r="AX73" s="104"/>
      <c r="AY73" s="104"/>
      <c r="AZ73" s="104"/>
      <c r="BA73" s="104"/>
      <c r="BB73" s="104"/>
      <c r="BC73" s="104"/>
      <c r="BD73" s="104"/>
      <c r="BE73" s="104"/>
      <c r="BF73" s="104"/>
      <c r="BG73" s="104"/>
      <c r="BH73" s="104"/>
      <c r="BI73" s="104"/>
      <c r="BJ73" s="104"/>
      <c r="BK73" s="104"/>
      <c r="BL73" s="104"/>
      <c r="BM73" s="104"/>
      <c r="BN73" s="104"/>
      <c r="BO73" s="104"/>
      <c r="BP73" s="104"/>
      <c r="BQ73" s="104"/>
      <c r="BR73" s="104"/>
      <c r="BS73" s="104"/>
      <c r="BT73" s="104"/>
      <c r="BU73" s="104"/>
      <c r="BV73" s="104"/>
      <c r="BW73" s="104"/>
      <c r="BX73" s="104"/>
      <c r="BY73" s="104"/>
      <c r="BZ73" s="104"/>
      <c r="CA73" s="104"/>
      <c r="CB73" s="104"/>
      <c r="CC73" s="104"/>
      <c r="CD73" s="104"/>
      <c r="CE73" s="104"/>
      <c r="CF73" s="104"/>
      <c r="CG73" s="104"/>
      <c r="CH73" s="104"/>
    </row>
    <row r="74" spans="1:86" ht="15.75" customHeight="1" x14ac:dyDescent="0.25">
      <c r="A74" s="487">
        <v>11198</v>
      </c>
      <c r="B74" s="255">
        <v>2025</v>
      </c>
      <c r="C74" s="252" t="s">
        <v>46</v>
      </c>
      <c r="D74" s="512">
        <v>21.5</v>
      </c>
      <c r="E74" s="318">
        <v>0</v>
      </c>
      <c r="F74" s="241">
        <v>254</v>
      </c>
      <c r="G74" s="293"/>
      <c r="H74" s="293"/>
      <c r="I74" s="293">
        <v>30</v>
      </c>
      <c r="J74" s="293"/>
      <c r="K74" s="293"/>
      <c r="L74" s="293"/>
      <c r="M74" s="293"/>
      <c r="N74" s="293"/>
      <c r="O74" s="293"/>
      <c r="P74" s="293"/>
      <c r="Q74" s="293"/>
      <c r="R74" s="293"/>
      <c r="S74" s="256">
        <f t="shared" ref="S74:S88" si="32">SUM(G74:R74)</f>
        <v>30</v>
      </c>
      <c r="T74" s="512">
        <f t="shared" ref="T74:T88" si="33">IFERROR((AVERAGE(G74:R74)),0)</f>
        <v>30</v>
      </c>
      <c r="U74" s="513">
        <f t="shared" ref="U74:U88" si="34">IFERROR((V74/T74),0)</f>
        <v>7.4666666666666668</v>
      </c>
      <c r="V74" s="461">
        <f t="shared" ref="V74:V88" si="35">E74+F74-S74</f>
        <v>224</v>
      </c>
      <c r="W74" s="255">
        <v>2025</v>
      </c>
      <c r="X74" s="252" t="s">
        <v>46</v>
      </c>
      <c r="Y74"/>
      <c r="Z74" s="124"/>
      <c r="AA74" s="104"/>
      <c r="AB74" s="263"/>
      <c r="AC74" s="266"/>
      <c r="AD74" s="267"/>
      <c r="AE74" s="267"/>
      <c r="AF74" s="267"/>
      <c r="AG74" s="104"/>
      <c r="AH74" s="104"/>
      <c r="AI74" s="104"/>
      <c r="AJ74" s="104"/>
      <c r="AK74" s="104"/>
      <c r="AL74" s="104"/>
      <c r="AM74" s="104"/>
      <c r="AN74" s="104"/>
      <c r="AO74" s="104"/>
      <c r="AP74" s="104"/>
      <c r="AQ74" s="104"/>
      <c r="AR74" s="104"/>
      <c r="AS74" s="104"/>
      <c r="AT74" s="104"/>
      <c r="AU74" s="104"/>
      <c r="AV74" s="104"/>
      <c r="AW74" s="104"/>
      <c r="AX74" s="104"/>
      <c r="AY74" s="104"/>
      <c r="AZ74" s="104"/>
      <c r="BA74" s="104"/>
      <c r="BB74" s="104"/>
      <c r="BC74" s="104"/>
      <c r="BD74" s="104"/>
      <c r="BE74" s="104"/>
      <c r="BF74" s="104"/>
      <c r="BG74" s="104"/>
      <c r="BH74" s="104"/>
      <c r="BI74" s="104"/>
      <c r="BJ74" s="104"/>
      <c r="BK74" s="104"/>
      <c r="BL74" s="104"/>
      <c r="BM74" s="104"/>
      <c r="BN74" s="104"/>
      <c r="BO74" s="104"/>
      <c r="BP74" s="104"/>
      <c r="BQ74" s="104"/>
      <c r="BR74" s="104"/>
      <c r="BS74" s="104"/>
      <c r="BT74" s="104"/>
      <c r="BU74" s="104"/>
      <c r="BV74" s="104"/>
      <c r="BW74" s="104"/>
      <c r="BX74" s="104"/>
      <c r="BY74" s="104"/>
      <c r="BZ74" s="104"/>
      <c r="CA74" s="104"/>
      <c r="CB74" s="104"/>
      <c r="CC74" s="104"/>
      <c r="CD74" s="104"/>
      <c r="CE74" s="104"/>
      <c r="CF74" s="104"/>
      <c r="CG74" s="104"/>
      <c r="CH74" s="104"/>
    </row>
    <row r="75" spans="1:86" ht="15.75" customHeight="1" x14ac:dyDescent="0.25">
      <c r="A75" s="487"/>
      <c r="B75" s="255">
        <v>2025</v>
      </c>
      <c r="C75" s="252" t="s">
        <v>775</v>
      </c>
      <c r="D75" s="512">
        <v>21.5</v>
      </c>
      <c r="E75" s="318">
        <v>0</v>
      </c>
      <c r="F75" s="241">
        <v>56</v>
      </c>
      <c r="G75" s="293"/>
      <c r="H75" s="293"/>
      <c r="I75" s="293"/>
      <c r="J75" s="293"/>
      <c r="K75" s="293"/>
      <c r="L75" s="293"/>
      <c r="M75" s="293"/>
      <c r="N75" s="293"/>
      <c r="O75" s="293"/>
      <c r="P75" s="293"/>
      <c r="Q75" s="293"/>
      <c r="R75" s="293"/>
      <c r="S75" s="256">
        <f t="shared" ref="S75" si="36">SUM(G75:R75)</f>
        <v>0</v>
      </c>
      <c r="T75" s="512">
        <f t="shared" ref="T75" si="37">IFERROR((AVERAGE(G75:R75)),0)</f>
        <v>0</v>
      </c>
      <c r="U75" s="513">
        <f t="shared" ref="U75" si="38">IFERROR((V75/T75),0)</f>
        <v>0</v>
      </c>
      <c r="V75" s="461">
        <f t="shared" ref="V75" si="39">E75+F75-S75</f>
        <v>56</v>
      </c>
      <c r="W75" s="255">
        <v>2025</v>
      </c>
      <c r="X75" s="252" t="s">
        <v>46</v>
      </c>
      <c r="Y75"/>
      <c r="Z75" s="124"/>
      <c r="AA75" s="104"/>
      <c r="AB75" s="263"/>
      <c r="AC75" s="266"/>
      <c r="AD75" s="267"/>
      <c r="AE75" s="267"/>
      <c r="AF75" s="267"/>
      <c r="AG75" s="104"/>
      <c r="AH75" s="104"/>
      <c r="AI75" s="104"/>
      <c r="AJ75" s="104"/>
      <c r="AK75" s="104"/>
      <c r="AL75" s="104"/>
      <c r="AM75" s="104"/>
      <c r="AN75" s="104"/>
      <c r="AO75" s="104"/>
      <c r="AP75" s="104"/>
      <c r="AQ75" s="104"/>
      <c r="AR75" s="104"/>
      <c r="AS75" s="104"/>
      <c r="AT75" s="104"/>
      <c r="AU75" s="104"/>
      <c r="AV75" s="104"/>
      <c r="AW75" s="104"/>
      <c r="AX75" s="104"/>
      <c r="AY75" s="104"/>
      <c r="AZ75" s="104"/>
      <c r="BA75" s="104"/>
      <c r="BB75" s="104"/>
      <c r="BC75" s="104"/>
      <c r="BD75" s="104"/>
      <c r="BE75" s="104"/>
      <c r="BF75" s="104"/>
      <c r="BG75" s="104"/>
      <c r="BH75" s="104"/>
      <c r="BI75" s="104"/>
      <c r="BJ75" s="104"/>
      <c r="BK75" s="104"/>
      <c r="BL75" s="104"/>
      <c r="BM75" s="104"/>
      <c r="BN75" s="104"/>
      <c r="BO75" s="104"/>
      <c r="BP75" s="104"/>
      <c r="BQ75" s="104"/>
      <c r="BR75" s="104"/>
      <c r="BS75" s="104"/>
      <c r="BT75" s="104"/>
      <c r="BU75" s="104"/>
      <c r="BV75" s="104"/>
      <c r="BW75" s="104"/>
      <c r="BX75" s="104"/>
      <c r="BY75" s="104"/>
      <c r="BZ75" s="104"/>
      <c r="CA75" s="104"/>
      <c r="CB75" s="104"/>
      <c r="CC75" s="104"/>
      <c r="CD75" s="104"/>
      <c r="CE75" s="104"/>
      <c r="CF75" s="104"/>
      <c r="CG75" s="104"/>
      <c r="CH75" s="104"/>
    </row>
    <row r="76" spans="1:86" ht="15.75" customHeight="1" x14ac:dyDescent="0.25">
      <c r="A76" s="487">
        <v>168933</v>
      </c>
      <c r="B76" s="255">
        <v>2025</v>
      </c>
      <c r="C76" s="252" t="s">
        <v>468</v>
      </c>
      <c r="D76" s="512">
        <v>14</v>
      </c>
      <c r="E76" s="318">
        <v>0</v>
      </c>
      <c r="F76" s="241">
        <v>0</v>
      </c>
      <c r="G76" s="293"/>
      <c r="H76" s="293"/>
      <c r="I76" s="293"/>
      <c r="J76" s="293"/>
      <c r="K76" s="293"/>
      <c r="L76" s="293"/>
      <c r="M76" s="293"/>
      <c r="N76" s="293"/>
      <c r="O76" s="293"/>
      <c r="P76" s="293"/>
      <c r="Q76" s="293"/>
      <c r="R76" s="293"/>
      <c r="S76" s="256">
        <f t="shared" si="32"/>
        <v>0</v>
      </c>
      <c r="T76" s="512">
        <f t="shared" si="33"/>
        <v>0</v>
      </c>
      <c r="U76" s="513">
        <f t="shared" si="34"/>
        <v>0</v>
      </c>
      <c r="V76" s="461">
        <f t="shared" si="35"/>
        <v>0</v>
      </c>
      <c r="W76" s="255">
        <v>2025</v>
      </c>
      <c r="X76" s="252" t="s">
        <v>468</v>
      </c>
      <c r="Y76"/>
      <c r="Z76" s="124"/>
      <c r="AA76" s="104"/>
      <c r="AB76" s="263"/>
      <c r="AC76" s="266"/>
      <c r="AD76" s="267"/>
      <c r="AE76" s="267"/>
      <c r="AF76" s="267"/>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104"/>
      <c r="CG76" s="104"/>
      <c r="CH76" s="104"/>
    </row>
    <row r="77" spans="1:86" ht="15.75" customHeight="1" x14ac:dyDescent="0.25">
      <c r="A77" s="487">
        <v>57632</v>
      </c>
      <c r="B77" s="255">
        <v>2025</v>
      </c>
      <c r="C77" s="252" t="s">
        <v>31</v>
      </c>
      <c r="D77" s="512">
        <v>9</v>
      </c>
      <c r="E77" s="318">
        <v>0</v>
      </c>
      <c r="F77" s="241">
        <v>0</v>
      </c>
      <c r="G77" s="293"/>
      <c r="H77" s="293"/>
      <c r="I77" s="293"/>
      <c r="J77" s="293"/>
      <c r="K77" s="293"/>
      <c r="L77" s="293"/>
      <c r="M77" s="293"/>
      <c r="N77" s="293"/>
      <c r="O77" s="293"/>
      <c r="P77" s="293"/>
      <c r="Q77" s="293"/>
      <c r="R77" s="293"/>
      <c r="S77" s="256">
        <f t="shared" si="32"/>
        <v>0</v>
      </c>
      <c r="T77" s="512">
        <f t="shared" si="33"/>
        <v>0</v>
      </c>
      <c r="U77" s="513">
        <f t="shared" si="34"/>
        <v>0</v>
      </c>
      <c r="V77" s="461">
        <f t="shared" si="35"/>
        <v>0</v>
      </c>
      <c r="W77" s="255">
        <v>2025</v>
      </c>
      <c r="X77" s="252" t="s">
        <v>31</v>
      </c>
      <c r="Y77"/>
      <c r="Z77" s="124"/>
      <c r="AA77" s="104"/>
      <c r="AB77" s="263"/>
      <c r="AC77" s="266"/>
      <c r="AD77" s="267"/>
      <c r="AE77" s="267"/>
      <c r="AF77" s="267"/>
      <c r="AG77" s="104"/>
      <c r="AH77" s="104"/>
      <c r="AI77" s="104"/>
      <c r="AJ77" s="104"/>
      <c r="AK77" s="104"/>
      <c r="AL77" s="104"/>
      <c r="AM77" s="104"/>
      <c r="AN77" s="104"/>
      <c r="AO77" s="104"/>
      <c r="AP77" s="104"/>
      <c r="AQ77" s="104"/>
      <c r="AR77" s="104"/>
      <c r="AS77" s="104"/>
      <c r="AT77" s="104"/>
      <c r="AU77" s="104"/>
      <c r="AV77" s="104"/>
      <c r="AW77" s="104"/>
      <c r="AX77" s="104"/>
      <c r="AY77" s="104"/>
      <c r="AZ77" s="104"/>
      <c r="BA77" s="104"/>
      <c r="BB77" s="104"/>
      <c r="BC77" s="104"/>
      <c r="BD77" s="104"/>
      <c r="BE77" s="104"/>
      <c r="BF77" s="104"/>
      <c r="BG77" s="104"/>
      <c r="BH77" s="104"/>
      <c r="BI77" s="104"/>
      <c r="BJ77" s="104"/>
      <c r="BK77" s="104"/>
      <c r="BL77" s="104"/>
      <c r="BM77" s="104"/>
      <c r="BN77" s="104"/>
      <c r="BO77" s="104"/>
      <c r="BP77" s="104"/>
      <c r="BQ77" s="104"/>
      <c r="BR77" s="104"/>
      <c r="BS77" s="104"/>
      <c r="BT77" s="104"/>
      <c r="BU77" s="104"/>
      <c r="BV77" s="104"/>
      <c r="BW77" s="104"/>
      <c r="BX77" s="104"/>
      <c r="BY77" s="104"/>
      <c r="BZ77" s="104"/>
      <c r="CA77" s="104"/>
      <c r="CB77" s="104"/>
      <c r="CC77" s="104"/>
      <c r="CD77" s="104"/>
      <c r="CE77" s="104"/>
      <c r="CF77" s="104"/>
      <c r="CG77" s="104"/>
      <c r="CH77" s="104"/>
    </row>
    <row r="78" spans="1:86" ht="15.75" customHeight="1" x14ac:dyDescent="0.25">
      <c r="A78" s="487">
        <v>57630</v>
      </c>
      <c r="B78" s="255">
        <v>2025</v>
      </c>
      <c r="C78" s="252" t="s">
        <v>25</v>
      </c>
      <c r="D78" s="512">
        <v>10</v>
      </c>
      <c r="E78" s="318">
        <v>0</v>
      </c>
      <c r="F78" s="241">
        <v>0</v>
      </c>
      <c r="G78" s="293"/>
      <c r="H78" s="293"/>
      <c r="I78" s="293"/>
      <c r="J78" s="293"/>
      <c r="K78" s="293"/>
      <c r="L78" s="293"/>
      <c r="M78" s="293"/>
      <c r="N78" s="293"/>
      <c r="O78" s="293"/>
      <c r="P78" s="293"/>
      <c r="Q78" s="293"/>
      <c r="R78" s="293"/>
      <c r="S78" s="256">
        <f t="shared" si="32"/>
        <v>0</v>
      </c>
      <c r="T78" s="512">
        <f t="shared" si="33"/>
        <v>0</v>
      </c>
      <c r="U78" s="513">
        <f t="shared" si="34"/>
        <v>0</v>
      </c>
      <c r="V78" s="461">
        <f t="shared" si="35"/>
        <v>0</v>
      </c>
      <c r="W78" s="255">
        <v>2025</v>
      </c>
      <c r="X78" s="252" t="s">
        <v>25</v>
      </c>
      <c r="Y78"/>
      <c r="Z78" s="124"/>
      <c r="AA78" s="104"/>
      <c r="AB78" s="263"/>
      <c r="AC78" s="266"/>
      <c r="AD78" s="267"/>
      <c r="AE78" s="267"/>
      <c r="AF78" s="267"/>
      <c r="AG78" s="104"/>
      <c r="AH78" s="104"/>
      <c r="AI78" s="104"/>
      <c r="AJ78" s="104"/>
      <c r="AK78" s="104"/>
      <c r="AL78" s="104"/>
      <c r="AM78" s="104"/>
      <c r="AN78" s="104"/>
      <c r="AO78" s="104"/>
      <c r="AP78" s="104"/>
      <c r="AQ78" s="104"/>
      <c r="AR78" s="104"/>
      <c r="AS78" s="104"/>
      <c r="AT78" s="104"/>
      <c r="AU78" s="104"/>
      <c r="AV78" s="104"/>
      <c r="AW78" s="104"/>
      <c r="AX78" s="104"/>
      <c r="AY78" s="104"/>
      <c r="AZ78" s="104"/>
      <c r="BA78" s="104"/>
      <c r="BB78" s="104"/>
      <c r="BC78" s="104"/>
      <c r="BD78" s="104"/>
      <c r="BE78" s="104"/>
      <c r="BF78" s="104"/>
      <c r="BG78" s="104"/>
      <c r="BH78" s="104"/>
      <c r="BI78" s="104"/>
      <c r="BJ78" s="104"/>
      <c r="BK78" s="104"/>
      <c r="BL78" s="104"/>
      <c r="BM78" s="104"/>
      <c r="BN78" s="104"/>
      <c r="BO78" s="104"/>
      <c r="BP78" s="104"/>
      <c r="BQ78" s="104"/>
      <c r="BR78" s="104"/>
      <c r="BS78" s="104"/>
      <c r="BT78" s="104"/>
      <c r="BU78" s="104"/>
      <c r="BV78" s="104"/>
      <c r="BW78" s="104"/>
      <c r="BX78" s="104"/>
      <c r="BY78" s="104"/>
      <c r="BZ78" s="104"/>
      <c r="CA78" s="104"/>
      <c r="CB78" s="104"/>
      <c r="CC78" s="104"/>
      <c r="CD78" s="104"/>
      <c r="CE78" s="104"/>
      <c r="CF78" s="104"/>
      <c r="CG78" s="104"/>
      <c r="CH78" s="104"/>
    </row>
    <row r="79" spans="1:86" ht="15.75" customHeight="1" x14ac:dyDescent="0.25">
      <c r="A79" s="487">
        <v>111575</v>
      </c>
      <c r="B79" s="255">
        <v>2025</v>
      </c>
      <c r="C79" s="252" t="s">
        <v>110</v>
      </c>
      <c r="D79" s="512">
        <v>2</v>
      </c>
      <c r="E79" s="318">
        <v>0</v>
      </c>
      <c r="F79" s="241">
        <v>0</v>
      </c>
      <c r="G79" s="293"/>
      <c r="H79" s="293"/>
      <c r="I79" s="293"/>
      <c r="J79" s="293"/>
      <c r="K79" s="293"/>
      <c r="L79" s="293"/>
      <c r="M79" s="293"/>
      <c r="N79" s="293"/>
      <c r="O79" s="293"/>
      <c r="P79" s="293"/>
      <c r="Q79" s="293"/>
      <c r="R79" s="293"/>
      <c r="S79" s="256">
        <f t="shared" si="32"/>
        <v>0</v>
      </c>
      <c r="T79" s="512">
        <f t="shared" si="33"/>
        <v>0</v>
      </c>
      <c r="U79" s="513">
        <f t="shared" si="34"/>
        <v>0</v>
      </c>
      <c r="V79" s="461">
        <f t="shared" si="35"/>
        <v>0</v>
      </c>
      <c r="W79" s="255">
        <v>2025</v>
      </c>
      <c r="X79" s="252" t="s">
        <v>110</v>
      </c>
      <c r="Y79"/>
      <c r="Z79" s="124"/>
      <c r="AA79" s="104"/>
      <c r="AB79" s="263"/>
      <c r="AC79" s="266"/>
      <c r="AD79" s="267"/>
      <c r="AE79" s="267"/>
      <c r="AF79" s="267"/>
      <c r="AG79" s="104"/>
      <c r="AH79" s="104"/>
      <c r="AI79" s="104"/>
      <c r="AJ79" s="104"/>
      <c r="AK79" s="104"/>
      <c r="AL79" s="104"/>
      <c r="AM79" s="104"/>
      <c r="AN79" s="104"/>
      <c r="AO79" s="104"/>
      <c r="AP79" s="104"/>
      <c r="AQ79" s="104"/>
      <c r="AR79" s="104"/>
      <c r="AS79" s="104"/>
      <c r="AT79" s="104"/>
      <c r="AU79" s="104"/>
      <c r="AV79" s="104"/>
      <c r="AW79" s="104"/>
      <c r="AX79" s="104"/>
      <c r="AY79" s="104"/>
      <c r="AZ79" s="104"/>
      <c r="BA79" s="104"/>
      <c r="BB79" s="104"/>
      <c r="BC79" s="104"/>
      <c r="BD79" s="104"/>
      <c r="BE79" s="104"/>
      <c r="BF79" s="104"/>
      <c r="BG79" s="104"/>
      <c r="BH79" s="104"/>
      <c r="BI79" s="104"/>
      <c r="BJ79" s="104"/>
      <c r="BK79" s="104"/>
      <c r="BL79" s="104"/>
      <c r="BM79" s="104"/>
      <c r="BN79" s="104"/>
      <c r="BO79" s="104"/>
      <c r="BP79" s="104"/>
      <c r="BQ79" s="104"/>
      <c r="BR79" s="104"/>
      <c r="BS79" s="104"/>
      <c r="BT79" s="104"/>
      <c r="BU79" s="104"/>
      <c r="BV79" s="104"/>
      <c r="BW79" s="104"/>
      <c r="BX79" s="104"/>
      <c r="BY79" s="104"/>
      <c r="BZ79" s="104"/>
      <c r="CA79" s="104"/>
      <c r="CB79" s="104"/>
      <c r="CC79" s="104"/>
      <c r="CD79" s="104"/>
      <c r="CE79" s="104"/>
      <c r="CF79" s="104"/>
      <c r="CG79" s="104"/>
      <c r="CH79" s="104"/>
    </row>
    <row r="80" spans="1:86" ht="15.75" customHeight="1" x14ac:dyDescent="0.25">
      <c r="A80" s="487" t="s">
        <v>35</v>
      </c>
      <c r="B80" s="255">
        <v>2025</v>
      </c>
      <c r="C80" s="252" t="s">
        <v>761</v>
      </c>
      <c r="D80" s="512">
        <v>9</v>
      </c>
      <c r="E80" s="318">
        <v>0</v>
      </c>
      <c r="F80" s="241">
        <v>0</v>
      </c>
      <c r="G80" s="293"/>
      <c r="H80" s="293"/>
      <c r="I80" s="293"/>
      <c r="J80" s="293"/>
      <c r="K80" s="293"/>
      <c r="L80" s="293"/>
      <c r="M80" s="293"/>
      <c r="N80" s="293"/>
      <c r="O80" s="293"/>
      <c r="P80" s="293"/>
      <c r="Q80" s="293"/>
      <c r="R80" s="293"/>
      <c r="S80" s="256">
        <f t="shared" si="32"/>
        <v>0</v>
      </c>
      <c r="T80" s="512">
        <f t="shared" si="33"/>
        <v>0</v>
      </c>
      <c r="U80" s="513">
        <f t="shared" si="34"/>
        <v>0</v>
      </c>
      <c r="V80" s="461">
        <f t="shared" si="35"/>
        <v>0</v>
      </c>
      <c r="W80" s="255">
        <v>2025</v>
      </c>
      <c r="X80" s="252" t="s">
        <v>761</v>
      </c>
      <c r="Y80"/>
      <c r="Z80" s="124"/>
      <c r="AA80" s="104"/>
      <c r="AB80" s="263"/>
      <c r="AC80" s="266"/>
      <c r="AD80" s="267"/>
      <c r="AE80" s="267"/>
      <c r="AF80" s="267"/>
      <c r="AG80" s="104"/>
      <c r="AH80" s="104"/>
      <c r="AI80" s="104"/>
      <c r="AJ80" s="104"/>
      <c r="AK80" s="104"/>
      <c r="AL80" s="104"/>
      <c r="AM80" s="104"/>
      <c r="AN80" s="104"/>
      <c r="AO80" s="104"/>
      <c r="AP80" s="104"/>
      <c r="AQ80" s="104"/>
      <c r="AR80" s="104"/>
      <c r="AS80" s="104"/>
      <c r="AT80" s="104"/>
      <c r="AU80" s="104"/>
      <c r="AV80" s="104"/>
      <c r="AW80" s="104"/>
      <c r="AX80" s="104"/>
      <c r="AY80" s="104"/>
      <c r="AZ80" s="104"/>
      <c r="BA80" s="104"/>
      <c r="BB80" s="104"/>
      <c r="BC80" s="104"/>
      <c r="BD80" s="104"/>
      <c r="BE80" s="104"/>
      <c r="BF80" s="104"/>
      <c r="BG80" s="104"/>
      <c r="BH80" s="104"/>
      <c r="BI80" s="104"/>
      <c r="BJ80" s="104"/>
      <c r="BK80" s="104"/>
      <c r="BL80" s="104"/>
      <c r="BM80" s="104"/>
      <c r="BN80" s="104"/>
      <c r="BO80" s="104"/>
      <c r="BP80" s="104"/>
      <c r="BQ80" s="104"/>
      <c r="BR80" s="104"/>
      <c r="BS80" s="104"/>
      <c r="BT80" s="104"/>
      <c r="BU80" s="104"/>
      <c r="BV80" s="104"/>
      <c r="BW80" s="104"/>
      <c r="BX80" s="104"/>
      <c r="BY80" s="104"/>
      <c r="BZ80" s="104"/>
      <c r="CA80" s="104"/>
      <c r="CB80" s="104"/>
      <c r="CC80" s="104"/>
      <c r="CD80" s="104"/>
      <c r="CE80" s="104"/>
      <c r="CF80" s="104"/>
      <c r="CG80" s="104"/>
      <c r="CH80" s="104"/>
    </row>
    <row r="81" spans="1:86" ht="15.75" customHeight="1" x14ac:dyDescent="0.25">
      <c r="A81" s="487">
        <v>133688</v>
      </c>
      <c r="B81" s="255">
        <v>2025</v>
      </c>
      <c r="C81" s="252" t="s">
        <v>23</v>
      </c>
      <c r="D81" s="512">
        <v>0</v>
      </c>
      <c r="E81" s="318">
        <v>0</v>
      </c>
      <c r="F81" s="241">
        <v>0</v>
      </c>
      <c r="G81" s="293"/>
      <c r="H81" s="293"/>
      <c r="I81" s="293"/>
      <c r="J81" s="293"/>
      <c r="K81" s="293"/>
      <c r="L81" s="293"/>
      <c r="M81" s="293"/>
      <c r="N81" s="293"/>
      <c r="O81" s="293"/>
      <c r="P81" s="293"/>
      <c r="Q81" s="293"/>
      <c r="R81" s="293"/>
      <c r="S81" s="256">
        <f t="shared" si="32"/>
        <v>0</v>
      </c>
      <c r="T81" s="512">
        <f t="shared" si="33"/>
        <v>0</v>
      </c>
      <c r="U81" s="513">
        <f t="shared" si="34"/>
        <v>0</v>
      </c>
      <c r="V81" s="461">
        <f t="shared" si="35"/>
        <v>0</v>
      </c>
      <c r="W81" s="255">
        <v>2025</v>
      </c>
      <c r="X81" s="252" t="s">
        <v>23</v>
      </c>
      <c r="Y81"/>
      <c r="Z81" s="124"/>
      <c r="AA81" s="104"/>
      <c r="AB81" s="263"/>
      <c r="AC81" s="266"/>
      <c r="AD81" s="267"/>
      <c r="AE81" s="267"/>
      <c r="AF81" s="267"/>
      <c r="AG81" s="104"/>
      <c r="AH81" s="104"/>
      <c r="AI81" s="104"/>
      <c r="AJ81" s="104"/>
      <c r="AK81" s="104"/>
      <c r="AL81" s="104"/>
      <c r="AM81" s="104"/>
      <c r="AN81" s="104"/>
      <c r="AO81" s="104"/>
      <c r="AP81" s="104"/>
      <c r="AQ81" s="104"/>
      <c r="AR81" s="104"/>
      <c r="AS81" s="104"/>
      <c r="AT81" s="104"/>
      <c r="AU81" s="104"/>
      <c r="AV81" s="104"/>
      <c r="AW81" s="104"/>
      <c r="AX81" s="104"/>
      <c r="AY81" s="104"/>
      <c r="AZ81" s="104"/>
      <c r="BA81" s="104"/>
      <c r="BB81" s="104"/>
      <c r="BC81" s="104"/>
      <c r="BD81" s="104"/>
      <c r="BE81" s="104"/>
      <c r="BF81" s="104"/>
      <c r="BG81" s="104"/>
      <c r="BH81" s="104"/>
      <c r="BI81" s="104"/>
      <c r="BJ81" s="104"/>
      <c r="BK81" s="104"/>
      <c r="BL81" s="104"/>
      <c r="BM81" s="104"/>
      <c r="BN81" s="104"/>
      <c r="BO81" s="104"/>
      <c r="BP81" s="104"/>
      <c r="BQ81" s="104"/>
      <c r="BR81" s="104"/>
      <c r="BS81" s="104"/>
      <c r="BT81" s="104"/>
      <c r="BU81" s="104"/>
      <c r="BV81" s="104"/>
      <c r="BW81" s="104"/>
      <c r="BX81" s="104"/>
      <c r="BY81" s="104"/>
      <c r="BZ81" s="104"/>
      <c r="CA81" s="104"/>
      <c r="CB81" s="104"/>
      <c r="CC81" s="104"/>
      <c r="CD81" s="104"/>
      <c r="CE81" s="104"/>
      <c r="CF81" s="104"/>
      <c r="CG81" s="104"/>
      <c r="CH81" s="104"/>
    </row>
    <row r="82" spans="1:86" ht="15.75" customHeight="1" x14ac:dyDescent="0.25">
      <c r="A82" s="487">
        <v>133687</v>
      </c>
      <c r="B82" s="255">
        <v>2025</v>
      </c>
      <c r="C82" s="252" t="s">
        <v>93</v>
      </c>
      <c r="D82" s="512">
        <v>0</v>
      </c>
      <c r="E82" s="318">
        <v>0</v>
      </c>
      <c r="F82" s="241">
        <v>0</v>
      </c>
      <c r="G82" s="293"/>
      <c r="H82" s="293"/>
      <c r="I82" s="293"/>
      <c r="J82" s="293"/>
      <c r="K82" s="293"/>
      <c r="L82" s="293"/>
      <c r="M82" s="293"/>
      <c r="N82" s="293"/>
      <c r="O82" s="293"/>
      <c r="P82" s="293"/>
      <c r="Q82" s="293"/>
      <c r="R82" s="293"/>
      <c r="S82" s="256">
        <f t="shared" si="32"/>
        <v>0</v>
      </c>
      <c r="T82" s="512">
        <f t="shared" si="33"/>
        <v>0</v>
      </c>
      <c r="U82" s="513">
        <f t="shared" si="34"/>
        <v>0</v>
      </c>
      <c r="V82" s="461">
        <f t="shared" si="35"/>
        <v>0</v>
      </c>
      <c r="W82" s="255">
        <v>2025</v>
      </c>
      <c r="X82" s="252" t="s">
        <v>393</v>
      </c>
      <c r="Y82"/>
      <c r="Z82" s="124"/>
      <c r="AA82" s="104"/>
      <c r="AB82" s="263"/>
      <c r="AC82" s="266"/>
      <c r="AD82" s="267"/>
      <c r="AE82" s="267"/>
      <c r="AF82" s="267"/>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4"/>
      <c r="CE82" s="104"/>
      <c r="CF82" s="104"/>
      <c r="CG82" s="104"/>
      <c r="CH82" s="104"/>
    </row>
    <row r="83" spans="1:86" ht="15.75" customHeight="1" x14ac:dyDescent="0.25">
      <c r="A83" s="252">
        <v>22384</v>
      </c>
      <c r="B83" s="255">
        <v>2025</v>
      </c>
      <c r="C83" s="252" t="s">
        <v>26</v>
      </c>
      <c r="D83" s="512">
        <v>0</v>
      </c>
      <c r="E83" s="318">
        <v>0</v>
      </c>
      <c r="F83" s="241">
        <v>0</v>
      </c>
      <c r="G83" s="293"/>
      <c r="H83" s="293"/>
      <c r="I83" s="293"/>
      <c r="J83" s="293"/>
      <c r="K83" s="293"/>
      <c r="L83" s="293"/>
      <c r="M83" s="293"/>
      <c r="N83" s="293"/>
      <c r="O83" s="293"/>
      <c r="P83" s="293"/>
      <c r="Q83" s="293"/>
      <c r="R83" s="293"/>
      <c r="S83" s="256">
        <f t="shared" si="32"/>
        <v>0</v>
      </c>
      <c r="T83" s="512">
        <f t="shared" si="33"/>
        <v>0</v>
      </c>
      <c r="U83" s="513">
        <f t="shared" si="34"/>
        <v>0</v>
      </c>
      <c r="V83" s="461">
        <f t="shared" si="35"/>
        <v>0</v>
      </c>
      <c r="W83" s="255">
        <v>2025</v>
      </c>
      <c r="X83" s="252" t="s">
        <v>26</v>
      </c>
      <c r="Y83"/>
      <c r="Z83" s="124"/>
      <c r="AA83" s="104"/>
      <c r="AB83" s="263"/>
      <c r="AC83" s="266"/>
      <c r="AD83" s="267"/>
      <c r="AE83" s="267"/>
      <c r="AF83" s="267"/>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4"/>
      <c r="BV83" s="104"/>
      <c r="BW83" s="104"/>
      <c r="BX83" s="104"/>
      <c r="BY83" s="104"/>
      <c r="BZ83" s="104"/>
      <c r="CA83" s="104"/>
      <c r="CB83" s="104"/>
      <c r="CC83" s="104"/>
      <c r="CD83" s="104"/>
      <c r="CE83" s="104"/>
      <c r="CF83" s="104"/>
      <c r="CG83" s="104"/>
      <c r="CH83" s="104"/>
    </row>
    <row r="84" spans="1:86" ht="15.75" customHeight="1" x14ac:dyDescent="0.25">
      <c r="A84" s="104">
        <v>27736</v>
      </c>
      <c r="B84" s="255">
        <v>2025</v>
      </c>
      <c r="C84" s="252" t="s">
        <v>70</v>
      </c>
      <c r="D84" s="512">
        <v>0</v>
      </c>
      <c r="E84" s="318">
        <v>0</v>
      </c>
      <c r="F84" s="241">
        <v>0</v>
      </c>
      <c r="G84" s="293"/>
      <c r="H84" s="293"/>
      <c r="I84" s="293"/>
      <c r="J84" s="293"/>
      <c r="K84" s="293"/>
      <c r="L84" s="293"/>
      <c r="M84" s="293"/>
      <c r="N84" s="293"/>
      <c r="O84" s="293"/>
      <c r="P84" s="293"/>
      <c r="Q84" s="293"/>
      <c r="R84" s="293"/>
      <c r="S84" s="256">
        <f t="shared" si="32"/>
        <v>0</v>
      </c>
      <c r="T84" s="512">
        <f t="shared" si="33"/>
        <v>0</v>
      </c>
      <c r="U84" s="513">
        <f t="shared" si="34"/>
        <v>0</v>
      </c>
      <c r="V84" s="461">
        <f t="shared" si="35"/>
        <v>0</v>
      </c>
      <c r="W84" s="255">
        <v>2025</v>
      </c>
      <c r="X84" s="252" t="s">
        <v>116</v>
      </c>
      <c r="Y84"/>
      <c r="Z84" s="124"/>
      <c r="AA84" s="104"/>
      <c r="AB84" s="263"/>
      <c r="AC84" s="266"/>
      <c r="AD84" s="267"/>
      <c r="AE84" s="267"/>
      <c r="AF84" s="267"/>
      <c r="AG84" s="104"/>
      <c r="AH84" s="104"/>
      <c r="AI84" s="104"/>
      <c r="AJ84" s="104"/>
      <c r="AK84" s="104"/>
      <c r="AL84" s="104"/>
      <c r="AM84" s="104"/>
      <c r="AN84" s="104"/>
      <c r="AO84" s="104"/>
      <c r="AP84" s="104"/>
      <c r="AQ84" s="104"/>
      <c r="AR84" s="104"/>
      <c r="AS84" s="104"/>
      <c r="AT84" s="104"/>
      <c r="AU84" s="104"/>
      <c r="AV84" s="104"/>
      <c r="AW84" s="104"/>
      <c r="AX84" s="104"/>
      <c r="AY84" s="104"/>
      <c r="AZ84" s="104"/>
      <c r="BA84" s="104"/>
      <c r="BB84" s="104"/>
      <c r="BC84" s="104"/>
      <c r="BD84" s="104"/>
      <c r="BE84" s="104"/>
      <c r="BF84" s="104"/>
      <c r="BG84" s="104"/>
      <c r="BH84" s="104"/>
      <c r="BI84" s="104"/>
      <c r="BJ84" s="104"/>
      <c r="BK84" s="104"/>
      <c r="BL84" s="104"/>
      <c r="BM84" s="104"/>
      <c r="BN84" s="104"/>
      <c r="BO84" s="104"/>
      <c r="BP84" s="104"/>
      <c r="BQ84" s="104"/>
      <c r="BR84" s="104"/>
      <c r="BS84" s="104"/>
      <c r="BT84" s="104"/>
      <c r="BU84" s="104"/>
      <c r="BV84" s="104"/>
      <c r="BW84" s="104"/>
      <c r="BX84" s="104"/>
      <c r="BY84" s="104"/>
      <c r="BZ84" s="104"/>
      <c r="CA84" s="104"/>
      <c r="CB84" s="104"/>
      <c r="CC84" s="104"/>
      <c r="CD84" s="104"/>
      <c r="CE84" s="104"/>
      <c r="CF84" s="104"/>
      <c r="CG84" s="104"/>
      <c r="CH84" s="104"/>
    </row>
    <row r="85" spans="1:86" ht="15.75" customHeight="1" x14ac:dyDescent="0.25">
      <c r="A85" s="252">
        <v>135370</v>
      </c>
      <c r="B85" s="255">
        <v>2025</v>
      </c>
      <c r="C85" s="252" t="s">
        <v>217</v>
      </c>
      <c r="D85" s="512">
        <v>0</v>
      </c>
      <c r="E85" s="318">
        <v>0</v>
      </c>
      <c r="F85" s="241">
        <v>0</v>
      </c>
      <c r="G85" s="293"/>
      <c r="H85" s="293"/>
      <c r="I85" s="293"/>
      <c r="J85" s="293"/>
      <c r="K85" s="293"/>
      <c r="L85" s="293"/>
      <c r="M85" s="293"/>
      <c r="N85" s="293"/>
      <c r="O85" s="293"/>
      <c r="P85" s="293"/>
      <c r="Q85" s="293"/>
      <c r="R85" s="293"/>
      <c r="S85" s="256">
        <f t="shared" si="32"/>
        <v>0</v>
      </c>
      <c r="T85" s="512">
        <f t="shared" si="33"/>
        <v>0</v>
      </c>
      <c r="U85" s="513">
        <f t="shared" si="34"/>
        <v>0</v>
      </c>
      <c r="V85" s="461">
        <f t="shared" si="35"/>
        <v>0</v>
      </c>
      <c r="W85" s="255">
        <v>2025</v>
      </c>
      <c r="X85" s="252" t="s">
        <v>505</v>
      </c>
      <c r="Y85"/>
      <c r="Z85" s="124"/>
      <c r="AA85" s="104"/>
      <c r="AB85" s="263"/>
      <c r="AC85" s="266"/>
      <c r="AD85" s="267"/>
      <c r="AE85" s="267"/>
      <c r="AF85" s="267"/>
      <c r="AG85" s="104"/>
      <c r="AH85" s="104"/>
      <c r="AI85" s="104"/>
      <c r="AJ85" s="104"/>
      <c r="AK85" s="104"/>
      <c r="AL85" s="104"/>
      <c r="AM85" s="104"/>
      <c r="AN85" s="104"/>
      <c r="AO85" s="104"/>
      <c r="AP85" s="104"/>
      <c r="AQ85" s="104"/>
      <c r="AR85" s="104"/>
      <c r="AS85" s="104"/>
      <c r="AT85" s="104"/>
      <c r="AU85" s="104"/>
      <c r="AV85" s="104"/>
      <c r="AW85" s="104"/>
      <c r="AX85" s="104"/>
      <c r="AY85" s="104"/>
      <c r="AZ85" s="104"/>
      <c r="BA85" s="104"/>
      <c r="BB85" s="104"/>
      <c r="BC85" s="104"/>
      <c r="BD85" s="104"/>
      <c r="BE85" s="104"/>
      <c r="BF85" s="104"/>
      <c r="BG85" s="104"/>
      <c r="BH85" s="104"/>
      <c r="BI85" s="104"/>
      <c r="BJ85" s="104"/>
      <c r="BK85" s="104"/>
      <c r="BL85" s="104"/>
      <c r="BM85" s="104"/>
      <c r="BN85" s="104"/>
      <c r="BO85" s="104"/>
      <c r="BP85" s="104"/>
      <c r="BQ85" s="104"/>
      <c r="BR85" s="104"/>
      <c r="BS85" s="104"/>
      <c r="BT85" s="104"/>
      <c r="BU85" s="104"/>
      <c r="BV85" s="104"/>
      <c r="BW85" s="104"/>
      <c r="BX85" s="104"/>
      <c r="BY85" s="104"/>
      <c r="BZ85" s="104"/>
      <c r="CA85" s="104"/>
      <c r="CB85" s="104"/>
      <c r="CC85" s="104"/>
      <c r="CD85" s="104"/>
      <c r="CE85" s="104"/>
      <c r="CF85" s="104"/>
      <c r="CG85" s="104"/>
      <c r="CH85" s="104"/>
    </row>
    <row r="86" spans="1:86" ht="15.75" customHeight="1" x14ac:dyDescent="0.25">
      <c r="A86" s="535">
        <v>34641</v>
      </c>
      <c r="B86" s="255">
        <v>2025</v>
      </c>
      <c r="C86" s="252" t="s">
        <v>118</v>
      </c>
      <c r="D86" s="512">
        <v>0</v>
      </c>
      <c r="E86" s="318">
        <v>0</v>
      </c>
      <c r="F86" s="241">
        <v>0</v>
      </c>
      <c r="G86" s="293"/>
      <c r="H86" s="293"/>
      <c r="I86" s="293"/>
      <c r="J86" s="293"/>
      <c r="K86" s="293"/>
      <c r="L86" s="293"/>
      <c r="M86" s="293"/>
      <c r="N86" s="293"/>
      <c r="O86" s="293"/>
      <c r="P86" s="293"/>
      <c r="Q86" s="293"/>
      <c r="R86" s="293"/>
      <c r="S86" s="256">
        <f t="shared" si="32"/>
        <v>0</v>
      </c>
      <c r="T86" s="512">
        <f t="shared" si="33"/>
        <v>0</v>
      </c>
      <c r="U86" s="513">
        <f t="shared" si="34"/>
        <v>0</v>
      </c>
      <c r="V86" s="461">
        <f t="shared" si="35"/>
        <v>0</v>
      </c>
      <c r="W86" s="255">
        <v>2025</v>
      </c>
      <c r="X86" s="252" t="s">
        <v>118</v>
      </c>
      <c r="Y86"/>
      <c r="Z86" s="124"/>
      <c r="AA86" s="104"/>
      <c r="AB86" s="263"/>
      <c r="AC86" s="266"/>
      <c r="AD86" s="267"/>
      <c r="AE86" s="267"/>
      <c r="AF86" s="267"/>
      <c r="AG86" s="104"/>
      <c r="AH86" s="104"/>
      <c r="AI86" s="104"/>
      <c r="AJ86" s="104"/>
      <c r="AK86" s="104"/>
      <c r="AL86" s="104"/>
      <c r="AM86" s="104"/>
      <c r="AN86" s="104"/>
      <c r="AO86" s="104"/>
      <c r="AP86" s="104"/>
      <c r="AQ86" s="104"/>
      <c r="AR86" s="104"/>
      <c r="AS86" s="104"/>
      <c r="AT86" s="104"/>
      <c r="AU86" s="104"/>
      <c r="AV86" s="104"/>
      <c r="AW86" s="104"/>
      <c r="AX86" s="104"/>
      <c r="AY86" s="104"/>
      <c r="AZ86" s="104"/>
      <c r="BA86" s="104"/>
      <c r="BB86" s="104"/>
      <c r="BC86" s="104"/>
      <c r="BD86" s="104"/>
      <c r="BE86" s="104"/>
      <c r="BF86" s="104"/>
      <c r="BG86" s="104"/>
      <c r="BH86" s="104"/>
      <c r="BI86" s="104"/>
      <c r="BJ86" s="104"/>
      <c r="BK86" s="104"/>
      <c r="BL86" s="104"/>
      <c r="BM86" s="104"/>
      <c r="BN86" s="104"/>
      <c r="BO86" s="104"/>
      <c r="BP86" s="104"/>
      <c r="BQ86" s="104"/>
      <c r="BR86" s="104"/>
      <c r="BS86" s="104"/>
      <c r="BT86" s="104"/>
      <c r="BU86" s="104"/>
      <c r="BV86" s="104"/>
      <c r="BW86" s="104"/>
      <c r="BX86" s="104"/>
      <c r="BY86" s="104"/>
      <c r="BZ86" s="104"/>
      <c r="CA86" s="104"/>
      <c r="CB86" s="104"/>
      <c r="CC86" s="104"/>
      <c r="CD86" s="104"/>
      <c r="CE86" s="104"/>
      <c r="CF86" s="104"/>
      <c r="CG86" s="104"/>
      <c r="CH86" s="104"/>
    </row>
    <row r="87" spans="1:86" ht="15.75" customHeight="1" x14ac:dyDescent="0.25">
      <c r="A87" s="487">
        <v>133687</v>
      </c>
      <c r="B87" s="255">
        <v>2025</v>
      </c>
      <c r="C87" s="252" t="s">
        <v>278</v>
      </c>
      <c r="D87" s="512">
        <v>0</v>
      </c>
      <c r="E87" s="318">
        <v>0</v>
      </c>
      <c r="F87" s="241">
        <v>0</v>
      </c>
      <c r="G87" s="293"/>
      <c r="H87" s="293"/>
      <c r="I87" s="293"/>
      <c r="J87" s="293"/>
      <c r="K87" s="293"/>
      <c r="L87" s="293"/>
      <c r="M87" s="293"/>
      <c r="N87" s="293"/>
      <c r="O87" s="293"/>
      <c r="P87" s="293"/>
      <c r="Q87" s="293"/>
      <c r="R87" s="293" t="s">
        <v>35</v>
      </c>
      <c r="S87" s="256">
        <f t="shared" si="32"/>
        <v>0</v>
      </c>
      <c r="T87" s="512">
        <f t="shared" si="33"/>
        <v>0</v>
      </c>
      <c r="U87" s="513">
        <f t="shared" si="34"/>
        <v>0</v>
      </c>
      <c r="V87" s="461">
        <f t="shared" si="35"/>
        <v>0</v>
      </c>
      <c r="W87" s="255">
        <v>2025</v>
      </c>
      <c r="X87" s="252" t="s">
        <v>278</v>
      </c>
      <c r="Y87"/>
      <c r="Z87" s="124"/>
      <c r="AA87" s="104"/>
      <c r="AB87" s="263"/>
      <c r="AC87" s="266"/>
      <c r="AD87" s="267"/>
      <c r="AE87" s="267"/>
      <c r="AF87" s="267"/>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4"/>
      <c r="BZ87" s="104"/>
      <c r="CA87" s="104"/>
      <c r="CB87" s="104"/>
      <c r="CC87" s="104"/>
      <c r="CD87" s="104"/>
      <c r="CE87" s="104"/>
      <c r="CF87" s="104"/>
      <c r="CG87" s="104"/>
      <c r="CH87" s="104"/>
    </row>
    <row r="88" spans="1:86" ht="15.75" customHeight="1" x14ac:dyDescent="0.25">
      <c r="A88" s="487">
        <v>168932</v>
      </c>
      <c r="B88" s="255">
        <v>2025</v>
      </c>
      <c r="C88" s="252" t="s">
        <v>844</v>
      </c>
      <c r="D88" s="512">
        <v>0</v>
      </c>
      <c r="E88" s="318">
        <v>0</v>
      </c>
      <c r="F88" s="241">
        <v>0</v>
      </c>
      <c r="G88" s="293"/>
      <c r="H88" s="293"/>
      <c r="I88" s="293"/>
      <c r="J88" s="293"/>
      <c r="K88" s="293"/>
      <c r="L88" s="293"/>
      <c r="M88" s="293"/>
      <c r="N88" s="293"/>
      <c r="O88" s="293"/>
      <c r="P88" s="293"/>
      <c r="Q88" s="293"/>
      <c r="R88" s="293"/>
      <c r="S88" s="256">
        <f t="shared" si="32"/>
        <v>0</v>
      </c>
      <c r="T88" s="512">
        <f t="shared" si="33"/>
        <v>0</v>
      </c>
      <c r="U88" s="513">
        <f t="shared" si="34"/>
        <v>0</v>
      </c>
      <c r="V88" s="461">
        <f t="shared" si="35"/>
        <v>0</v>
      </c>
      <c r="W88" s="255">
        <v>2025</v>
      </c>
      <c r="X88" s="252" t="s">
        <v>844</v>
      </c>
      <c r="Y88"/>
      <c r="Z88" s="124"/>
      <c r="AA88" s="104"/>
      <c r="AB88" s="263"/>
      <c r="AC88" s="266"/>
      <c r="AD88" s="267"/>
      <c r="AE88" s="267"/>
      <c r="AF88" s="267"/>
      <c r="AG88" s="104"/>
      <c r="AH88" s="104"/>
      <c r="AI88" s="104"/>
      <c r="AJ88" s="104"/>
      <c r="AK88" s="104"/>
      <c r="AL88" s="104"/>
      <c r="AM88" s="104"/>
      <c r="AN88" s="104"/>
      <c r="AO88" s="104"/>
      <c r="AP88" s="104"/>
      <c r="AQ88" s="104"/>
      <c r="AR88" s="104"/>
      <c r="AS88" s="104"/>
      <c r="AT88" s="104"/>
      <c r="AU88" s="104"/>
      <c r="AV88" s="104"/>
      <c r="AW88" s="104"/>
      <c r="AX88" s="104"/>
      <c r="AY88" s="104"/>
      <c r="AZ88" s="104"/>
      <c r="BA88" s="104"/>
      <c r="BB88" s="104"/>
      <c r="BC88" s="104"/>
      <c r="BD88" s="104"/>
      <c r="BE88" s="104"/>
      <c r="BF88" s="104"/>
      <c r="BG88" s="104"/>
      <c r="BH88" s="104"/>
      <c r="BI88" s="104"/>
      <c r="BJ88" s="104"/>
      <c r="BK88" s="104"/>
      <c r="BL88" s="104"/>
      <c r="BM88" s="104"/>
      <c r="BN88" s="104"/>
      <c r="BO88" s="104"/>
      <c r="BP88" s="104"/>
      <c r="BQ88" s="104"/>
      <c r="BR88" s="104"/>
      <c r="BS88" s="104"/>
      <c r="BT88" s="104"/>
      <c r="BU88" s="104"/>
      <c r="BV88" s="104"/>
      <c r="BW88" s="104"/>
      <c r="BX88" s="104"/>
      <c r="BY88" s="104"/>
      <c r="BZ88" s="104"/>
      <c r="CA88" s="104"/>
      <c r="CB88" s="104"/>
      <c r="CC88" s="104"/>
      <c r="CD88" s="104"/>
      <c r="CE88" s="104"/>
      <c r="CF88" s="104"/>
      <c r="CG88" s="104"/>
      <c r="CH88" s="104"/>
    </row>
    <row r="89" spans="1:86" ht="15.75" customHeight="1" x14ac:dyDescent="0.2">
      <c r="A89" s="249"/>
      <c r="B89" s="315"/>
      <c r="C89" s="249"/>
      <c r="D89" s="249">
        <v>0</v>
      </c>
      <c r="E89" s="544">
        <v>0</v>
      </c>
      <c r="F89" s="509"/>
      <c r="G89" s="509"/>
      <c r="H89" s="509"/>
      <c r="I89" s="509"/>
      <c r="J89" s="509"/>
      <c r="K89" s="509"/>
      <c r="L89" s="509"/>
      <c r="M89" s="509"/>
      <c r="N89" s="509"/>
      <c r="O89" s="509"/>
      <c r="P89" s="509"/>
      <c r="Q89" s="509"/>
      <c r="R89" s="509"/>
      <c r="S89" s="251">
        <f t="shared" si="25"/>
        <v>0</v>
      </c>
      <c r="T89" s="510">
        <f t="shared" si="12"/>
        <v>0</v>
      </c>
      <c r="U89" s="511">
        <f t="shared" si="13"/>
        <v>0</v>
      </c>
      <c r="V89" s="462"/>
      <c r="W89" s="316"/>
      <c r="X89" s="213"/>
      <c r="Y89"/>
      <c r="Z89" s="124"/>
      <c r="AA89" s="104"/>
      <c r="AB89" s="265"/>
      <c r="AC89" s="266"/>
      <c r="AD89" s="267"/>
      <c r="AE89" s="267"/>
      <c r="AF89" s="267"/>
      <c r="AG89" s="104"/>
      <c r="AH89" s="104"/>
      <c r="AI89" s="104"/>
      <c r="AJ89" s="104"/>
      <c r="AK89" s="104"/>
      <c r="AL89" s="104"/>
      <c r="AM89" s="104"/>
      <c r="AN89" s="104"/>
      <c r="AO89" s="104"/>
      <c r="AP89" s="104"/>
      <c r="AQ89" s="104"/>
      <c r="AR89" s="104"/>
      <c r="AS89" s="104"/>
      <c r="AT89" s="104"/>
      <c r="AU89" s="104"/>
      <c r="AV89" s="104"/>
      <c r="AW89" s="104"/>
      <c r="AX89" s="104"/>
      <c r="AY89" s="104"/>
      <c r="AZ89" s="104"/>
      <c r="BA89" s="104"/>
      <c r="BB89" s="104"/>
      <c r="BC89" s="104"/>
      <c r="BD89" s="104"/>
      <c r="BE89" s="104"/>
      <c r="BF89" s="104"/>
      <c r="BG89" s="104"/>
      <c r="BH89" s="104"/>
      <c r="BI89" s="104"/>
      <c r="BJ89" s="104"/>
      <c r="BK89" s="104"/>
      <c r="BL89" s="104"/>
      <c r="BM89" s="104"/>
      <c r="BN89" s="104"/>
      <c r="BO89" s="104"/>
      <c r="BP89" s="104"/>
      <c r="BQ89" s="104"/>
      <c r="BR89" s="104"/>
      <c r="BS89" s="104"/>
      <c r="BT89" s="104"/>
      <c r="BU89" s="104"/>
      <c r="BV89" s="104"/>
      <c r="BW89" s="104"/>
      <c r="BX89" s="104"/>
      <c r="BY89" s="104"/>
      <c r="BZ89" s="104"/>
      <c r="CA89" s="104"/>
      <c r="CB89" s="104"/>
      <c r="CC89" s="104"/>
      <c r="CD89" s="104"/>
      <c r="CE89" s="104"/>
      <c r="CF89" s="104"/>
      <c r="CG89" s="104"/>
      <c r="CH89" s="104"/>
    </row>
    <row r="90" spans="1:86" ht="15.75" customHeight="1" x14ac:dyDescent="0.2">
      <c r="A90" s="252"/>
      <c r="B90" s="116">
        <v>2015</v>
      </c>
      <c r="C90" s="252"/>
      <c r="D90" s="308">
        <v>0.33333333333333331</v>
      </c>
      <c r="E90" s="547">
        <f t="shared" ref="E90:R90" si="40">SUM(E9)</f>
        <v>38</v>
      </c>
      <c r="F90" s="531">
        <f t="shared" si="40"/>
        <v>0</v>
      </c>
      <c r="G90" s="531">
        <f>SUM(G9)</f>
        <v>0</v>
      </c>
      <c r="H90" s="531">
        <f>SUM(H9)</f>
        <v>0</v>
      </c>
      <c r="I90" s="531">
        <f t="shared" si="40"/>
        <v>0</v>
      </c>
      <c r="J90" s="531">
        <f t="shared" si="40"/>
        <v>0</v>
      </c>
      <c r="K90" s="531">
        <f t="shared" si="40"/>
        <v>0</v>
      </c>
      <c r="L90" s="531">
        <f t="shared" si="40"/>
        <v>0</v>
      </c>
      <c r="M90" s="531">
        <f t="shared" si="40"/>
        <v>0</v>
      </c>
      <c r="N90" s="531">
        <f t="shared" si="40"/>
        <v>0</v>
      </c>
      <c r="O90" s="531">
        <f t="shared" si="40"/>
        <v>0</v>
      </c>
      <c r="P90" s="531">
        <f t="shared" si="40"/>
        <v>0</v>
      </c>
      <c r="Q90" s="531">
        <f t="shared" si="40"/>
        <v>0</v>
      </c>
      <c r="R90" s="531">
        <f t="shared" si="40"/>
        <v>0</v>
      </c>
      <c r="S90" s="255">
        <f t="shared" si="25"/>
        <v>0</v>
      </c>
      <c r="T90" s="512">
        <f t="shared" si="12"/>
        <v>0</v>
      </c>
      <c r="U90" s="513">
        <f t="shared" si="13"/>
        <v>0</v>
      </c>
      <c r="V90" s="461">
        <f t="shared" ref="V90:V97" si="41">E90+F90-S90</f>
        <v>38</v>
      </c>
      <c r="W90" s="314">
        <v>2015</v>
      </c>
      <c r="X90" s="213"/>
      <c r="Y90"/>
      <c r="Z90" s="124"/>
      <c r="AA90" s="104"/>
      <c r="AB90" s="265"/>
      <c r="AC90" s="266"/>
      <c r="AD90" s="267"/>
      <c r="AE90" s="267"/>
      <c r="AF90" s="267"/>
      <c r="AG90" s="104"/>
      <c r="AH90" s="104"/>
      <c r="AI90" s="104"/>
      <c r="AJ90" s="104"/>
      <c r="AK90" s="104"/>
      <c r="AL90" s="104"/>
      <c r="AM90" s="104"/>
      <c r="AN90" s="104"/>
      <c r="AO90" s="104"/>
      <c r="AP90" s="104"/>
      <c r="AQ90" s="104"/>
      <c r="AR90" s="104"/>
      <c r="AS90" s="104"/>
      <c r="AT90" s="104"/>
      <c r="AU90" s="104"/>
      <c r="AV90" s="104"/>
      <c r="AW90" s="104"/>
      <c r="AX90" s="104"/>
      <c r="AY90" s="104"/>
      <c r="AZ90" s="104"/>
      <c r="BA90" s="104"/>
      <c r="BB90" s="104"/>
      <c r="BC90" s="104"/>
      <c r="BD90" s="104"/>
      <c r="BE90" s="104"/>
      <c r="BF90" s="104"/>
      <c r="BG90" s="104"/>
      <c r="BH90" s="104"/>
      <c r="BI90" s="104"/>
      <c r="BJ90" s="104"/>
      <c r="BK90" s="104"/>
      <c r="BL90" s="104"/>
      <c r="BM90" s="104"/>
      <c r="BN90" s="104"/>
      <c r="BO90" s="104"/>
      <c r="BP90" s="104"/>
      <c r="BQ90" s="104"/>
      <c r="BR90" s="104"/>
      <c r="BS90" s="104"/>
      <c r="BT90" s="104"/>
      <c r="BU90" s="104"/>
      <c r="BV90" s="104"/>
      <c r="BW90" s="104"/>
      <c r="BX90" s="104"/>
      <c r="BY90" s="104"/>
      <c r="BZ90" s="104"/>
      <c r="CA90" s="104"/>
      <c r="CB90" s="104"/>
      <c r="CC90" s="104"/>
      <c r="CD90" s="104"/>
      <c r="CE90" s="104"/>
      <c r="CF90" s="104"/>
      <c r="CG90" s="104"/>
      <c r="CH90" s="104"/>
    </row>
    <row r="91" spans="1:86" ht="15.75" customHeight="1" x14ac:dyDescent="0.2">
      <c r="A91" s="104"/>
      <c r="B91" s="116">
        <v>2020</v>
      </c>
      <c r="C91" s="252"/>
      <c r="D91" s="309">
        <v>140</v>
      </c>
      <c r="E91" s="547">
        <f t="shared" ref="E91:R91" si="42">SUM(E11:E13)</f>
        <v>178</v>
      </c>
      <c r="F91" s="531">
        <f t="shared" si="42"/>
        <v>0</v>
      </c>
      <c r="G91" s="531">
        <f>SUM(G11:G13)</f>
        <v>52</v>
      </c>
      <c r="H91" s="531">
        <f>SUM(H11:H13)</f>
        <v>6</v>
      </c>
      <c r="I91" s="531">
        <f t="shared" si="42"/>
        <v>5</v>
      </c>
      <c r="J91" s="531">
        <f t="shared" si="42"/>
        <v>0</v>
      </c>
      <c r="K91" s="531">
        <f t="shared" si="42"/>
        <v>0</v>
      </c>
      <c r="L91" s="531">
        <f t="shared" si="42"/>
        <v>0</v>
      </c>
      <c r="M91" s="531">
        <f t="shared" si="42"/>
        <v>0</v>
      </c>
      <c r="N91" s="531">
        <f t="shared" si="42"/>
        <v>0</v>
      </c>
      <c r="O91" s="531">
        <f t="shared" si="42"/>
        <v>0</v>
      </c>
      <c r="P91" s="531">
        <f t="shared" si="42"/>
        <v>0</v>
      </c>
      <c r="Q91" s="531">
        <f t="shared" si="42"/>
        <v>0</v>
      </c>
      <c r="R91" s="531">
        <f t="shared" si="42"/>
        <v>0</v>
      </c>
      <c r="S91" s="255">
        <f t="shared" si="25"/>
        <v>63</v>
      </c>
      <c r="T91" s="512">
        <f t="shared" si="12"/>
        <v>5.25</v>
      </c>
      <c r="U91" s="513">
        <f t="shared" si="13"/>
        <v>21.904761904761905</v>
      </c>
      <c r="V91" s="461">
        <f t="shared" si="41"/>
        <v>115</v>
      </c>
      <c r="W91" s="314">
        <v>2020</v>
      </c>
      <c r="X91" s="104"/>
      <c r="Y91"/>
      <c r="Z91"/>
      <c r="AA91" s="104"/>
      <c r="AB91" s="265"/>
      <c r="AC91" s="266"/>
      <c r="AD91" s="267"/>
      <c r="AE91" s="267"/>
      <c r="AF91" s="267"/>
      <c r="AG91" s="104"/>
      <c r="AH91" s="104"/>
      <c r="AI91" s="104"/>
      <c r="AJ91" s="104"/>
      <c r="AK91" s="104"/>
      <c r="AL91" s="104"/>
      <c r="AM91" s="104"/>
      <c r="AN91" s="104"/>
      <c r="AO91" s="104"/>
      <c r="AP91" s="104"/>
      <c r="AQ91" s="104"/>
      <c r="AR91" s="104"/>
      <c r="AS91" s="104"/>
      <c r="AT91" s="104"/>
      <c r="AU91" s="104"/>
      <c r="AV91" s="104"/>
      <c r="AW91" s="104"/>
      <c r="AX91" s="104"/>
      <c r="AY91" s="104"/>
      <c r="AZ91" s="104"/>
      <c r="BA91" s="104"/>
      <c r="BB91" s="104"/>
      <c r="BC91" s="104"/>
      <c r="BD91" s="104"/>
      <c r="BE91" s="104"/>
      <c r="BF91" s="104"/>
      <c r="BG91" s="104"/>
      <c r="BH91" s="104"/>
      <c r="BI91" s="104"/>
      <c r="BJ91" s="104"/>
      <c r="BK91" s="104"/>
      <c r="BL91" s="104"/>
      <c r="BM91" s="104"/>
      <c r="BN91" s="104"/>
      <c r="BO91" s="104"/>
      <c r="BP91" s="104"/>
      <c r="BQ91" s="104"/>
      <c r="BR91" s="104"/>
      <c r="BS91" s="104"/>
      <c r="BT91" s="104"/>
      <c r="BU91" s="104"/>
      <c r="BV91" s="104"/>
      <c r="BW91" s="104"/>
      <c r="BX91" s="104"/>
      <c r="BY91" s="104"/>
      <c r="BZ91" s="104"/>
      <c r="CA91" s="104"/>
      <c r="CB91" s="104"/>
      <c r="CC91" s="104"/>
      <c r="CD91" s="104"/>
      <c r="CE91" s="104"/>
      <c r="CF91" s="104"/>
      <c r="CG91" s="104"/>
      <c r="CH91" s="104"/>
    </row>
    <row r="92" spans="1:86" ht="15.75" customHeight="1" x14ac:dyDescent="0.2">
      <c r="A92" s="104"/>
      <c r="B92" s="116">
        <v>2021</v>
      </c>
      <c r="C92" s="252"/>
      <c r="D92" s="309">
        <v>74.416666666666671</v>
      </c>
      <c r="E92" s="547">
        <f t="shared" ref="E92:R92" si="43">SUM(E15:E20)</f>
        <v>1237</v>
      </c>
      <c r="F92" s="531">
        <f t="shared" si="43"/>
        <v>0</v>
      </c>
      <c r="G92" s="531">
        <f>SUM(G15:G20)</f>
        <v>61</v>
      </c>
      <c r="H92" s="531">
        <f>SUM(H15:H20)</f>
        <v>75</v>
      </c>
      <c r="I92" s="531">
        <f t="shared" si="43"/>
        <v>83</v>
      </c>
      <c r="J92" s="531">
        <f t="shared" si="43"/>
        <v>0</v>
      </c>
      <c r="K92" s="531">
        <f t="shared" si="43"/>
        <v>0</v>
      </c>
      <c r="L92" s="531">
        <f t="shared" si="43"/>
        <v>0</v>
      </c>
      <c r="M92" s="531">
        <f t="shared" si="43"/>
        <v>0</v>
      </c>
      <c r="N92" s="531">
        <f t="shared" si="43"/>
        <v>0</v>
      </c>
      <c r="O92" s="531">
        <f t="shared" si="43"/>
        <v>0</v>
      </c>
      <c r="P92" s="531">
        <f t="shared" si="43"/>
        <v>0</v>
      </c>
      <c r="Q92" s="531">
        <f t="shared" si="43"/>
        <v>0</v>
      </c>
      <c r="R92" s="531">
        <f t="shared" si="43"/>
        <v>0</v>
      </c>
      <c r="S92" s="295">
        <f>SUM(G92:R92)</f>
        <v>219</v>
      </c>
      <c r="T92" s="512">
        <f t="shared" si="12"/>
        <v>18.25</v>
      </c>
      <c r="U92" s="513">
        <f t="shared" si="13"/>
        <v>55.780821917808218</v>
      </c>
      <c r="V92" s="461">
        <f t="shared" si="41"/>
        <v>1018</v>
      </c>
      <c r="W92" s="314">
        <v>2021</v>
      </c>
      <c r="X92" s="104"/>
      <c r="Y92"/>
      <c r="Z92"/>
      <c r="AA92" s="104"/>
      <c r="AB92" s="265"/>
      <c r="AC92" s="266"/>
      <c r="AD92" s="267"/>
      <c r="AE92" s="267"/>
      <c r="AF92" s="267"/>
      <c r="AG92" s="104"/>
      <c r="AH92" s="104"/>
      <c r="AI92" s="104"/>
      <c r="AJ92" s="104"/>
      <c r="AK92" s="104"/>
      <c r="AL92" s="104"/>
      <c r="AM92" s="104"/>
      <c r="AN92" s="104"/>
      <c r="AO92" s="104"/>
      <c r="AP92" s="104"/>
      <c r="AQ92" s="104"/>
      <c r="AR92" s="104"/>
      <c r="AS92" s="104"/>
      <c r="AT92" s="104"/>
      <c r="AU92" s="104"/>
      <c r="AV92" s="104"/>
      <c r="AW92" s="104"/>
      <c r="AX92" s="104"/>
      <c r="AY92" s="104"/>
      <c r="AZ92" s="104"/>
      <c r="BA92" s="104"/>
      <c r="BB92" s="104"/>
      <c r="BC92" s="104"/>
      <c r="BD92" s="104"/>
      <c r="BE92" s="104"/>
      <c r="BF92" s="104"/>
      <c r="BG92" s="104"/>
      <c r="BH92" s="104"/>
      <c r="BI92" s="104"/>
      <c r="BJ92" s="104"/>
      <c r="BK92" s="104"/>
      <c r="BL92" s="104"/>
      <c r="BM92" s="104"/>
      <c r="BN92" s="104"/>
      <c r="BO92" s="104"/>
      <c r="BP92" s="104"/>
      <c r="BQ92" s="104"/>
      <c r="BR92" s="104"/>
      <c r="BS92" s="104"/>
      <c r="BT92" s="104"/>
      <c r="BU92" s="104"/>
      <c r="BV92" s="104"/>
      <c r="BW92" s="104"/>
      <c r="BX92" s="104"/>
      <c r="BY92" s="104"/>
      <c r="BZ92" s="104"/>
      <c r="CA92" s="104"/>
      <c r="CB92" s="104"/>
      <c r="CC92" s="104"/>
      <c r="CD92" s="104"/>
      <c r="CE92" s="104"/>
      <c r="CF92" s="104"/>
      <c r="CG92" s="104"/>
      <c r="CH92" s="104"/>
    </row>
    <row r="93" spans="1:86" ht="15.75" customHeight="1" x14ac:dyDescent="0.2">
      <c r="A93" s="104"/>
      <c r="B93" s="116">
        <v>2022</v>
      </c>
      <c r="C93" s="252"/>
      <c r="D93" s="309">
        <v>114.41666666666667</v>
      </c>
      <c r="E93" s="547">
        <f t="shared" ref="E93:Q93" si="44">SUM(E22:E32)</f>
        <v>1979</v>
      </c>
      <c r="F93" s="531">
        <f t="shared" si="44"/>
        <v>0</v>
      </c>
      <c r="G93" s="531">
        <f>SUM(G22:G32)</f>
        <v>121</v>
      </c>
      <c r="H93" s="531">
        <f>SUM(H22:H32)</f>
        <v>147</v>
      </c>
      <c r="I93" s="531">
        <f t="shared" si="44"/>
        <v>76</v>
      </c>
      <c r="J93" s="531">
        <f t="shared" si="44"/>
        <v>0</v>
      </c>
      <c r="K93" s="531">
        <f t="shared" si="44"/>
        <v>0</v>
      </c>
      <c r="L93" s="531">
        <f t="shared" si="44"/>
        <v>0</v>
      </c>
      <c r="M93" s="531">
        <f t="shared" si="44"/>
        <v>0</v>
      </c>
      <c r="N93" s="531">
        <f t="shared" si="44"/>
        <v>0</v>
      </c>
      <c r="O93" s="531">
        <f t="shared" si="44"/>
        <v>0</v>
      </c>
      <c r="P93" s="531">
        <f t="shared" si="44"/>
        <v>0</v>
      </c>
      <c r="Q93" s="531">
        <f t="shared" si="44"/>
        <v>0</v>
      </c>
      <c r="R93" s="531">
        <f>SUM(R22:R31)</f>
        <v>0</v>
      </c>
      <c r="S93" s="295">
        <f t="shared" ref="S93:S96" si="45">SUM(G93:R93)</f>
        <v>344</v>
      </c>
      <c r="T93" s="512">
        <f t="shared" si="12"/>
        <v>28.666666666666668</v>
      </c>
      <c r="U93" s="513">
        <f t="shared" si="13"/>
        <v>57.034883720930232</v>
      </c>
      <c r="V93" s="461">
        <f t="shared" si="41"/>
        <v>1635</v>
      </c>
      <c r="W93" s="533">
        <v>2022</v>
      </c>
      <c r="X93" s="105"/>
      <c r="Y93"/>
      <c r="Z93"/>
      <c r="AA93" s="104"/>
      <c r="AB93" s="105"/>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104"/>
      <c r="CG93" s="104"/>
      <c r="CH93" s="104"/>
    </row>
    <row r="94" spans="1:86" ht="15.75" customHeight="1" x14ac:dyDescent="0.25">
      <c r="A94" s="104"/>
      <c r="B94" s="116">
        <v>2023</v>
      </c>
      <c r="C94" s="252"/>
      <c r="D94" s="309">
        <v>186.17500000000001</v>
      </c>
      <c r="E94" s="547">
        <f t="shared" ref="E94:R94" si="46">SUM(E34:E50)</f>
        <v>3544</v>
      </c>
      <c r="F94" s="531">
        <f t="shared" si="46"/>
        <v>0</v>
      </c>
      <c r="G94" s="531">
        <f>SUM(G34:G50)</f>
        <v>92</v>
      </c>
      <c r="H94" s="531">
        <f>SUM(H34:H50)</f>
        <v>102</v>
      </c>
      <c r="I94" s="531">
        <f t="shared" si="46"/>
        <v>85</v>
      </c>
      <c r="J94" s="531">
        <f t="shared" si="46"/>
        <v>0</v>
      </c>
      <c r="K94" s="531">
        <f t="shared" si="46"/>
        <v>0</v>
      </c>
      <c r="L94" s="531">
        <f t="shared" si="46"/>
        <v>0</v>
      </c>
      <c r="M94" s="531">
        <f t="shared" si="46"/>
        <v>0</v>
      </c>
      <c r="N94" s="531">
        <f t="shared" si="46"/>
        <v>0</v>
      </c>
      <c r="O94" s="531">
        <f t="shared" si="46"/>
        <v>0</v>
      </c>
      <c r="P94" s="531">
        <f t="shared" si="46"/>
        <v>0</v>
      </c>
      <c r="Q94" s="531">
        <f t="shared" si="46"/>
        <v>0</v>
      </c>
      <c r="R94" s="531">
        <f t="shared" si="46"/>
        <v>0</v>
      </c>
      <c r="S94" s="295">
        <f t="shared" si="45"/>
        <v>279</v>
      </c>
      <c r="T94" s="536">
        <f>SUM(T34:T50)</f>
        <v>99.166666666666657</v>
      </c>
      <c r="U94" s="513">
        <f t="shared" si="13"/>
        <v>32.924369747899163</v>
      </c>
      <c r="V94" s="461">
        <f t="shared" si="41"/>
        <v>3265</v>
      </c>
      <c r="W94" s="537">
        <v>2023</v>
      </c>
      <c r="X94" s="200"/>
      <c r="Y94"/>
      <c r="Z94"/>
      <c r="AA94" s="104"/>
      <c r="AB94" s="105"/>
      <c r="AC94" s="104"/>
      <c r="AD94" s="104"/>
      <c r="AE94" s="104"/>
      <c r="AF94" s="104"/>
      <c r="AG94" s="104"/>
      <c r="AH94" s="104"/>
      <c r="AI94" s="104"/>
      <c r="AJ94" s="104"/>
      <c r="AK94" s="104"/>
      <c r="AL94" s="104"/>
      <c r="AM94" s="104"/>
      <c r="AN94" s="104"/>
      <c r="AO94" s="104"/>
      <c r="AP94" s="104"/>
      <c r="AQ94" s="104"/>
      <c r="AR94" s="104"/>
      <c r="AS94" s="104"/>
      <c r="AT94" s="104"/>
      <c r="AU94" s="104"/>
      <c r="AV94" s="104"/>
      <c r="AW94" s="104"/>
      <c r="AX94" s="104"/>
      <c r="AY94" s="104"/>
      <c r="AZ94" s="104"/>
      <c r="BA94" s="104"/>
      <c r="BB94" s="104"/>
      <c r="BC94" s="104"/>
      <c r="BD94" s="104"/>
      <c r="BE94" s="104"/>
      <c r="BF94" s="104"/>
      <c r="BG94" s="104"/>
      <c r="BH94" s="104"/>
      <c r="BI94" s="104"/>
      <c r="BJ94" s="104"/>
      <c r="BK94" s="104"/>
      <c r="BL94" s="104"/>
      <c r="BM94" s="104"/>
      <c r="BN94" s="104"/>
      <c r="BO94" s="104"/>
      <c r="BP94" s="104"/>
      <c r="BQ94" s="104"/>
      <c r="BR94" s="104"/>
      <c r="BS94" s="104"/>
      <c r="BT94" s="104"/>
      <c r="BU94" s="104"/>
      <c r="BV94" s="104"/>
      <c r="BW94" s="104"/>
      <c r="BX94" s="104"/>
      <c r="BY94" s="104"/>
      <c r="BZ94" s="104"/>
      <c r="CA94" s="104"/>
      <c r="CB94" s="104"/>
      <c r="CC94" s="104"/>
      <c r="CD94" s="104"/>
      <c r="CE94" s="104"/>
      <c r="CF94" s="104"/>
      <c r="CG94" s="104"/>
      <c r="CH94" s="104"/>
    </row>
    <row r="95" spans="1:86" ht="15.75" customHeight="1" x14ac:dyDescent="0.25">
      <c r="A95" s="104"/>
      <c r="B95" s="116">
        <v>2024</v>
      </c>
      <c r="C95" s="252"/>
      <c r="D95" s="309">
        <f>SUM(D52:D71)</f>
        <v>86.375</v>
      </c>
      <c r="E95" s="547">
        <f t="shared" ref="E95:T95" si="47">SUM(E52:E72)</f>
        <v>3215</v>
      </c>
      <c r="F95" s="531">
        <f t="shared" si="47"/>
        <v>44</v>
      </c>
      <c r="G95" s="531">
        <f>SUM(G52:G72)</f>
        <v>40</v>
      </c>
      <c r="H95" s="531">
        <f>SUM(H52:H72)</f>
        <v>93</v>
      </c>
      <c r="I95" s="531">
        <f t="shared" si="47"/>
        <v>123</v>
      </c>
      <c r="J95" s="531">
        <f t="shared" si="47"/>
        <v>0</v>
      </c>
      <c r="K95" s="531">
        <f t="shared" si="47"/>
        <v>0</v>
      </c>
      <c r="L95" s="531">
        <f t="shared" si="47"/>
        <v>0</v>
      </c>
      <c r="M95" s="531">
        <f t="shared" si="47"/>
        <v>0</v>
      </c>
      <c r="N95" s="531">
        <f t="shared" si="47"/>
        <v>0</v>
      </c>
      <c r="O95" s="531">
        <f t="shared" si="47"/>
        <v>0</v>
      </c>
      <c r="P95" s="531">
        <f t="shared" si="47"/>
        <v>0</v>
      </c>
      <c r="Q95" s="531">
        <f t="shared" si="47"/>
        <v>0</v>
      </c>
      <c r="R95" s="531">
        <f t="shared" si="47"/>
        <v>0</v>
      </c>
      <c r="S95" s="531">
        <f t="shared" si="47"/>
        <v>256</v>
      </c>
      <c r="T95" s="536">
        <f t="shared" si="47"/>
        <v>112.5</v>
      </c>
      <c r="U95" s="513">
        <f t="shared" si="13"/>
        <v>26.693333333333332</v>
      </c>
      <c r="V95" s="461">
        <f t="shared" si="41"/>
        <v>3003</v>
      </c>
      <c r="W95" s="537">
        <v>2024</v>
      </c>
      <c r="X95" s="105"/>
      <c r="Y95"/>
      <c r="Z95"/>
      <c r="AA95" s="104"/>
      <c r="AB95" s="584" t="s">
        <v>845</v>
      </c>
      <c r="AC95" s="584"/>
      <c r="AD95" s="584"/>
      <c r="AE95" s="584"/>
      <c r="AF95" s="585"/>
      <c r="AG95" s="104"/>
      <c r="AH95" s="104"/>
      <c r="AI95" s="104"/>
      <c r="AJ95" s="104"/>
      <c r="AK95" s="104"/>
      <c r="AL95" s="104"/>
      <c r="AM95" s="104"/>
      <c r="AN95" s="104"/>
      <c r="AO95" s="104"/>
      <c r="AP95" s="104"/>
      <c r="AQ95" s="104"/>
      <c r="AR95" s="104"/>
      <c r="AS95" s="104"/>
      <c r="AT95" s="104"/>
      <c r="AU95" s="104"/>
      <c r="AV95" s="104"/>
      <c r="AW95" s="104"/>
      <c r="AX95" s="104"/>
      <c r="AY95" s="104"/>
      <c r="AZ95" s="104"/>
      <c r="BA95" s="104"/>
      <c r="BB95" s="104"/>
      <c r="BC95" s="104"/>
      <c r="BD95" s="104"/>
      <c r="BE95" s="104"/>
      <c r="BF95" s="104"/>
      <c r="BG95" s="104"/>
      <c r="BH95" s="104"/>
      <c r="BI95" s="104"/>
      <c r="BJ95" s="104"/>
      <c r="BK95" s="104"/>
      <c r="BL95" s="104"/>
      <c r="BM95" s="104"/>
      <c r="BN95" s="104"/>
      <c r="BO95" s="104"/>
      <c r="BP95" s="104"/>
      <c r="BQ95" s="104"/>
      <c r="BR95" s="104"/>
      <c r="BS95" s="104"/>
      <c r="BT95" s="104"/>
      <c r="BU95" s="104"/>
      <c r="BV95" s="104"/>
      <c r="BW95" s="104"/>
      <c r="BX95" s="104"/>
      <c r="BY95" s="104"/>
      <c r="BZ95" s="104"/>
      <c r="CA95" s="104"/>
      <c r="CB95" s="104"/>
      <c r="CC95" s="104"/>
      <c r="CD95" s="104"/>
      <c r="CE95" s="104"/>
      <c r="CF95" s="104"/>
      <c r="CG95" s="104"/>
      <c r="CH95" s="104"/>
    </row>
    <row r="96" spans="1:86" ht="15.75" customHeight="1" x14ac:dyDescent="0.25">
      <c r="A96" s="104"/>
      <c r="B96" s="116">
        <v>2025</v>
      </c>
      <c r="C96" s="252"/>
      <c r="D96" s="309">
        <f>SUM(D74:D88)</f>
        <v>87</v>
      </c>
      <c r="E96" s="547">
        <f>SUM(E74:F88)</f>
        <v>310</v>
      </c>
      <c r="F96" s="531">
        <f>SUM(F74:G88)</f>
        <v>310</v>
      </c>
      <c r="G96" s="531">
        <f t="shared" ref="G96:R96" si="48">SUM(G74:G88)</f>
        <v>0</v>
      </c>
      <c r="H96" s="531">
        <f>SUM(H74:H88)</f>
        <v>0</v>
      </c>
      <c r="I96" s="531">
        <f t="shared" si="48"/>
        <v>30</v>
      </c>
      <c r="J96" s="531">
        <f t="shared" si="48"/>
        <v>0</v>
      </c>
      <c r="K96" s="531">
        <f t="shared" si="48"/>
        <v>0</v>
      </c>
      <c r="L96" s="531">
        <f t="shared" si="48"/>
        <v>0</v>
      </c>
      <c r="M96" s="531">
        <f t="shared" si="48"/>
        <v>0</v>
      </c>
      <c r="N96" s="531">
        <f t="shared" si="48"/>
        <v>0</v>
      </c>
      <c r="O96" s="531">
        <f t="shared" si="48"/>
        <v>0</v>
      </c>
      <c r="P96" s="531">
        <f t="shared" si="48"/>
        <v>0</v>
      </c>
      <c r="Q96" s="531">
        <f t="shared" si="48"/>
        <v>0</v>
      </c>
      <c r="R96" s="531">
        <f t="shared" si="48"/>
        <v>0</v>
      </c>
      <c r="S96" s="295">
        <f t="shared" si="45"/>
        <v>30</v>
      </c>
      <c r="T96" s="536">
        <f>SUM(T36:T52)</f>
        <v>65.5</v>
      </c>
      <c r="U96" s="513">
        <f>IFERROR((V96/T96),0)</f>
        <v>9.007633587786259</v>
      </c>
      <c r="V96" s="461">
        <f t="shared" si="41"/>
        <v>590</v>
      </c>
      <c r="W96" s="537">
        <v>2025</v>
      </c>
      <c r="X96" s="105"/>
      <c r="Y96"/>
      <c r="Z96"/>
      <c r="AA96" s="104"/>
      <c r="AB96" s="498"/>
      <c r="AC96" s="498"/>
      <c r="AD96" s="498"/>
      <c r="AE96" s="498"/>
      <c r="AF96" s="499"/>
      <c r="AG96" s="104"/>
      <c r="AH96" s="104"/>
      <c r="AI96" s="104"/>
      <c r="AJ96" s="104"/>
      <c r="AK96" s="104"/>
      <c r="AL96" s="104"/>
      <c r="AM96" s="104"/>
      <c r="AN96" s="104"/>
      <c r="AO96" s="104"/>
      <c r="AP96" s="104"/>
      <c r="AQ96" s="104"/>
      <c r="AR96" s="104"/>
      <c r="AS96" s="104"/>
      <c r="AT96" s="104"/>
      <c r="AU96" s="104"/>
      <c r="AV96" s="104"/>
      <c r="AW96" s="104"/>
      <c r="AX96" s="104"/>
      <c r="AY96" s="104"/>
      <c r="AZ96" s="104"/>
      <c r="BA96" s="104"/>
      <c r="BB96" s="104"/>
      <c r="BC96" s="104"/>
      <c r="BD96" s="104"/>
      <c r="BE96" s="104"/>
      <c r="BF96" s="104"/>
      <c r="BG96" s="104"/>
      <c r="BH96" s="104"/>
      <c r="BI96" s="104"/>
      <c r="BJ96" s="104"/>
      <c r="BK96" s="104"/>
      <c r="BL96" s="104"/>
      <c r="BM96" s="104"/>
      <c r="BN96" s="104"/>
      <c r="BO96" s="104"/>
      <c r="BP96" s="104"/>
      <c r="BQ96" s="104"/>
      <c r="BR96" s="104"/>
      <c r="BS96" s="104"/>
      <c r="BT96" s="104"/>
      <c r="BU96" s="104"/>
      <c r="BV96" s="104"/>
      <c r="BW96" s="104"/>
      <c r="BX96" s="104"/>
      <c r="BY96" s="104"/>
      <c r="BZ96" s="104"/>
      <c r="CA96" s="104"/>
      <c r="CB96" s="104"/>
      <c r="CC96" s="104"/>
      <c r="CD96" s="104"/>
      <c r="CE96" s="104"/>
      <c r="CF96" s="104"/>
      <c r="CG96" s="104"/>
      <c r="CH96" s="104"/>
    </row>
    <row r="97" spans="1:86" ht="15.75" customHeight="1" x14ac:dyDescent="0.25">
      <c r="A97" s="104"/>
      <c r="B97" s="202" t="s">
        <v>78</v>
      </c>
      <c r="C97" s="278"/>
      <c r="D97" s="203">
        <v>395.91666666666669</v>
      </c>
      <c r="E97" s="548">
        <f>SUM(E90:E96)</f>
        <v>10501</v>
      </c>
      <c r="F97" s="534">
        <f>SUM(F90:F96)</f>
        <v>354</v>
      </c>
      <c r="G97" s="534">
        <f t="shared" ref="G97:R97" si="49">SUM(G90:G96)</f>
        <v>366</v>
      </c>
      <c r="H97" s="534">
        <f t="shared" si="49"/>
        <v>423</v>
      </c>
      <c r="I97" s="534">
        <f t="shared" si="49"/>
        <v>402</v>
      </c>
      <c r="J97" s="534">
        <f t="shared" si="49"/>
        <v>0</v>
      </c>
      <c r="K97" s="534">
        <f t="shared" si="49"/>
        <v>0</v>
      </c>
      <c r="L97" s="534">
        <f t="shared" si="49"/>
        <v>0</v>
      </c>
      <c r="M97" s="534">
        <f t="shared" si="49"/>
        <v>0</v>
      </c>
      <c r="N97" s="534">
        <f t="shared" si="49"/>
        <v>0</v>
      </c>
      <c r="O97" s="534">
        <f t="shared" si="49"/>
        <v>0</v>
      </c>
      <c r="P97" s="534">
        <f t="shared" si="49"/>
        <v>0</v>
      </c>
      <c r="Q97" s="534">
        <f t="shared" si="49"/>
        <v>0</v>
      </c>
      <c r="R97" s="534">
        <f t="shared" si="49"/>
        <v>0</v>
      </c>
      <c r="S97" s="296">
        <f>SUM(G97:R97)</f>
        <v>1191</v>
      </c>
      <c r="T97" s="512">
        <f t="shared" si="12"/>
        <v>99.25</v>
      </c>
      <c r="U97" s="513">
        <f t="shared" si="13"/>
        <v>97.370277078085635</v>
      </c>
      <c r="V97" s="461">
        <f t="shared" si="41"/>
        <v>9664</v>
      </c>
      <c r="W97" s="317" t="s">
        <v>78</v>
      </c>
      <c r="X97" s="105"/>
      <c r="Y97"/>
      <c r="Z97"/>
      <c r="AA97" s="104"/>
      <c r="AB97" s="266" t="s">
        <v>395</v>
      </c>
      <c r="AC97" s="267" t="s">
        <v>396</v>
      </c>
      <c r="AD97" s="267" t="s">
        <v>397</v>
      </c>
      <c r="AE97" s="267" t="s">
        <v>398</v>
      </c>
      <c r="AF97" s="267" t="s">
        <v>399</v>
      </c>
      <c r="AG97" s="104"/>
      <c r="AH97" s="104"/>
      <c r="AI97" s="104"/>
      <c r="AJ97" s="104"/>
      <c r="AK97" s="104"/>
      <c r="AL97" s="104"/>
      <c r="AM97" s="104"/>
      <c r="AN97" s="104"/>
      <c r="AO97" s="104"/>
      <c r="AP97" s="104"/>
      <c r="AQ97" s="104"/>
      <c r="AR97" s="104"/>
      <c r="AS97" s="104"/>
      <c r="AT97" s="104"/>
      <c r="AU97" s="104"/>
      <c r="AV97" s="104"/>
      <c r="AW97" s="104"/>
      <c r="AX97" s="104"/>
      <c r="AY97" s="104"/>
      <c r="AZ97" s="104"/>
      <c r="BA97" s="104"/>
      <c r="BB97" s="104"/>
      <c r="BC97" s="104"/>
      <c r="BD97" s="104"/>
      <c r="BE97" s="104"/>
      <c r="BF97" s="104"/>
      <c r="BG97" s="104"/>
      <c r="BH97" s="104"/>
      <c r="BI97" s="104"/>
      <c r="BJ97" s="104"/>
      <c r="BK97" s="104"/>
      <c r="BL97" s="104"/>
      <c r="BM97" s="104"/>
      <c r="BN97" s="104"/>
      <c r="BO97" s="104"/>
      <c r="BP97" s="104"/>
      <c r="BQ97" s="104"/>
      <c r="BR97" s="104"/>
      <c r="BS97" s="104"/>
      <c r="BT97" s="104"/>
      <c r="BU97" s="104"/>
      <c r="BV97" s="104"/>
      <c r="BW97" s="104"/>
      <c r="BX97" s="104"/>
      <c r="BY97" s="104"/>
      <c r="BZ97" s="104"/>
      <c r="CA97" s="104"/>
      <c r="CB97" s="104"/>
      <c r="CC97" s="104"/>
      <c r="CD97" s="104"/>
      <c r="CE97" s="104"/>
      <c r="CF97" s="104"/>
      <c r="CG97" s="104"/>
      <c r="CH97" s="104"/>
    </row>
    <row r="98" spans="1:86" ht="15.75" customHeight="1" x14ac:dyDescent="0.2">
      <c r="A98" s="538"/>
      <c r="B98" s="119"/>
      <c r="C98" s="128"/>
      <c r="D98" s="538"/>
      <c r="E98" s="503" t="s">
        <v>846</v>
      </c>
      <c r="F98" s="119"/>
      <c r="G98" s="119"/>
      <c r="H98" s="119"/>
      <c r="I98" s="119"/>
      <c r="J98" s="119"/>
      <c r="K98" s="119"/>
      <c r="L98" s="119"/>
      <c r="M98" s="119"/>
      <c r="N98" s="119"/>
      <c r="O98" s="119"/>
      <c r="P98" s="119"/>
      <c r="Q98" s="119"/>
      <c r="R98" s="119"/>
      <c r="S98" s="119"/>
      <c r="T98" s="225"/>
      <c r="U98" s="226"/>
      <c r="V98" s="227"/>
      <c r="W98" s="228"/>
      <c r="X98" s="105"/>
      <c r="Y98"/>
      <c r="Z98"/>
      <c r="AA98" s="104"/>
      <c r="AB98" s="239"/>
      <c r="AC98" s="291"/>
      <c r="AD98" s="280"/>
      <c r="AE98" s="280"/>
      <c r="AF98" s="239"/>
      <c r="AG98" s="104"/>
      <c r="AH98" s="104"/>
      <c r="AI98" s="104"/>
      <c r="AJ98" s="104"/>
      <c r="AK98" s="104"/>
      <c r="AL98" s="104"/>
      <c r="AM98" s="104"/>
      <c r="AN98" s="104"/>
      <c r="AO98" s="104"/>
      <c r="AP98" s="104"/>
      <c r="AQ98" s="104"/>
      <c r="AR98" s="104"/>
      <c r="AS98" s="104"/>
      <c r="AT98" s="104"/>
      <c r="AU98" s="104"/>
      <c r="AV98" s="104"/>
      <c r="AW98" s="104"/>
      <c r="AX98" s="104"/>
      <c r="AY98" s="104"/>
      <c r="AZ98" s="104"/>
      <c r="BA98" s="104"/>
      <c r="BB98" s="104"/>
      <c r="BC98" s="104"/>
      <c r="BD98" s="104"/>
      <c r="BE98" s="104"/>
      <c r="BF98" s="104"/>
      <c r="BG98" s="104"/>
      <c r="BH98" s="104"/>
      <c r="BI98" s="104"/>
      <c r="BJ98" s="104"/>
      <c r="BK98" s="104"/>
      <c r="BL98" s="104"/>
      <c r="BM98" s="104"/>
      <c r="BN98" s="104"/>
      <c r="BO98" s="104"/>
      <c r="BP98" s="104"/>
      <c r="BQ98" s="104"/>
      <c r="BR98" s="104"/>
      <c r="BS98" s="104"/>
      <c r="BT98" s="104"/>
      <c r="BU98" s="104"/>
      <c r="BV98" s="104"/>
      <c r="BW98" s="104"/>
      <c r="BX98" s="104"/>
      <c r="BY98" s="104"/>
      <c r="BZ98" s="104"/>
      <c r="CA98" s="104"/>
      <c r="CB98" s="104"/>
      <c r="CC98" s="104"/>
      <c r="CD98" s="104"/>
      <c r="CE98" s="104"/>
      <c r="CF98" s="104"/>
      <c r="CG98" s="104"/>
      <c r="CH98" s="104"/>
    </row>
    <row r="99" spans="1:86" ht="15.75" customHeight="1" x14ac:dyDescent="0.2">
      <c r="A99" s="255"/>
      <c r="B99" s="255"/>
      <c r="C99" s="255" t="s">
        <v>724</v>
      </c>
      <c r="D99" s="270">
        <f>2025</f>
        <v>2025</v>
      </c>
      <c r="E99" s="504">
        <f>'2024'!E95</f>
        <v>10574</v>
      </c>
      <c r="F99" s="297">
        <f>'2025'!$F$98</f>
        <v>4261</v>
      </c>
      <c r="G99" s="297">
        <f>'2024'!G95</f>
        <v>294</v>
      </c>
      <c r="H99" s="297">
        <f>'2024'!H95</f>
        <v>512</v>
      </c>
      <c r="I99" s="297">
        <f>'2024'!I95</f>
        <v>390</v>
      </c>
      <c r="J99" s="297">
        <f>'2024'!J95</f>
        <v>363</v>
      </c>
      <c r="K99" s="297">
        <f>'2024'!K95</f>
        <v>473</v>
      </c>
      <c r="L99" s="297">
        <f>'2024'!L95</f>
        <v>282</v>
      </c>
      <c r="M99" s="297">
        <f>'2024'!M95</f>
        <v>320</v>
      </c>
      <c r="N99" s="297">
        <f>'2024'!N95</f>
        <v>458</v>
      </c>
      <c r="O99" s="297">
        <f>'2024'!O95</f>
        <v>318</v>
      </c>
      <c r="P99" s="297">
        <f>'2024'!P95</f>
        <v>423</v>
      </c>
      <c r="Q99" s="297">
        <f>'2024'!Q95</f>
        <v>624</v>
      </c>
      <c r="R99" s="297">
        <f>'2024'!R95</f>
        <v>438</v>
      </c>
      <c r="S99" s="297">
        <f>'2024'!S95</f>
        <v>4895</v>
      </c>
      <c r="T99" s="297">
        <f>'2024'!T95</f>
        <v>407.91666666666669</v>
      </c>
      <c r="U99" s="297">
        <f>'2024'!U95</f>
        <v>24.367722165474973</v>
      </c>
      <c r="V99" s="297">
        <f>'2024'!V95</f>
        <v>9940</v>
      </c>
      <c r="W99" s="297" t="str">
        <f>'2023'!W97</f>
        <v>TOTAL</v>
      </c>
      <c r="X99" s="457" t="s">
        <v>725</v>
      </c>
      <c r="Y99"/>
      <c r="Z99"/>
      <c r="AA99" s="104"/>
      <c r="AB99" s="239"/>
      <c r="AC99" s="291"/>
      <c r="AD99" s="280"/>
      <c r="AE99" s="280"/>
      <c r="AF99" s="239"/>
      <c r="AG99" s="104"/>
      <c r="AH99" s="104"/>
      <c r="AI99" s="104"/>
      <c r="AJ99" s="104"/>
      <c r="AK99" s="104"/>
      <c r="AL99" s="104"/>
      <c r="AM99" s="104"/>
      <c r="AN99" s="104"/>
      <c r="AO99" s="104"/>
      <c r="AP99" s="104"/>
      <c r="AQ99" s="104"/>
      <c r="AR99" s="104"/>
      <c r="AS99" s="104"/>
      <c r="AT99" s="104"/>
      <c r="AU99" s="104"/>
      <c r="AV99" s="104"/>
      <c r="AW99" s="104"/>
      <c r="AX99" s="104"/>
      <c r="AY99" s="104"/>
      <c r="AZ99" s="104"/>
      <c r="BA99" s="104"/>
      <c r="BB99" s="104"/>
      <c r="BC99" s="104"/>
      <c r="BD99" s="104"/>
      <c r="BE99" s="104"/>
      <c r="BF99" s="104"/>
      <c r="BG99" s="104"/>
      <c r="BH99" s="104"/>
      <c r="BI99" s="104"/>
      <c r="BJ99" s="104"/>
      <c r="BK99" s="104"/>
      <c r="BL99" s="104"/>
      <c r="BM99" s="104"/>
      <c r="BN99" s="104"/>
      <c r="BO99" s="104"/>
      <c r="BP99" s="104"/>
      <c r="BQ99" s="104"/>
      <c r="BR99" s="104"/>
      <c r="BS99" s="104"/>
      <c r="BT99" s="104"/>
      <c r="BU99" s="104"/>
      <c r="BV99" s="104"/>
      <c r="BW99" s="104"/>
      <c r="BX99" s="104"/>
      <c r="BY99" s="104"/>
      <c r="BZ99" s="104"/>
      <c r="CA99" s="104"/>
      <c r="CB99" s="104"/>
      <c r="CC99" s="104"/>
      <c r="CD99" s="104"/>
      <c r="CE99" s="104"/>
      <c r="CF99" s="104"/>
      <c r="CG99" s="104"/>
      <c r="CH99" s="104"/>
    </row>
    <row r="100" spans="1:86" ht="15.75" customHeight="1" x14ac:dyDescent="0.2">
      <c r="A100" s="255"/>
      <c r="B100" s="255"/>
      <c r="C100" s="255" t="s">
        <v>727</v>
      </c>
      <c r="D100" s="270"/>
      <c r="E100" s="504">
        <f>E97-E99</f>
        <v>-73</v>
      </c>
      <c r="F100" s="297">
        <f t="shared" ref="F100:H100" si="50">F97-F99</f>
        <v>-3907</v>
      </c>
      <c r="G100" s="506">
        <f t="shared" si="50"/>
        <v>72</v>
      </c>
      <c r="H100" s="506">
        <f t="shared" si="50"/>
        <v>-89</v>
      </c>
      <c r="I100" s="506">
        <f>I97-I99</f>
        <v>12</v>
      </c>
      <c r="J100" s="506">
        <f t="shared" ref="J100:S100" si="51">J97-J99</f>
        <v>-363</v>
      </c>
      <c r="K100" s="506">
        <f t="shared" si="51"/>
        <v>-473</v>
      </c>
      <c r="L100" s="506">
        <f t="shared" si="51"/>
        <v>-282</v>
      </c>
      <c r="M100" s="506">
        <f t="shared" si="51"/>
        <v>-320</v>
      </c>
      <c r="N100" s="506">
        <f t="shared" si="51"/>
        <v>-458</v>
      </c>
      <c r="O100" s="506">
        <f t="shared" si="51"/>
        <v>-318</v>
      </c>
      <c r="P100" s="506">
        <f t="shared" si="51"/>
        <v>-423</v>
      </c>
      <c r="Q100" s="506">
        <f t="shared" si="51"/>
        <v>-624</v>
      </c>
      <c r="R100" s="506">
        <f t="shared" si="51"/>
        <v>-438</v>
      </c>
      <c r="S100" s="297">
        <f t="shared" si="51"/>
        <v>-3704</v>
      </c>
      <c r="T100" s="297">
        <f t="shared" ref="T100:V100" si="52">T99-T97</f>
        <v>308.66666666666669</v>
      </c>
      <c r="U100" s="297">
        <f>IFERROR((V100/T100),0)</f>
        <v>0.89416846652267812</v>
      </c>
      <c r="V100" s="297">
        <f t="shared" si="52"/>
        <v>276</v>
      </c>
      <c r="W100" s="299"/>
      <c r="X100" s="457"/>
      <c r="Y100"/>
      <c r="Z100"/>
      <c r="AA100" s="104"/>
      <c r="AB100" s="239"/>
      <c r="AC100" s="291"/>
      <c r="AD100" s="280"/>
      <c r="AE100" s="280"/>
      <c r="AF100" s="239"/>
      <c r="AG100" s="104"/>
      <c r="AH100" s="104"/>
      <c r="AI100" s="104"/>
      <c r="AJ100" s="104"/>
      <c r="AK100" s="104"/>
      <c r="AL100" s="104"/>
      <c r="AM100" s="104"/>
      <c r="AN100" s="104"/>
      <c r="AO100" s="104"/>
      <c r="AP100" s="104"/>
      <c r="AQ100" s="104"/>
      <c r="AR100" s="104"/>
      <c r="AS100" s="104"/>
      <c r="AT100" s="104"/>
      <c r="AU100" s="104"/>
      <c r="AV100" s="104"/>
      <c r="AW100" s="104"/>
      <c r="AX100" s="104"/>
      <c r="AY100" s="104"/>
      <c r="AZ100" s="104"/>
      <c r="BA100" s="104"/>
      <c r="BB100" s="104"/>
      <c r="BC100" s="104"/>
      <c r="BD100" s="104"/>
      <c r="BE100" s="104"/>
      <c r="BF100" s="104"/>
      <c r="BG100" s="104"/>
      <c r="BH100" s="104"/>
      <c r="BI100" s="104"/>
      <c r="BJ100" s="104"/>
      <c r="BK100" s="104"/>
      <c r="BL100" s="104"/>
      <c r="BM100" s="104"/>
      <c r="BN100" s="104"/>
      <c r="BO100" s="104"/>
      <c r="BP100" s="104"/>
      <c r="BQ100" s="104"/>
      <c r="BR100" s="104"/>
      <c r="BS100" s="104"/>
      <c r="BT100" s="104"/>
      <c r="BU100" s="104"/>
      <c r="BV100" s="104"/>
      <c r="BW100" s="104"/>
      <c r="BX100" s="104"/>
      <c r="BY100" s="104"/>
      <c r="BZ100" s="104"/>
      <c r="CA100" s="104"/>
      <c r="CB100" s="104"/>
      <c r="CC100" s="104"/>
      <c r="CD100" s="104"/>
      <c r="CE100" s="104"/>
      <c r="CF100" s="104"/>
      <c r="CG100" s="104"/>
      <c r="CH100" s="104"/>
    </row>
    <row r="101" spans="1:86" ht="15.75" customHeight="1" x14ac:dyDescent="0.2">
      <c r="A101" s="104"/>
      <c r="B101" s="229"/>
      <c r="C101" s="135"/>
      <c r="D101" s="230"/>
      <c r="E101" s="15"/>
      <c r="F101" s="9"/>
      <c r="G101" s="9"/>
      <c r="H101" s="9"/>
      <c r="I101" s="9"/>
      <c r="J101" s="9"/>
      <c r="K101" s="9"/>
      <c r="L101" s="9"/>
      <c r="M101" s="9"/>
      <c r="N101" s="9"/>
      <c r="O101" s="9"/>
      <c r="P101" s="9"/>
      <c r="Q101" s="9"/>
      <c r="R101" s="9"/>
      <c r="S101" s="231"/>
      <c r="T101" s="232"/>
      <c r="U101" s="233"/>
      <c r="V101" s="234"/>
      <c r="W101" s="213"/>
      <c r="X101" s="104"/>
      <c r="Y101"/>
      <c r="Z101"/>
      <c r="AA101" s="104"/>
      <c r="AB101" s="239"/>
      <c r="AC101" s="291"/>
      <c r="AD101" s="280"/>
      <c r="AE101" s="280"/>
      <c r="AF101" s="239"/>
      <c r="AG101" s="104"/>
      <c r="AH101" s="104"/>
      <c r="AI101" s="104"/>
      <c r="AJ101" s="104"/>
      <c r="AK101" s="104"/>
      <c r="AL101" s="104"/>
      <c r="AM101" s="104"/>
      <c r="AN101" s="104"/>
      <c r="AO101" s="104"/>
      <c r="AP101" s="104"/>
      <c r="AQ101" s="104"/>
      <c r="AR101" s="104"/>
      <c r="AS101" s="104"/>
      <c r="AT101" s="104"/>
      <c r="AU101" s="104"/>
      <c r="AV101" s="104"/>
      <c r="AW101" s="104"/>
      <c r="AX101" s="104"/>
      <c r="AY101" s="104"/>
      <c r="AZ101" s="104"/>
      <c r="BA101" s="104"/>
      <c r="BB101" s="104"/>
      <c r="BC101" s="104"/>
      <c r="BD101" s="104"/>
      <c r="BE101" s="104"/>
      <c r="BF101" s="104"/>
      <c r="BG101" s="104"/>
      <c r="BH101" s="104"/>
      <c r="BI101" s="104"/>
      <c r="BJ101" s="104"/>
      <c r="BK101" s="104"/>
      <c r="BL101" s="104"/>
      <c r="BM101" s="104"/>
      <c r="BN101" s="104"/>
      <c r="BO101" s="104"/>
      <c r="BP101" s="104"/>
      <c r="BQ101" s="104"/>
      <c r="BR101" s="104"/>
      <c r="BS101" s="104"/>
      <c r="BT101" s="104"/>
      <c r="BU101" s="104"/>
      <c r="BV101" s="104"/>
      <c r="BW101" s="104"/>
      <c r="BX101" s="104"/>
      <c r="BY101" s="104"/>
      <c r="BZ101" s="104"/>
      <c r="CA101" s="104"/>
      <c r="CB101" s="104"/>
      <c r="CC101" s="104"/>
      <c r="CD101" s="104"/>
      <c r="CE101" s="104"/>
      <c r="CF101" s="104"/>
      <c r="CG101" s="104"/>
      <c r="CH101" s="104"/>
    </row>
    <row r="102" spans="1:86" ht="15.75" customHeight="1" x14ac:dyDescent="0.2">
      <c r="A102" s="104"/>
      <c r="B102" s="116"/>
      <c r="C102" s="252"/>
      <c r="D102" s="477"/>
      <c r="E102" s="318"/>
      <c r="F102" s="241"/>
      <c r="G102" s="241"/>
      <c r="H102" s="241"/>
      <c r="I102" s="241"/>
      <c r="J102" s="241"/>
      <c r="K102" s="241"/>
      <c r="L102" s="241"/>
      <c r="M102" s="241"/>
      <c r="N102" s="241"/>
      <c r="O102" s="241"/>
      <c r="P102" s="241"/>
      <c r="Q102" s="241"/>
      <c r="R102" s="241"/>
      <c r="S102" s="256"/>
      <c r="T102" s="512"/>
      <c r="U102" s="513"/>
      <c r="V102" s="461"/>
      <c r="W102" s="213"/>
      <c r="X102" s="104"/>
      <c r="Y102"/>
      <c r="Z102"/>
      <c r="AA102" s="104"/>
      <c r="AB102" s="239"/>
      <c r="AC102" s="291"/>
      <c r="AD102" s="280"/>
      <c r="AE102" s="280"/>
      <c r="AF102" s="239"/>
      <c r="AG102" s="104"/>
      <c r="AH102" s="104"/>
      <c r="AI102" s="104"/>
      <c r="AJ102" s="104"/>
      <c r="AK102" s="104"/>
      <c r="AL102" s="104"/>
      <c r="AM102" s="104"/>
      <c r="AN102" s="104"/>
      <c r="AO102" s="104"/>
      <c r="AP102" s="104"/>
      <c r="AQ102" s="104"/>
      <c r="AR102" s="104"/>
      <c r="AS102" s="104"/>
      <c r="AT102" s="104"/>
      <c r="AU102" s="104"/>
      <c r="AV102" s="104"/>
      <c r="AW102" s="104"/>
      <c r="AX102" s="104"/>
      <c r="AY102" s="104"/>
      <c r="AZ102" s="104"/>
      <c r="BA102" s="104"/>
      <c r="BB102" s="104"/>
      <c r="BC102" s="104"/>
      <c r="BD102" s="104"/>
      <c r="BE102" s="104"/>
      <c r="BF102" s="104"/>
      <c r="BG102" s="104"/>
      <c r="BH102" s="104"/>
      <c r="BI102" s="104"/>
      <c r="BJ102" s="104"/>
      <c r="BK102" s="104"/>
      <c r="BL102" s="104"/>
      <c r="BM102" s="104"/>
      <c r="BN102" s="104"/>
      <c r="BO102" s="104"/>
      <c r="BP102" s="104"/>
      <c r="BQ102" s="104"/>
      <c r="BR102" s="104"/>
      <c r="BS102" s="104"/>
      <c r="BT102" s="104"/>
      <c r="BU102" s="104"/>
      <c r="BV102" s="104"/>
      <c r="BW102" s="104"/>
      <c r="BX102" s="104"/>
      <c r="BY102" s="104"/>
      <c r="BZ102" s="104"/>
      <c r="CA102" s="104"/>
      <c r="CB102" s="104"/>
      <c r="CC102" s="104"/>
      <c r="CD102" s="104"/>
      <c r="CE102" s="104"/>
      <c r="CF102" s="104"/>
      <c r="CG102" s="104"/>
      <c r="CH102" s="104"/>
    </row>
    <row r="103" spans="1:86" ht="15.75" customHeight="1" x14ac:dyDescent="0.2">
      <c r="A103" s="104"/>
      <c r="B103" s="116"/>
      <c r="C103" s="252"/>
      <c r="D103" s="477"/>
      <c r="E103" s="318"/>
      <c r="F103" s="241"/>
      <c r="G103" s="241"/>
      <c r="H103" s="241"/>
      <c r="I103" s="241"/>
      <c r="J103" s="241"/>
      <c r="K103" s="241"/>
      <c r="L103" s="241"/>
      <c r="M103" s="241"/>
      <c r="N103" s="241"/>
      <c r="O103" s="241"/>
      <c r="P103" s="241"/>
      <c r="Q103" s="241"/>
      <c r="R103" s="241"/>
      <c r="S103" s="256"/>
      <c r="T103" s="512"/>
      <c r="U103" s="513"/>
      <c r="V103" s="461"/>
      <c r="W103" s="213"/>
      <c r="X103" s="104"/>
      <c r="Y103"/>
      <c r="Z103"/>
      <c r="AA103" s="104"/>
      <c r="AB103" s="239"/>
      <c r="AC103" s="291"/>
      <c r="AD103" s="280"/>
      <c r="AE103" s="280"/>
      <c r="AF103" s="239"/>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04"/>
      <c r="BG103" s="104"/>
      <c r="BH103" s="104"/>
      <c r="BI103" s="104"/>
      <c r="BJ103" s="104"/>
      <c r="BK103" s="104"/>
      <c r="BL103" s="104"/>
      <c r="BM103" s="104"/>
      <c r="BN103" s="104"/>
      <c r="BO103" s="104"/>
      <c r="BP103" s="104"/>
      <c r="BQ103" s="104"/>
      <c r="BR103" s="104"/>
      <c r="BS103" s="104"/>
      <c r="BT103" s="104"/>
      <c r="BU103" s="104"/>
      <c r="BV103" s="104"/>
      <c r="BW103" s="104"/>
      <c r="BX103" s="104"/>
      <c r="BY103" s="104"/>
      <c r="BZ103" s="104"/>
      <c r="CA103" s="104"/>
      <c r="CB103" s="104"/>
      <c r="CC103" s="104"/>
      <c r="CD103" s="104"/>
      <c r="CE103" s="104"/>
      <c r="CF103" s="104"/>
      <c r="CG103" s="104"/>
      <c r="CH103" s="104"/>
    </row>
    <row r="104" spans="1:86" ht="15.75" customHeight="1" x14ac:dyDescent="0.2">
      <c r="A104" s="104"/>
      <c r="B104" s="116"/>
      <c r="C104" s="252"/>
      <c r="D104" s="477"/>
      <c r="E104" s="318"/>
      <c r="F104" s="241"/>
      <c r="G104" s="241"/>
      <c r="H104" s="241"/>
      <c r="I104" s="241"/>
      <c r="J104" s="241"/>
      <c r="K104" s="241"/>
      <c r="L104" s="241"/>
      <c r="M104" s="241"/>
      <c r="N104" s="241"/>
      <c r="O104" s="241"/>
      <c r="P104" s="241"/>
      <c r="Q104" s="241"/>
      <c r="R104" s="241"/>
      <c r="S104" s="256"/>
      <c r="T104" s="512"/>
      <c r="U104" s="513"/>
      <c r="V104" s="461"/>
      <c r="W104" s="213"/>
      <c r="X104" s="104"/>
      <c r="Y104"/>
      <c r="Z104"/>
      <c r="AA104" s="104"/>
      <c r="AB104" s="239"/>
      <c r="AC104" s="291"/>
      <c r="AD104" s="280"/>
      <c r="AE104" s="280"/>
      <c r="AF104" s="239"/>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04"/>
      <c r="BG104" s="104"/>
      <c r="BH104" s="104"/>
      <c r="BI104" s="104"/>
      <c r="BJ104" s="104"/>
      <c r="BK104" s="104"/>
      <c r="BL104" s="104"/>
      <c r="BM104" s="104"/>
      <c r="BN104" s="104"/>
      <c r="BO104" s="104"/>
      <c r="BP104" s="104"/>
      <c r="BQ104" s="104"/>
      <c r="BR104" s="104"/>
      <c r="BS104" s="104"/>
      <c r="BT104" s="104"/>
      <c r="BU104" s="104"/>
      <c r="BV104" s="104"/>
      <c r="BW104" s="104"/>
      <c r="BX104" s="104"/>
      <c r="BY104" s="104"/>
      <c r="BZ104" s="104"/>
      <c r="CA104" s="104"/>
      <c r="CB104" s="104"/>
      <c r="CC104" s="104"/>
      <c r="CD104" s="104"/>
      <c r="CE104" s="104"/>
      <c r="CF104" s="104"/>
      <c r="CG104" s="104"/>
      <c r="CH104" s="104"/>
    </row>
    <row r="105" spans="1:86" ht="15.75" customHeight="1" x14ac:dyDescent="0.2">
      <c r="A105" s="104"/>
      <c r="B105" s="105"/>
      <c r="C105" s="104"/>
      <c r="D105" s="105"/>
      <c r="E105" s="197"/>
      <c r="F105" s="105"/>
      <c r="G105" s="187"/>
      <c r="H105" s="187"/>
      <c r="I105" s="187"/>
      <c r="J105" s="187"/>
      <c r="K105" s="187"/>
      <c r="L105" s="105"/>
      <c r="M105" s="105"/>
      <c r="N105" s="105"/>
      <c r="O105" s="105"/>
      <c r="P105" s="105"/>
      <c r="Q105" s="105"/>
      <c r="R105" s="105"/>
      <c r="S105" s="105"/>
      <c r="T105" s="105"/>
      <c r="U105" s="105"/>
      <c r="V105" s="105"/>
      <c r="W105" s="104"/>
      <c r="X105" s="104"/>
      <c r="Y105"/>
      <c r="Z105"/>
      <c r="AA105" s="104"/>
      <c r="AB105" s="239"/>
      <c r="AC105" s="291"/>
      <c r="AD105" s="280"/>
      <c r="AE105" s="280"/>
      <c r="AF105" s="239"/>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04"/>
      <c r="BG105" s="104"/>
      <c r="BH105" s="104"/>
      <c r="BI105" s="104"/>
      <c r="BJ105" s="104"/>
      <c r="BK105" s="104"/>
      <c r="BL105" s="104"/>
      <c r="BM105" s="104"/>
      <c r="BN105" s="104"/>
      <c r="BO105" s="104"/>
      <c r="BP105" s="104"/>
      <c r="BQ105" s="104"/>
      <c r="BR105" s="104"/>
      <c r="BS105" s="104"/>
      <c r="BT105" s="104"/>
      <c r="BU105" s="104"/>
      <c r="BV105" s="104"/>
      <c r="BW105" s="104"/>
      <c r="BX105" s="104"/>
      <c r="BY105" s="104"/>
      <c r="BZ105" s="104"/>
      <c r="CA105" s="104"/>
      <c r="CB105" s="104"/>
      <c r="CC105" s="104"/>
      <c r="CD105" s="104"/>
      <c r="CE105" s="104"/>
      <c r="CF105" s="104"/>
      <c r="CG105" s="104"/>
      <c r="CH105" s="104"/>
    </row>
    <row r="106" spans="1:86" ht="15.75" customHeight="1" x14ac:dyDescent="0.2">
      <c r="A106" s="104"/>
      <c r="B106"/>
      <c r="C106" s="104"/>
      <c r="D106" s="105"/>
      <c r="E106" s="197"/>
      <c r="F106" s="105"/>
      <c r="G106" s="105"/>
      <c r="H106" s="105"/>
      <c r="I106" s="105"/>
      <c r="J106" s="105"/>
      <c r="K106" s="105"/>
      <c r="L106" s="105"/>
      <c r="M106" s="105"/>
      <c r="N106" s="105"/>
      <c r="O106" s="105"/>
      <c r="P106" s="105"/>
      <c r="Q106" s="105"/>
      <c r="R106" s="105"/>
      <c r="S106" s="105"/>
      <c r="T106" s="105"/>
      <c r="U106" s="105"/>
      <c r="V106" s="105"/>
      <c r="W106" s="104"/>
      <c r="X106" s="104"/>
      <c r="Y106" s="105"/>
      <c r="Z106" s="105"/>
      <c r="AA106" s="104"/>
      <c r="AB106" s="239"/>
      <c r="AC106" s="291"/>
      <c r="AD106" s="280"/>
      <c r="AE106" s="280"/>
      <c r="AF106" s="239"/>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04"/>
      <c r="BG106" s="104"/>
      <c r="BH106" s="104"/>
      <c r="BI106" s="104"/>
      <c r="BJ106" s="104"/>
      <c r="BK106" s="104"/>
      <c r="BL106" s="104"/>
      <c r="BM106" s="104"/>
      <c r="BN106" s="104"/>
      <c r="BO106" s="104"/>
      <c r="BP106" s="104"/>
      <c r="BQ106" s="104"/>
      <c r="BR106" s="104"/>
      <c r="BS106" s="104"/>
      <c r="BT106" s="104"/>
      <c r="BU106" s="104"/>
      <c r="BV106" s="104"/>
      <c r="BW106" s="104"/>
      <c r="BX106" s="104"/>
      <c r="BY106" s="104"/>
      <c r="BZ106" s="104"/>
      <c r="CA106" s="104"/>
      <c r="CB106" s="104"/>
      <c r="CC106" s="104"/>
      <c r="CD106" s="104"/>
      <c r="CE106" s="104"/>
      <c r="CF106" s="104"/>
      <c r="CG106" s="104"/>
      <c r="CH106" s="104"/>
    </row>
    <row r="107" spans="1:86" ht="15.75" x14ac:dyDescent="0.25">
      <c r="A107" s="104"/>
      <c r="B107" s="300" t="s">
        <v>735</v>
      </c>
      <c r="C107" s="255"/>
      <c r="D107" s="255"/>
      <c r="E107" s="197"/>
      <c r="F107" s="255"/>
      <c r="G107" s="255"/>
      <c r="H107" s="255"/>
      <c r="I107" s="255"/>
      <c r="J107" s="255"/>
      <c r="K107" s="255"/>
      <c r="L107" s="255"/>
      <c r="M107" s="255"/>
      <c r="N107" s="255"/>
      <c r="O107" s="255"/>
      <c r="P107" s="255"/>
      <c r="Q107" s="255"/>
      <c r="R107" s="255"/>
      <c r="S107" s="105"/>
      <c r="T107" s="105"/>
      <c r="U107" s="105"/>
      <c r="V107" s="105"/>
      <c r="W107" s="213"/>
      <c r="X107" s="104"/>
      <c r="Y107" s="105"/>
      <c r="Z107" s="105"/>
      <c r="AA107" s="104"/>
      <c r="AB107" s="239"/>
      <c r="AC107" s="291"/>
      <c r="AD107" s="280"/>
      <c r="AE107" s="280"/>
      <c r="AF107" s="239"/>
      <c r="AG107" s="104"/>
      <c r="AH107" s="104"/>
      <c r="AI107" s="104"/>
      <c r="AJ107" s="104"/>
      <c r="AK107" s="104"/>
      <c r="AL107" s="104"/>
      <c r="AM107" s="104"/>
      <c r="AN107" s="104"/>
      <c r="AO107" s="104"/>
      <c r="AP107" s="104"/>
      <c r="AQ107" s="104"/>
      <c r="AR107" s="104"/>
      <c r="AS107" s="104"/>
      <c r="AT107" s="104"/>
      <c r="AU107" s="104"/>
      <c r="AV107" s="104"/>
      <c r="AW107" s="104"/>
      <c r="AX107" s="104"/>
      <c r="AY107" s="104"/>
      <c r="AZ107" s="104"/>
      <c r="BA107" s="104"/>
      <c r="BB107" s="104"/>
      <c r="BC107" s="104"/>
      <c r="BD107" s="104"/>
      <c r="BE107" s="104"/>
      <c r="BF107" s="104"/>
      <c r="BG107" s="104"/>
      <c r="BH107" s="104"/>
      <c r="BI107" s="104"/>
      <c r="BJ107" s="104"/>
      <c r="BK107" s="104"/>
      <c r="BL107" s="104"/>
      <c r="BM107" s="104"/>
      <c r="BN107" s="104"/>
      <c r="BO107" s="104"/>
      <c r="BP107" s="104"/>
      <c r="BQ107" s="104"/>
      <c r="BR107" s="104"/>
      <c r="BS107" s="104"/>
      <c r="BT107" s="104"/>
      <c r="BU107" s="104"/>
      <c r="BV107" s="104"/>
      <c r="BW107" s="104"/>
      <c r="BX107" s="104"/>
      <c r="BY107" s="104"/>
      <c r="BZ107" s="104"/>
      <c r="CA107" s="104"/>
      <c r="CB107" s="104"/>
      <c r="CC107" s="104"/>
      <c r="CD107" s="104"/>
      <c r="CE107" s="104"/>
      <c r="CF107" s="104"/>
      <c r="CG107" s="104"/>
      <c r="CH107" s="104"/>
    </row>
    <row r="108" spans="1:86" ht="15.75" x14ac:dyDescent="0.25">
      <c r="A108" s="104"/>
      <c r="B108" s="248" t="s">
        <v>367</v>
      </c>
      <c r="C108" s="242" t="s">
        <v>368</v>
      </c>
      <c r="D108" s="242" t="s">
        <v>369</v>
      </c>
      <c r="E108" s="197"/>
      <c r="F108" s="301" t="s">
        <v>4</v>
      </c>
      <c r="G108" s="301"/>
      <c r="H108" s="242" t="s">
        <v>5</v>
      </c>
      <c r="I108" s="242" t="s">
        <v>6</v>
      </c>
      <c r="J108" s="242" t="s">
        <v>7</v>
      </c>
      <c r="K108" s="242" t="s">
        <v>8</v>
      </c>
      <c r="L108" s="242" t="s">
        <v>9</v>
      </c>
      <c r="M108" s="242" t="s">
        <v>10</v>
      </c>
      <c r="N108" s="242" t="s">
        <v>11</v>
      </c>
      <c r="O108" s="242" t="s">
        <v>12</v>
      </c>
      <c r="P108" s="242" t="s">
        <v>13</v>
      </c>
      <c r="Q108" s="242" t="s">
        <v>14</v>
      </c>
      <c r="R108" s="242" t="s">
        <v>15</v>
      </c>
      <c r="S108" s="105"/>
      <c r="T108" s="105"/>
      <c r="U108" s="105"/>
      <c r="V108" s="105"/>
      <c r="W108" s="213"/>
      <c r="X108" s="104"/>
      <c r="Y108" s="105"/>
      <c r="Z108" s="105"/>
      <c r="AA108" s="104"/>
      <c r="AB108" s="239"/>
      <c r="AC108" s="291"/>
      <c r="AD108" s="280"/>
      <c r="AE108" s="280"/>
      <c r="AF108" s="239"/>
      <c r="AG108" s="104"/>
      <c r="AH108" s="104"/>
      <c r="AI108" s="104"/>
      <c r="AJ108" s="104"/>
      <c r="AK108" s="104" t="s">
        <v>35</v>
      </c>
      <c r="AL108" s="104"/>
      <c r="AM108" s="104"/>
      <c r="AN108" s="104"/>
      <c r="AO108" s="104"/>
      <c r="AP108" s="104"/>
      <c r="AQ108" s="104"/>
      <c r="AR108" s="104"/>
      <c r="AS108" s="104"/>
      <c r="AT108" s="104"/>
      <c r="AU108" s="104"/>
      <c r="AV108" s="104"/>
      <c r="AW108" s="104"/>
      <c r="AX108" s="104"/>
      <c r="AY108" s="104"/>
      <c r="AZ108" s="104"/>
      <c r="BA108" s="104"/>
      <c r="BB108" s="104"/>
      <c r="BC108" s="104"/>
      <c r="BD108" s="104"/>
      <c r="BE108" s="104"/>
      <c r="BF108" s="104"/>
      <c r="BG108" s="104"/>
      <c r="BH108" s="104"/>
      <c r="BI108" s="104"/>
      <c r="BJ108" s="104"/>
      <c r="BK108" s="104"/>
      <c r="BL108" s="104"/>
      <c r="BM108" s="104"/>
      <c r="BN108" s="104"/>
      <c r="BO108" s="104"/>
      <c r="BP108" s="104"/>
      <c r="BQ108" s="104"/>
      <c r="BR108" s="104"/>
      <c r="BS108" s="104"/>
      <c r="BT108" s="104"/>
      <c r="BU108" s="104"/>
      <c r="BV108" s="104"/>
      <c r="BW108" s="104"/>
      <c r="BX108" s="104"/>
      <c r="BY108" s="104"/>
      <c r="BZ108" s="104"/>
      <c r="CA108" s="104"/>
      <c r="CB108" s="104"/>
      <c r="CC108" s="104"/>
      <c r="CD108" s="104"/>
      <c r="CE108" s="104"/>
      <c r="CF108" s="104"/>
      <c r="CG108" s="104"/>
      <c r="CH108" s="104"/>
    </row>
    <row r="109" spans="1:86" x14ac:dyDescent="0.2">
      <c r="A109" s="104"/>
      <c r="B109" s="302" t="s">
        <v>35</v>
      </c>
      <c r="C109" s="303"/>
      <c r="D109" s="302"/>
      <c r="E109" s="197"/>
      <c r="F109" s="302"/>
      <c r="G109" s="302"/>
      <c r="H109" s="302"/>
      <c r="I109" s="302"/>
      <c r="J109" s="302"/>
      <c r="K109" s="302"/>
      <c r="L109" s="302"/>
      <c r="M109" s="302"/>
      <c r="N109" s="302"/>
      <c r="O109" s="302"/>
      <c r="P109" s="302"/>
      <c r="Q109" s="302"/>
      <c r="R109" s="302" t="s">
        <v>35</v>
      </c>
      <c r="S109" s="105"/>
      <c r="T109" s="105"/>
      <c r="U109" s="105"/>
      <c r="V109" s="105"/>
      <c r="W109" s="213"/>
      <c r="X109" s="104"/>
      <c r="Y109" s="105"/>
      <c r="Z109" s="105"/>
      <c r="AA109" s="104"/>
      <c r="AB109" s="239"/>
      <c r="AC109" s="291"/>
      <c r="AD109" s="280"/>
      <c r="AE109" s="280"/>
      <c r="AF109" s="239"/>
      <c r="AG109" s="104"/>
      <c r="AH109" s="104"/>
      <c r="AI109" s="104"/>
      <c r="AJ109" s="104"/>
      <c r="AK109" s="104" t="s">
        <v>35</v>
      </c>
      <c r="AL109" s="104"/>
      <c r="AM109" s="104"/>
      <c r="AN109" s="104"/>
      <c r="AO109" s="104"/>
      <c r="AP109" s="104"/>
      <c r="AQ109" s="104"/>
      <c r="AR109" s="104"/>
      <c r="AS109" s="104"/>
      <c r="AT109" s="104"/>
      <c r="AU109" s="104"/>
      <c r="AV109" s="104"/>
      <c r="AW109" s="104"/>
      <c r="AX109" s="104"/>
      <c r="AY109" s="104"/>
      <c r="AZ109" s="104"/>
      <c r="BA109" s="104"/>
      <c r="BB109" s="104"/>
      <c r="BC109" s="104"/>
      <c r="BD109" s="104"/>
      <c r="BE109" s="104"/>
      <c r="BF109" s="104"/>
      <c r="BG109" s="104"/>
      <c r="BH109" s="104"/>
      <c r="BI109" s="104"/>
      <c r="BJ109" s="104"/>
      <c r="BK109" s="104"/>
      <c r="BL109" s="104"/>
      <c r="BM109" s="104"/>
      <c r="BN109" s="104"/>
      <c r="BO109" s="104"/>
      <c r="BP109" s="104"/>
      <c r="BQ109" s="104"/>
      <c r="BR109" s="104"/>
      <c r="BS109" s="104"/>
      <c r="BT109" s="104"/>
      <c r="BU109" s="104"/>
      <c r="BV109" s="104"/>
      <c r="BW109" s="104"/>
      <c r="BX109" s="104"/>
      <c r="BY109" s="104"/>
      <c r="BZ109" s="104"/>
      <c r="CA109" s="104"/>
      <c r="CB109" s="104"/>
      <c r="CC109" s="104"/>
      <c r="CD109" s="104"/>
      <c r="CE109" s="104"/>
      <c r="CF109" s="104"/>
      <c r="CG109" s="104"/>
      <c r="CH109" s="104"/>
    </row>
    <row r="110" spans="1:86" x14ac:dyDescent="0.2">
      <c r="A110" s="104"/>
      <c r="B110" s="522">
        <v>2024</v>
      </c>
      <c r="C110" s="104" t="s">
        <v>26</v>
      </c>
      <c r="D110" s="305"/>
      <c r="E110" s="197"/>
      <c r="F110" s="255"/>
      <c r="G110" s="255"/>
      <c r="H110" s="255"/>
      <c r="I110" s="255"/>
      <c r="J110" s="255"/>
      <c r="K110" s="255"/>
      <c r="L110" s="255"/>
      <c r="M110" s="255"/>
      <c r="N110" s="255"/>
      <c r="O110" s="255"/>
      <c r="P110" s="255"/>
      <c r="Q110" s="255"/>
      <c r="R110" s="241">
        <v>240</v>
      </c>
      <c r="S110" s="105"/>
      <c r="T110" s="105"/>
      <c r="U110" s="105"/>
      <c r="V110" s="105"/>
      <c r="W110" s="213"/>
      <c r="X110" s="104"/>
      <c r="Y110" s="105"/>
      <c r="Z110" s="105"/>
      <c r="AA110" s="104"/>
      <c r="AB110" s="239"/>
      <c r="AC110" s="291"/>
      <c r="AD110" s="280"/>
      <c r="AE110" s="280"/>
      <c r="AF110" s="239"/>
      <c r="AG110" s="104"/>
      <c r="AH110" s="104"/>
      <c r="AI110" s="104"/>
      <c r="AJ110" s="104"/>
      <c r="AK110" s="104" t="s">
        <v>35</v>
      </c>
      <c r="AL110" s="104"/>
      <c r="AM110" s="104"/>
      <c r="AN110" s="104"/>
      <c r="AO110" s="104"/>
      <c r="AP110" s="104"/>
      <c r="AQ110" s="104"/>
      <c r="AR110" s="104"/>
      <c r="AS110" s="104"/>
      <c r="AT110" s="104"/>
      <c r="AU110" s="104"/>
      <c r="AV110" s="104"/>
      <c r="AW110" s="104"/>
      <c r="AX110" s="104"/>
      <c r="AY110" s="104"/>
      <c r="AZ110" s="104"/>
      <c r="BA110" s="104"/>
      <c r="BB110" s="104"/>
      <c r="BC110" s="104"/>
      <c r="BD110" s="104"/>
      <c r="BE110" s="104"/>
      <c r="BF110" s="104"/>
      <c r="BG110" s="104"/>
      <c r="BH110" s="104"/>
      <c r="BI110" s="104"/>
      <c r="BJ110" s="104"/>
      <c r="BK110" s="104"/>
      <c r="BL110" s="104"/>
      <c r="BM110" s="104"/>
      <c r="BN110" s="104"/>
      <c r="BO110" s="104"/>
      <c r="BP110" s="104"/>
      <c r="BQ110" s="104"/>
      <c r="BR110" s="104"/>
      <c r="BS110" s="104"/>
      <c r="BT110" s="104"/>
      <c r="BU110" s="104"/>
      <c r="BV110" s="104"/>
      <c r="BW110" s="104"/>
      <c r="BX110" s="104"/>
      <c r="BY110" s="104"/>
      <c r="BZ110" s="104"/>
      <c r="CA110" s="104"/>
      <c r="CB110" s="104"/>
      <c r="CC110" s="104"/>
      <c r="CD110" s="104"/>
      <c r="CE110" s="104"/>
      <c r="CF110" s="104"/>
      <c r="CG110" s="104"/>
      <c r="CH110" s="104"/>
    </row>
    <row r="111" spans="1:86" x14ac:dyDescent="0.2">
      <c r="A111" s="104"/>
      <c r="B111" s="302" t="s">
        <v>751</v>
      </c>
      <c r="C111" s="303"/>
      <c r="D111" s="302"/>
      <c r="E111" s="197"/>
      <c r="F111" s="302"/>
      <c r="G111" s="302"/>
      <c r="H111" s="302"/>
      <c r="I111" s="302"/>
      <c r="J111" s="302"/>
      <c r="K111" s="302"/>
      <c r="L111" s="302"/>
      <c r="M111" s="302"/>
      <c r="N111" s="302"/>
      <c r="O111" s="302"/>
      <c r="P111" s="302"/>
      <c r="Q111" s="302"/>
      <c r="R111" s="496">
        <f>SUM(R110)</f>
        <v>240</v>
      </c>
      <c r="S111" s="105"/>
      <c r="T111" s="105"/>
      <c r="U111" s="105"/>
      <c r="V111" s="105"/>
      <c r="W111" s="213"/>
      <c r="X111" s="104"/>
      <c r="Y111" s="105"/>
      <c r="Z111" s="105"/>
      <c r="AA111" s="104"/>
      <c r="AB111" s="239"/>
      <c r="AC111" s="291"/>
      <c r="AD111" s="280"/>
      <c r="AE111" s="280"/>
      <c r="AF111" s="239"/>
      <c r="AG111" s="104"/>
      <c r="AH111" s="104"/>
      <c r="AI111" s="104"/>
      <c r="AJ111" s="104"/>
      <c r="AK111" s="104"/>
      <c r="AL111" s="104"/>
      <c r="AM111" s="104"/>
      <c r="AN111" s="104"/>
      <c r="AO111" s="104"/>
      <c r="AP111" s="104"/>
      <c r="AQ111" s="104"/>
      <c r="AR111" s="104"/>
      <c r="AS111" s="104"/>
      <c r="AT111" s="104"/>
      <c r="AU111" s="104"/>
      <c r="AV111" s="104"/>
      <c r="AW111" s="104"/>
      <c r="AX111" s="104"/>
      <c r="AY111" s="104"/>
      <c r="AZ111" s="104"/>
      <c r="BA111" s="104"/>
      <c r="BB111" s="104"/>
      <c r="BC111" s="104"/>
      <c r="BD111" s="104"/>
      <c r="BE111" s="104"/>
      <c r="BF111" s="104"/>
      <c r="BG111" s="104"/>
      <c r="BH111" s="104"/>
      <c r="BI111" s="104"/>
      <c r="BJ111" s="104"/>
      <c r="BK111" s="104"/>
      <c r="BL111" s="104"/>
      <c r="BM111" s="104"/>
      <c r="BN111" s="104"/>
      <c r="BO111" s="104"/>
      <c r="BP111" s="104"/>
      <c r="BQ111" s="104"/>
      <c r="BR111" s="104"/>
      <c r="BS111" s="104"/>
      <c r="BT111" s="104"/>
      <c r="BU111" s="104"/>
      <c r="BV111" s="104"/>
      <c r="BW111" s="104"/>
      <c r="BX111" s="104"/>
      <c r="BY111" s="104"/>
      <c r="BZ111" s="104"/>
      <c r="CA111" s="104"/>
      <c r="CB111" s="104"/>
      <c r="CC111" s="104"/>
      <c r="CD111" s="104"/>
      <c r="CE111" s="104"/>
      <c r="CF111" s="104"/>
      <c r="CG111" s="104"/>
      <c r="CH111" s="104"/>
    </row>
    <row r="112" spans="1:86" x14ac:dyDescent="0.2">
      <c r="A112" s="104"/>
      <c r="B112" s="252"/>
      <c r="C112" s="304" t="s">
        <v>25</v>
      </c>
      <c r="D112" s="255"/>
      <c r="E112" s="197"/>
      <c r="F112" s="255"/>
      <c r="G112" s="255"/>
      <c r="H112" s="255"/>
      <c r="I112" s="255"/>
      <c r="J112" s="255"/>
      <c r="K112" s="255"/>
      <c r="L112" s="255"/>
      <c r="M112" s="255"/>
      <c r="N112" s="255"/>
      <c r="O112" s="255"/>
      <c r="P112" s="255"/>
      <c r="Q112" s="255"/>
      <c r="R112" s="318">
        <v>1190</v>
      </c>
      <c r="S112" s="105"/>
      <c r="T112" s="105"/>
      <c r="U112" s="105"/>
      <c r="V112" s="105"/>
      <c r="W112" s="213"/>
      <c r="X112" s="104"/>
      <c r="Y112" s="105"/>
      <c r="Z112" s="105"/>
      <c r="AA112" s="104"/>
      <c r="AB112" s="239"/>
      <c r="AC112" s="291"/>
      <c r="AD112" s="280"/>
      <c r="AE112" s="280"/>
      <c r="AF112" s="239"/>
      <c r="AG112" s="104"/>
      <c r="AH112" s="104"/>
      <c r="AI112" s="104"/>
      <c r="AJ112" s="104"/>
      <c r="AK112" s="104"/>
      <c r="AL112" s="104"/>
      <c r="AM112" s="104"/>
      <c r="AN112" s="104"/>
      <c r="AO112" s="104"/>
      <c r="AP112" s="104"/>
      <c r="AQ112" s="104"/>
      <c r="AR112" s="104"/>
      <c r="AS112" s="104"/>
      <c r="AT112" s="104"/>
      <c r="AU112" s="104"/>
      <c r="AV112" s="104"/>
      <c r="AW112" s="104"/>
      <c r="AX112" s="104"/>
      <c r="AY112" s="104"/>
      <c r="AZ112" s="104"/>
      <c r="BA112" s="104"/>
      <c r="BB112" s="104"/>
      <c r="BC112" s="104"/>
      <c r="BD112" s="104"/>
      <c r="BE112" s="104"/>
      <c r="BF112" s="104"/>
      <c r="BG112" s="104"/>
      <c r="BH112" s="104"/>
      <c r="BI112" s="104"/>
      <c r="BJ112" s="104"/>
      <c r="BK112" s="104"/>
      <c r="BL112" s="104"/>
      <c r="BM112" s="104"/>
      <c r="BN112" s="104"/>
      <c r="BO112" s="104"/>
      <c r="BP112" s="104"/>
      <c r="BQ112" s="104"/>
      <c r="BR112" s="104"/>
      <c r="BS112" s="104"/>
      <c r="BT112" s="104"/>
      <c r="BU112" s="104"/>
      <c r="BV112" s="104"/>
      <c r="BW112" s="104"/>
      <c r="BX112" s="104"/>
      <c r="BY112" s="104"/>
      <c r="BZ112" s="104"/>
      <c r="CA112" s="104"/>
      <c r="CB112" s="104"/>
      <c r="CC112" s="104"/>
      <c r="CD112" s="104"/>
      <c r="CE112" s="104"/>
      <c r="CF112" s="104"/>
      <c r="CG112" s="104"/>
      <c r="CH112" s="104"/>
    </row>
    <row r="113" spans="1:86" x14ac:dyDescent="0.2">
      <c r="A113" s="104"/>
      <c r="B113" s="252"/>
      <c r="C113" s="304" t="s">
        <v>46</v>
      </c>
      <c r="D113" s="255"/>
      <c r="E113" s="197"/>
      <c r="F113" s="255"/>
      <c r="G113" s="255"/>
      <c r="H113" s="255"/>
      <c r="I113" s="255"/>
      <c r="J113" s="255"/>
      <c r="K113" s="255"/>
      <c r="L113" s="255"/>
      <c r="M113" s="255"/>
      <c r="N113" s="255"/>
      <c r="O113" s="255"/>
      <c r="P113" s="255"/>
      <c r="Q113" s="255"/>
      <c r="R113" s="318">
        <v>1900</v>
      </c>
      <c r="S113" s="105"/>
      <c r="T113" s="105"/>
      <c r="U113" s="105"/>
      <c r="V113" s="105"/>
      <c r="W113" s="213"/>
      <c r="X113" s="104"/>
      <c r="Y113" s="187"/>
      <c r="Z113" s="187"/>
      <c r="AA113" s="210"/>
      <c r="AB113" s="239"/>
      <c r="AC113" s="291"/>
      <c r="AD113" s="280"/>
      <c r="AE113" s="280"/>
      <c r="AF113" s="239"/>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row>
    <row r="114" spans="1:86" x14ac:dyDescent="0.2">
      <c r="A114" s="104"/>
      <c r="B114" s="252"/>
      <c r="C114" s="304" t="s">
        <v>667</v>
      </c>
      <c r="D114" s="255"/>
      <c r="E114" s="197"/>
      <c r="F114" s="255"/>
      <c r="G114" s="255"/>
      <c r="H114" s="255"/>
      <c r="I114" s="255"/>
      <c r="J114" s="255"/>
      <c r="K114" s="255"/>
      <c r="L114" s="255"/>
      <c r="M114" s="255"/>
      <c r="N114" s="255"/>
      <c r="O114" s="255"/>
      <c r="P114" s="255"/>
      <c r="Q114" s="255"/>
      <c r="R114" s="318">
        <f>330+275</f>
        <v>605</v>
      </c>
      <c r="S114" s="105"/>
      <c r="T114" s="105"/>
      <c r="U114" s="105"/>
      <c r="V114" s="105"/>
      <c r="W114" s="213"/>
      <c r="X114" s="104"/>
      <c r="Y114" s="187"/>
      <c r="Z114" s="187"/>
      <c r="AA114" s="210"/>
      <c r="AB114" s="239"/>
      <c r="AC114" s="291"/>
      <c r="AD114" s="280"/>
      <c r="AE114" s="280"/>
      <c r="AF114" s="239"/>
      <c r="AG114" s="104"/>
      <c r="AH114" s="104"/>
      <c r="AI114" s="104"/>
      <c r="AJ114" s="104"/>
      <c r="AK114" s="104"/>
      <c r="AL114" s="104"/>
      <c r="AM114" s="104"/>
      <c r="AN114" s="104"/>
      <c r="AO114" s="104"/>
      <c r="AP114" s="104"/>
      <c r="AQ114" s="104"/>
      <c r="AR114" s="104"/>
      <c r="AS114" s="104"/>
      <c r="AT114" s="104"/>
      <c r="AU114" s="104"/>
      <c r="AV114" s="104"/>
      <c r="AW114" s="104"/>
      <c r="AX114" s="104"/>
      <c r="AY114" s="104"/>
      <c r="AZ114" s="104"/>
      <c r="BA114" s="104"/>
      <c r="BB114" s="104"/>
      <c r="BC114" s="104"/>
      <c r="BD114" s="104"/>
      <c r="BE114" s="104"/>
      <c r="BF114" s="104"/>
      <c r="BG114" s="104"/>
      <c r="BH114" s="104"/>
      <c r="BI114" s="104"/>
      <c r="BJ114" s="104"/>
      <c r="BK114" s="104"/>
      <c r="BL114" s="104"/>
      <c r="BM114" s="104"/>
      <c r="BN114" s="104"/>
      <c r="BO114" s="104"/>
      <c r="BP114" s="104"/>
      <c r="BQ114" s="104"/>
      <c r="BR114" s="104"/>
      <c r="BS114" s="104"/>
      <c r="BT114" s="104"/>
      <c r="BU114" s="104"/>
      <c r="BV114" s="104"/>
      <c r="BW114" s="104"/>
      <c r="BX114" s="104"/>
      <c r="BY114" s="104"/>
      <c r="BZ114" s="104"/>
      <c r="CA114" s="104"/>
      <c r="CB114" s="104"/>
      <c r="CC114" s="104"/>
      <c r="CD114" s="104"/>
      <c r="CE114" s="104"/>
      <c r="CF114" s="104"/>
      <c r="CG114" s="104"/>
      <c r="CH114" s="104"/>
    </row>
    <row r="115" spans="1:86" s="141" customFormat="1" ht="15.75" customHeight="1" x14ac:dyDescent="0.2">
      <c r="A115" s="104"/>
      <c r="B115" s="252"/>
      <c r="C115" s="304" t="s">
        <v>665</v>
      </c>
      <c r="D115" s="255"/>
      <c r="E115" s="197"/>
      <c r="F115" s="255"/>
      <c r="G115" s="255"/>
      <c r="H115" s="255"/>
      <c r="I115" s="255"/>
      <c r="J115" s="255"/>
      <c r="K115" s="255"/>
      <c r="L115" s="255"/>
      <c r="M115" s="255"/>
      <c r="N115" s="255"/>
      <c r="O115" s="255"/>
      <c r="P115" s="255"/>
      <c r="Q115" s="255"/>
      <c r="R115" s="318">
        <v>1240</v>
      </c>
      <c r="S115" s="105"/>
      <c r="T115" s="105"/>
      <c r="U115" s="105"/>
      <c r="V115" s="105"/>
      <c r="W115" s="213"/>
      <c r="X115" s="104"/>
      <c r="Y115" s="90"/>
      <c r="Z115" s="90"/>
      <c r="AA115" s="105"/>
      <c r="AB115" s="239"/>
      <c r="AC115" s="291"/>
      <c r="AD115" s="280"/>
      <c r="AE115" s="280"/>
      <c r="AF115" s="239"/>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row>
    <row r="116" spans="1:86" s="141" customFormat="1" ht="15.75" customHeight="1" x14ac:dyDescent="0.2">
      <c r="A116" s="104"/>
      <c r="B116" s="252"/>
      <c r="C116" s="304" t="s">
        <v>742</v>
      </c>
      <c r="D116" s="255"/>
      <c r="E116" s="197"/>
      <c r="F116" s="255"/>
      <c r="G116" s="255"/>
      <c r="H116" s="255"/>
      <c r="I116" s="255"/>
      <c r="J116" s="255"/>
      <c r="K116" s="255"/>
      <c r="L116" s="255"/>
      <c r="M116" s="255"/>
      <c r="N116" s="255"/>
      <c r="O116" s="255"/>
      <c r="P116" s="255"/>
      <c r="Q116" s="255"/>
      <c r="R116" s="318">
        <v>550</v>
      </c>
      <c r="S116" s="105"/>
      <c r="T116" s="105"/>
      <c r="U116" s="105"/>
      <c r="V116" s="105"/>
      <c r="W116" s="213"/>
      <c r="X116" s="104"/>
      <c r="Y116" s="90"/>
      <c r="Z116" s="90"/>
      <c r="AA116" s="105"/>
      <c r="AB116" s="239"/>
      <c r="AC116" s="291"/>
      <c r="AD116" s="280"/>
      <c r="AE116" s="280"/>
      <c r="AF116" s="239"/>
      <c r="AG116" s="105" t="s">
        <v>35</v>
      </c>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c r="BW116" s="105"/>
      <c r="BX116" s="105"/>
      <c r="BY116" s="105"/>
      <c r="BZ116" s="105"/>
      <c r="CA116" s="105"/>
      <c r="CB116" s="105"/>
      <c r="CC116" s="105"/>
      <c r="CD116" s="105"/>
      <c r="CE116" s="105"/>
      <c r="CF116" s="105"/>
      <c r="CG116" s="105"/>
      <c r="CH116" s="105"/>
    </row>
    <row r="117" spans="1:86" ht="15.75" customHeight="1" x14ac:dyDescent="0.2">
      <c r="A117" s="104"/>
      <c r="B117" s="252"/>
      <c r="C117" s="304" t="s">
        <v>744</v>
      </c>
      <c r="D117" s="255"/>
      <c r="E117" s="197"/>
      <c r="F117" s="255"/>
      <c r="G117" s="255"/>
      <c r="H117" s="255"/>
      <c r="I117" s="255"/>
      <c r="J117" s="255"/>
      <c r="K117" s="255"/>
      <c r="L117" s="255"/>
      <c r="M117" s="255"/>
      <c r="N117" s="255"/>
      <c r="O117" s="255"/>
      <c r="P117" s="255"/>
      <c r="Q117" s="255"/>
      <c r="R117" s="318">
        <v>275</v>
      </c>
      <c r="S117" s="105"/>
      <c r="T117" s="105"/>
      <c r="U117" s="105"/>
      <c r="V117" s="105"/>
      <c r="W117" s="213"/>
      <c r="X117" s="105"/>
      <c r="Y117"/>
      <c r="Z117"/>
      <c r="AA117" s="104"/>
      <c r="AB117" s="239"/>
      <c r="AC117" s="291"/>
      <c r="AD117" s="280"/>
      <c r="AE117" s="280"/>
      <c r="AF117" s="239"/>
      <c r="AG117" s="104"/>
      <c r="AH117" s="104"/>
      <c r="AI117" s="104"/>
      <c r="AJ117" s="104"/>
      <c r="AK117" s="104"/>
      <c r="AL117" s="104"/>
      <c r="AM117" s="104"/>
      <c r="AN117" s="104"/>
      <c r="AO117" s="104"/>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104"/>
      <c r="BK117" s="104"/>
      <c r="BL117" s="104"/>
      <c r="BM117" s="104"/>
      <c r="BN117" s="104"/>
      <c r="BO117" s="104"/>
      <c r="BP117" s="104"/>
      <c r="BQ117" s="104"/>
      <c r="BR117" s="104"/>
      <c r="BS117" s="104"/>
      <c r="BT117" s="104"/>
      <c r="BU117" s="104"/>
      <c r="BV117" s="104"/>
      <c r="BW117" s="104"/>
      <c r="BX117" s="104"/>
      <c r="BY117" s="104"/>
      <c r="BZ117" s="104"/>
      <c r="CA117" s="104"/>
      <c r="CB117" s="104"/>
      <c r="CC117" s="104"/>
      <c r="CD117" s="104"/>
      <c r="CE117" s="104"/>
      <c r="CF117" s="104"/>
      <c r="CG117" s="104"/>
      <c r="CH117" s="104"/>
    </row>
    <row r="118" spans="1:86" ht="15.75" customHeight="1" x14ac:dyDescent="0.2">
      <c r="A118" s="104"/>
      <c r="B118" s="252"/>
      <c r="C118" s="304" t="s">
        <v>107</v>
      </c>
      <c r="D118" s="255"/>
      <c r="E118" s="197"/>
      <c r="F118" s="255"/>
      <c r="G118" s="255"/>
      <c r="H118" s="255"/>
      <c r="I118" s="255"/>
      <c r="J118" s="255"/>
      <c r="K118" s="255"/>
      <c r="L118" s="255"/>
      <c r="M118" s="255"/>
      <c r="N118" s="255"/>
      <c r="O118" s="255"/>
      <c r="P118" s="255"/>
      <c r="Q118" s="255"/>
      <c r="R118" s="497">
        <f>330+275</f>
        <v>605</v>
      </c>
      <c r="S118" s="105"/>
      <c r="T118" s="105"/>
      <c r="U118" s="105"/>
      <c r="V118" s="105"/>
      <c r="W118" s="213"/>
      <c r="X118" s="105"/>
      <c r="Y118"/>
      <c r="Z118"/>
      <c r="AA118" s="104"/>
      <c r="AB118" s="239"/>
      <c r="AC118" s="291"/>
      <c r="AD118" s="280"/>
      <c r="AE118" s="280"/>
      <c r="AF118" s="239"/>
      <c r="AG118" s="104"/>
      <c r="AH118" s="104"/>
      <c r="AI118" s="104"/>
      <c r="AJ118" s="104"/>
      <c r="AK118" s="104"/>
      <c r="AL118" s="104"/>
      <c r="AM118" s="104"/>
      <c r="AN118" s="104"/>
      <c r="AO118" s="104"/>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104"/>
      <c r="BK118" s="104"/>
      <c r="BL118" s="104"/>
      <c r="BM118" s="104"/>
      <c r="BN118" s="104"/>
      <c r="BO118" s="104"/>
      <c r="BP118" s="104"/>
      <c r="BQ118" s="104"/>
      <c r="BR118" s="104"/>
      <c r="BS118" s="104"/>
      <c r="BT118" s="104"/>
      <c r="BU118" s="104"/>
      <c r="BV118" s="104"/>
      <c r="BW118" s="104"/>
      <c r="BX118" s="104"/>
      <c r="BY118" s="104"/>
      <c r="BZ118" s="104"/>
      <c r="CA118" s="104"/>
      <c r="CB118" s="104"/>
      <c r="CC118" s="104"/>
      <c r="CD118" s="104"/>
      <c r="CE118" s="104"/>
      <c r="CF118" s="104"/>
      <c r="CG118" s="104"/>
      <c r="CH118" s="104"/>
    </row>
    <row r="119" spans="1:86" ht="15.75" customHeight="1" x14ac:dyDescent="0.2">
      <c r="A119" s="104"/>
      <c r="B119" s="252"/>
      <c r="C119" s="304" t="s">
        <v>815</v>
      </c>
      <c r="D119" s="255"/>
      <c r="E119" s="197"/>
      <c r="F119" s="255"/>
      <c r="G119" s="255"/>
      <c r="H119" s="255"/>
      <c r="I119" s="255"/>
      <c r="J119" s="255"/>
      <c r="K119" s="255"/>
      <c r="L119" s="255"/>
      <c r="M119" s="255"/>
      <c r="N119" s="255"/>
      <c r="O119" s="255"/>
      <c r="P119" s="255"/>
      <c r="Q119" s="255"/>
      <c r="R119" s="497">
        <v>280</v>
      </c>
      <c r="S119" s="105"/>
      <c r="T119" s="105"/>
      <c r="U119" s="105"/>
      <c r="V119" s="105"/>
      <c r="W119" s="213"/>
      <c r="X119" s="105"/>
      <c r="Y119"/>
      <c r="Z119"/>
      <c r="AA119" s="104"/>
      <c r="AB119" s="239"/>
      <c r="AC119" s="291"/>
      <c r="AD119" s="280"/>
      <c r="AE119" s="280"/>
      <c r="AF119" s="239"/>
      <c r="AG119" s="104"/>
      <c r="AH119" s="104"/>
      <c r="AI119" s="104"/>
      <c r="AJ119" s="104"/>
      <c r="AK119" s="104"/>
      <c r="AL119" s="104"/>
      <c r="AM119" s="104"/>
      <c r="AN119" s="104"/>
      <c r="AO119" s="104"/>
      <c r="AP119" s="104"/>
      <c r="AQ119" s="104"/>
      <c r="AR119" s="104"/>
      <c r="AS119" s="104"/>
      <c r="AT119" s="104"/>
      <c r="AU119" s="104"/>
      <c r="AV119" s="104"/>
      <c r="AW119" s="104"/>
      <c r="AX119" s="104"/>
      <c r="AY119" s="104"/>
      <c r="AZ119" s="104"/>
      <c r="BA119" s="104"/>
      <c r="BB119" s="104"/>
      <c r="BC119" s="104"/>
      <c r="BD119" s="104"/>
      <c r="BE119" s="104"/>
      <c r="BF119" s="104"/>
      <c r="BG119" s="104"/>
      <c r="BH119" s="104"/>
      <c r="BI119" s="104"/>
      <c r="BJ119" s="104"/>
      <c r="BK119" s="104"/>
      <c r="BL119" s="104"/>
      <c r="BM119" s="104"/>
      <c r="BN119" s="104"/>
      <c r="BO119" s="104"/>
      <c r="BP119" s="104"/>
      <c r="BQ119" s="104"/>
      <c r="BR119" s="104"/>
      <c r="BS119" s="104"/>
      <c r="BT119" s="104"/>
      <c r="BU119" s="104"/>
      <c r="BV119" s="104"/>
      <c r="BW119" s="104"/>
      <c r="BX119" s="104"/>
      <c r="BY119" s="104"/>
      <c r="BZ119" s="104"/>
      <c r="CA119" s="104"/>
      <c r="CB119" s="104"/>
      <c r="CC119" s="104"/>
      <c r="CD119" s="104"/>
      <c r="CE119" s="104"/>
      <c r="CF119" s="104"/>
      <c r="CG119" s="104"/>
      <c r="CH119" s="104"/>
    </row>
    <row r="120" spans="1:86" ht="15.75" customHeight="1" x14ac:dyDescent="0.2">
      <c r="A120" s="104"/>
      <c r="B120" s="252"/>
      <c r="C120" s="304" t="s">
        <v>31</v>
      </c>
      <c r="D120" s="255"/>
      <c r="E120" s="197"/>
      <c r="F120" s="255"/>
      <c r="G120" s="255"/>
      <c r="H120" s="255"/>
      <c r="I120" s="255"/>
      <c r="J120" s="255"/>
      <c r="K120" s="255"/>
      <c r="L120" s="255"/>
      <c r="M120" s="255"/>
      <c r="N120" s="255"/>
      <c r="O120" s="255"/>
      <c r="P120" s="255"/>
      <c r="Q120" s="255"/>
      <c r="R120" s="497">
        <v>1050</v>
      </c>
      <c r="S120" s="105"/>
      <c r="T120" s="105">
        <f>SUM(R112:R120)</f>
        <v>7695</v>
      </c>
      <c r="U120" s="105"/>
      <c r="V120" s="105"/>
      <c r="W120" s="213"/>
      <c r="X120" s="105"/>
      <c r="Y120"/>
      <c r="Z120"/>
      <c r="AA120" s="104"/>
      <c r="AB120" s="239"/>
      <c r="AC120" s="291"/>
      <c r="AD120" s="280"/>
      <c r="AE120" s="280"/>
      <c r="AF120" s="239"/>
      <c r="AG120" s="104"/>
      <c r="AH120" s="104"/>
      <c r="AI120" s="104"/>
      <c r="AJ120" s="104"/>
      <c r="AK120" s="104"/>
      <c r="AL120" s="104"/>
      <c r="AM120" s="104"/>
      <c r="AN120" s="104"/>
      <c r="AO120" s="104"/>
      <c r="AP120" s="104"/>
      <c r="AQ120" s="104"/>
      <c r="AR120" s="104"/>
      <c r="AS120" s="104"/>
      <c r="AT120" s="104"/>
      <c r="AU120" s="104"/>
      <c r="AV120" s="104"/>
      <c r="AW120" s="104"/>
      <c r="AX120" s="104"/>
      <c r="AY120" s="104"/>
      <c r="AZ120" s="104"/>
      <c r="BA120" s="104"/>
      <c r="BB120" s="104"/>
      <c r="BC120" s="104"/>
      <c r="BD120" s="104"/>
      <c r="BE120" s="104"/>
      <c r="BF120" s="104"/>
      <c r="BG120" s="104"/>
      <c r="BH120" s="104"/>
      <c r="BI120" s="104"/>
      <c r="BJ120" s="104"/>
      <c r="BK120" s="104"/>
      <c r="BL120" s="104"/>
      <c r="BM120" s="104"/>
      <c r="BN120" s="104"/>
      <c r="BO120" s="104"/>
      <c r="BP120" s="104"/>
      <c r="BQ120" s="104"/>
      <c r="BR120" s="104"/>
      <c r="BS120" s="104"/>
      <c r="BT120" s="104"/>
      <c r="BU120" s="104"/>
      <c r="BV120" s="104"/>
      <c r="BW120" s="104"/>
      <c r="BX120" s="104"/>
      <c r="BY120" s="104"/>
      <c r="BZ120" s="104"/>
      <c r="CA120" s="104"/>
      <c r="CB120" s="104"/>
      <c r="CC120" s="104"/>
      <c r="CD120" s="104"/>
      <c r="CE120" s="104"/>
      <c r="CF120" s="104"/>
      <c r="CG120" s="104"/>
      <c r="CH120" s="104"/>
    </row>
    <row r="121" spans="1:86" ht="15.75" customHeight="1" x14ac:dyDescent="0.2">
      <c r="A121" s="104"/>
      <c r="B121" s="252"/>
      <c r="C121" s="304" t="s">
        <v>817</v>
      </c>
      <c r="D121" s="255"/>
      <c r="E121" s="197"/>
      <c r="F121" s="255"/>
      <c r="G121" s="255"/>
      <c r="H121" s="255"/>
      <c r="I121" s="255"/>
      <c r="J121" s="255"/>
      <c r="K121" s="255"/>
      <c r="L121" s="255"/>
      <c r="M121" s="255"/>
      <c r="N121" s="255"/>
      <c r="O121" s="255"/>
      <c r="P121" s="255"/>
      <c r="Q121" s="255"/>
      <c r="R121" s="497">
        <v>140</v>
      </c>
      <c r="S121" s="105"/>
      <c r="T121" s="105"/>
      <c r="U121" s="105"/>
      <c r="V121" s="105"/>
      <c r="W121" s="213"/>
      <c r="X121" s="105"/>
      <c r="Y121"/>
      <c r="Z121"/>
      <c r="AA121" s="104"/>
      <c r="AB121" s="239"/>
      <c r="AC121" s="291"/>
      <c r="AD121" s="280"/>
      <c r="AE121" s="280"/>
      <c r="AF121" s="239"/>
      <c r="AG121" s="104"/>
      <c r="AH121" s="104"/>
      <c r="AI121" s="104"/>
      <c r="AJ121" s="104"/>
      <c r="AK121" s="104"/>
      <c r="AL121" s="104"/>
      <c r="AM121" s="104"/>
      <c r="AN121" s="104"/>
      <c r="AO121" s="104"/>
      <c r="AP121" s="104"/>
      <c r="AQ121" s="104"/>
      <c r="AR121" s="104"/>
      <c r="AS121" s="104"/>
      <c r="AT121" s="104"/>
      <c r="AU121" s="104"/>
      <c r="AV121" s="104"/>
      <c r="AW121" s="104"/>
      <c r="AX121" s="104"/>
      <c r="AY121" s="104"/>
      <c r="AZ121" s="104"/>
      <c r="BA121" s="104"/>
      <c r="BB121" s="104"/>
      <c r="BC121" s="104"/>
      <c r="BD121" s="104"/>
      <c r="BE121" s="104"/>
      <c r="BF121" s="104"/>
      <c r="BG121" s="104"/>
      <c r="BH121" s="104"/>
      <c r="BI121" s="104"/>
      <c r="BJ121" s="104"/>
      <c r="BK121" s="104"/>
      <c r="BL121" s="104"/>
      <c r="BM121" s="104"/>
      <c r="BN121" s="104"/>
      <c r="BO121" s="104"/>
      <c r="BP121" s="104"/>
      <c r="BQ121" s="104"/>
      <c r="BR121" s="104"/>
      <c r="BS121" s="104"/>
      <c r="BT121" s="104"/>
      <c r="BU121" s="104"/>
      <c r="BV121" s="104"/>
      <c r="BW121" s="104"/>
      <c r="BX121" s="104"/>
      <c r="BY121" s="104"/>
      <c r="BZ121" s="104"/>
      <c r="CA121" s="104"/>
      <c r="CB121" s="104"/>
      <c r="CC121" s="104"/>
      <c r="CD121" s="104"/>
      <c r="CE121" s="104"/>
      <c r="CF121" s="104"/>
      <c r="CG121" s="104"/>
      <c r="CH121" s="104"/>
    </row>
    <row r="122" spans="1:86" ht="15.75" customHeight="1" x14ac:dyDescent="0.2">
      <c r="A122" s="104"/>
      <c r="B122" s="252"/>
      <c r="C122" s="304" t="s">
        <v>473</v>
      </c>
      <c r="D122" s="255"/>
      <c r="E122" s="197"/>
      <c r="F122" s="255"/>
      <c r="G122" s="255"/>
      <c r="H122" s="255"/>
      <c r="I122" s="255"/>
      <c r="J122" s="255"/>
      <c r="K122" s="255"/>
      <c r="L122" s="255"/>
      <c r="M122" s="255"/>
      <c r="N122" s="255"/>
      <c r="O122" s="255"/>
      <c r="P122" s="255"/>
      <c r="Q122" s="255"/>
      <c r="R122" s="241">
        <v>1190</v>
      </c>
      <c r="S122" s="105"/>
      <c r="T122" s="105"/>
      <c r="U122" s="105"/>
      <c r="V122" s="105"/>
      <c r="W122" s="213"/>
      <c r="X122" s="105"/>
      <c r="Y122"/>
      <c r="Z122"/>
      <c r="AA122" s="104"/>
      <c r="AB122" s="239"/>
      <c r="AC122" s="291"/>
      <c r="AD122" s="280"/>
      <c r="AE122" s="280"/>
      <c r="AF122" s="239"/>
      <c r="AG122" s="104"/>
      <c r="AH122" s="104"/>
      <c r="AI122" s="104"/>
      <c r="AJ122" s="104"/>
      <c r="AK122" s="104"/>
      <c r="AL122" s="104"/>
      <c r="AM122" s="104"/>
      <c r="AN122" s="104"/>
      <c r="AO122" s="104"/>
      <c r="AP122" s="104"/>
      <c r="AQ122" s="104"/>
      <c r="AR122" s="104"/>
      <c r="AS122" s="104"/>
      <c r="AT122" s="104"/>
      <c r="AU122" s="104"/>
      <c r="AV122" s="104"/>
      <c r="AW122" s="104"/>
      <c r="AX122" s="104"/>
      <c r="AY122" s="104"/>
      <c r="AZ122" s="104"/>
      <c r="BA122" s="104"/>
      <c r="BB122" s="104"/>
      <c r="BC122" s="104"/>
      <c r="BD122" s="104"/>
      <c r="BE122" s="104"/>
      <c r="BF122" s="104"/>
      <c r="BG122" s="104"/>
      <c r="BH122" s="104"/>
      <c r="BI122" s="104"/>
      <c r="BJ122" s="104"/>
      <c r="BK122" s="104"/>
      <c r="BL122" s="104"/>
      <c r="BM122" s="104"/>
      <c r="BN122" s="104"/>
      <c r="BO122" s="104"/>
      <c r="BP122" s="104"/>
      <c r="BQ122" s="104"/>
      <c r="BR122" s="104"/>
      <c r="BS122" s="104"/>
      <c r="BT122" s="104"/>
      <c r="BU122" s="104"/>
      <c r="BV122" s="104"/>
      <c r="BW122" s="104"/>
      <c r="BX122" s="104"/>
      <c r="BY122" s="104"/>
      <c r="BZ122" s="104"/>
      <c r="CA122" s="104"/>
      <c r="CB122" s="104"/>
      <c r="CC122" s="104"/>
      <c r="CD122" s="104"/>
      <c r="CE122" s="104"/>
      <c r="CF122" s="104"/>
      <c r="CG122" s="104"/>
      <c r="CH122" s="104"/>
    </row>
    <row r="123" spans="1:86" ht="15.75" customHeight="1" x14ac:dyDescent="0.2">
      <c r="A123" s="104"/>
      <c r="B123" s="252"/>
      <c r="C123" s="304" t="s">
        <v>555</v>
      </c>
      <c r="D123" s="255"/>
      <c r="E123" s="197"/>
      <c r="F123" s="255"/>
      <c r="G123" s="255"/>
      <c r="H123" s="255"/>
      <c r="I123" s="255"/>
      <c r="J123" s="255"/>
      <c r="K123" s="255"/>
      <c r="L123" s="255"/>
      <c r="M123" s="255"/>
      <c r="N123" s="255"/>
      <c r="O123" s="255"/>
      <c r="P123" s="255"/>
      <c r="Q123" s="255"/>
      <c r="R123" s="241">
        <v>1050</v>
      </c>
      <c r="S123" s="105"/>
      <c r="T123" s="105"/>
      <c r="U123" s="105"/>
      <c r="V123" s="105"/>
      <c r="W123" s="213"/>
      <c r="X123" s="105"/>
      <c r="Y123"/>
      <c r="Z123"/>
      <c r="AA123" s="104"/>
      <c r="AB123" s="239"/>
      <c r="AC123" s="291"/>
      <c r="AD123" s="280"/>
      <c r="AE123" s="280"/>
      <c r="AF123" s="239"/>
      <c r="AG123" s="104"/>
      <c r="AH123" s="104"/>
      <c r="AI123" s="104"/>
      <c r="AJ123" s="104"/>
      <c r="AK123" s="104"/>
      <c r="AL123" s="104"/>
      <c r="AM123" s="104"/>
      <c r="AN123" s="104"/>
      <c r="AO123" s="104"/>
      <c r="AP123" s="104"/>
      <c r="AQ123" s="104"/>
      <c r="AR123" s="104"/>
      <c r="AS123" s="104"/>
      <c r="AT123" s="104"/>
      <c r="AU123" s="104"/>
      <c r="AV123" s="104"/>
      <c r="AW123" s="104"/>
      <c r="AX123" s="104"/>
      <c r="AY123" s="104"/>
      <c r="AZ123" s="104"/>
      <c r="BA123" s="104"/>
      <c r="BB123" s="104"/>
      <c r="BC123" s="104"/>
      <c r="BD123" s="104"/>
      <c r="BE123" s="104"/>
      <c r="BF123" s="104"/>
      <c r="BG123" s="104"/>
      <c r="BH123" s="104"/>
      <c r="BI123" s="104"/>
      <c r="BJ123" s="104"/>
      <c r="BK123" s="104"/>
      <c r="BL123" s="104"/>
      <c r="BM123" s="104"/>
      <c r="BN123" s="104"/>
      <c r="BO123" s="104"/>
      <c r="BP123" s="104"/>
      <c r="BQ123" s="104"/>
      <c r="BR123" s="104"/>
      <c r="BS123" s="104"/>
      <c r="BT123" s="104"/>
      <c r="BU123" s="104"/>
      <c r="BV123" s="104"/>
      <c r="BW123" s="104"/>
      <c r="BX123" s="104"/>
      <c r="BY123" s="104"/>
      <c r="BZ123" s="104"/>
      <c r="CA123" s="104"/>
      <c r="CB123" s="104"/>
      <c r="CC123" s="104"/>
      <c r="CD123" s="104"/>
      <c r="CE123" s="104"/>
      <c r="CF123" s="104"/>
      <c r="CG123" s="104"/>
      <c r="CH123" s="104"/>
    </row>
    <row r="124" spans="1:86" ht="15.75" customHeight="1" x14ac:dyDescent="0.2">
      <c r="A124" s="104"/>
      <c r="B124" s="252"/>
      <c r="C124" s="304" t="s">
        <v>29</v>
      </c>
      <c r="D124" s="255"/>
      <c r="E124" s="197"/>
      <c r="F124" s="255"/>
      <c r="G124" s="255"/>
      <c r="H124" s="255"/>
      <c r="I124" s="255"/>
      <c r="J124" s="255"/>
      <c r="K124" s="255"/>
      <c r="L124" s="255"/>
      <c r="M124" s="255"/>
      <c r="N124" s="255"/>
      <c r="O124" s="255"/>
      <c r="P124" s="255"/>
      <c r="Q124" s="255"/>
      <c r="R124" s="241">
        <v>560</v>
      </c>
      <c r="S124" s="105"/>
      <c r="T124" s="105"/>
      <c r="U124" s="105"/>
      <c r="V124" s="105"/>
      <c r="W124" s="213"/>
      <c r="X124" s="105"/>
      <c r="Y124"/>
      <c r="Z124"/>
      <c r="AA124" s="104"/>
      <c r="AB124" s="239"/>
      <c r="AC124" s="291"/>
      <c r="AD124" s="280"/>
      <c r="AE124" s="280"/>
      <c r="AF124" s="239"/>
      <c r="AG124" s="104"/>
      <c r="AH124" s="104"/>
      <c r="AI124" s="104"/>
      <c r="AJ124" s="104"/>
      <c r="AK124" s="104"/>
      <c r="AL124" s="104"/>
      <c r="AM124" s="104"/>
      <c r="AN124" s="104"/>
      <c r="AO124" s="104"/>
      <c r="AP124" s="104"/>
      <c r="AQ124" s="104"/>
      <c r="AR124" s="104"/>
      <c r="AS124" s="104"/>
      <c r="AT124" s="104"/>
      <c r="AU124" s="104"/>
      <c r="AV124" s="104"/>
      <c r="AW124" s="104"/>
      <c r="AX124" s="104"/>
      <c r="AY124" s="104"/>
      <c r="AZ124" s="104"/>
      <c r="BA124" s="104"/>
      <c r="BB124" s="104"/>
      <c r="BC124" s="104"/>
      <c r="BD124" s="104"/>
      <c r="BE124" s="104"/>
      <c r="BF124" s="104"/>
      <c r="BG124" s="104"/>
      <c r="BH124" s="104"/>
      <c r="BI124" s="104"/>
      <c r="BJ124" s="104"/>
      <c r="BK124" s="104"/>
      <c r="BL124" s="104"/>
      <c r="BM124" s="104"/>
      <c r="BN124" s="104"/>
      <c r="BO124" s="104"/>
      <c r="BP124" s="104"/>
      <c r="BQ124" s="104"/>
      <c r="BR124" s="104"/>
      <c r="BS124" s="104"/>
      <c r="BT124" s="104"/>
      <c r="BU124" s="104"/>
      <c r="BV124" s="104"/>
      <c r="BW124" s="104"/>
      <c r="BX124" s="104"/>
      <c r="BY124" s="104"/>
      <c r="BZ124" s="104"/>
      <c r="CA124" s="104"/>
      <c r="CB124" s="104"/>
      <c r="CC124" s="104"/>
      <c r="CD124" s="104"/>
      <c r="CE124" s="104"/>
      <c r="CF124" s="104"/>
      <c r="CG124" s="104"/>
      <c r="CH124" s="104"/>
    </row>
    <row r="125" spans="1:86" ht="15.75" customHeight="1" x14ac:dyDescent="0.2">
      <c r="A125" s="104"/>
      <c r="B125" s="252"/>
      <c r="C125" s="304" t="s">
        <v>26</v>
      </c>
      <c r="D125" s="255"/>
      <c r="E125" s="197"/>
      <c r="F125" s="255"/>
      <c r="G125" s="255"/>
      <c r="H125" s="255"/>
      <c r="I125" s="255"/>
      <c r="J125" s="255"/>
      <c r="K125" s="255"/>
      <c r="L125" s="255"/>
      <c r="M125" s="255"/>
      <c r="N125" s="255"/>
      <c r="O125" s="255"/>
      <c r="P125" s="255"/>
      <c r="Q125" s="255"/>
      <c r="R125" s="241">
        <f>560+210</f>
        <v>770</v>
      </c>
      <c r="S125" s="105"/>
      <c r="T125" s="105"/>
      <c r="U125" s="105"/>
      <c r="V125" s="105"/>
      <c r="W125" s="213"/>
      <c r="X125" s="105"/>
      <c r="Y125"/>
      <c r="Z125"/>
      <c r="AA125" s="104"/>
      <c r="AB125" s="239"/>
      <c r="AC125" s="291"/>
      <c r="AD125" s="306"/>
      <c r="AE125" s="280"/>
      <c r="AF125" s="239"/>
      <c r="AG125" s="104"/>
      <c r="AH125" s="104"/>
      <c r="AI125" s="104"/>
      <c r="AJ125" s="104"/>
      <c r="AK125" s="104"/>
      <c r="AL125" s="104"/>
      <c r="AM125" s="104"/>
      <c r="AN125" s="104"/>
      <c r="AO125" s="104"/>
      <c r="AP125" s="104"/>
      <c r="AQ125" s="104"/>
      <c r="AR125" s="104"/>
      <c r="AS125" s="104"/>
      <c r="AT125" s="104"/>
      <c r="AU125" s="104"/>
      <c r="AV125" s="104"/>
      <c r="AW125" s="104"/>
      <c r="AX125" s="104"/>
      <c r="AY125" s="104"/>
      <c r="AZ125" s="104"/>
      <c r="BA125" s="104"/>
      <c r="BB125" s="104"/>
      <c r="BC125" s="104"/>
      <c r="BD125" s="104"/>
      <c r="BE125" s="104"/>
      <c r="BF125" s="104"/>
      <c r="BG125" s="104"/>
      <c r="BH125" s="104"/>
      <c r="BI125" s="104"/>
      <c r="BJ125" s="104"/>
      <c r="BK125" s="104"/>
      <c r="BL125" s="104"/>
      <c r="BM125" s="104"/>
      <c r="BN125" s="104"/>
      <c r="BO125" s="104"/>
      <c r="BP125" s="104"/>
      <c r="BQ125" s="104"/>
      <c r="BR125" s="104"/>
      <c r="BS125" s="104"/>
      <c r="BT125" s="104"/>
      <c r="BU125" s="104"/>
      <c r="BV125" s="104"/>
      <c r="BW125" s="104"/>
      <c r="BX125" s="104"/>
      <c r="BY125" s="104"/>
      <c r="BZ125" s="104"/>
      <c r="CA125" s="104"/>
      <c r="CB125" s="104"/>
      <c r="CC125" s="104"/>
      <c r="CD125" s="104"/>
      <c r="CE125" s="104"/>
      <c r="CF125" s="104"/>
      <c r="CG125" s="104"/>
      <c r="CH125" s="104"/>
    </row>
    <row r="126" spans="1:86" ht="15.75" customHeight="1" x14ac:dyDescent="0.2">
      <c r="A126" s="104"/>
      <c r="B126" s="252"/>
      <c r="C126" s="304" t="s">
        <v>70</v>
      </c>
      <c r="D126" s="255"/>
      <c r="E126" s="197"/>
      <c r="F126" s="255"/>
      <c r="G126" s="255"/>
      <c r="H126" s="255"/>
      <c r="I126" s="255"/>
      <c r="J126" s="255"/>
      <c r="K126" s="255"/>
      <c r="L126" s="255"/>
      <c r="M126" s="255"/>
      <c r="N126" s="255"/>
      <c r="O126" s="255"/>
      <c r="P126" s="255"/>
      <c r="Q126" s="255"/>
      <c r="R126" s="241">
        <v>1470</v>
      </c>
      <c r="S126" s="105"/>
      <c r="T126" s="105"/>
      <c r="U126" s="105"/>
      <c r="V126" s="105"/>
      <c r="W126" s="213"/>
      <c r="X126" s="105"/>
      <c r="Y126"/>
      <c r="Z126"/>
      <c r="AA126" s="104"/>
      <c r="AB126" s="239"/>
      <c r="AC126" s="291"/>
      <c r="AD126" s="280"/>
      <c r="AE126" s="280"/>
      <c r="AF126" s="239"/>
      <c r="AG126" s="104"/>
      <c r="AH126" s="104"/>
      <c r="AI126" s="104"/>
      <c r="AJ126" s="104"/>
      <c r="AK126" s="104"/>
      <c r="AL126" s="104"/>
      <c r="AM126" s="104"/>
      <c r="AN126" s="104"/>
      <c r="AO126" s="104"/>
      <c r="AP126" s="104"/>
      <c r="AQ126" s="104"/>
      <c r="AR126" s="104"/>
      <c r="AS126" s="104"/>
      <c r="AT126" s="104"/>
      <c r="AU126" s="104"/>
      <c r="AV126" s="104"/>
      <c r="AW126" s="104"/>
      <c r="AX126" s="104"/>
      <c r="AY126" s="104"/>
      <c r="AZ126" s="104"/>
      <c r="BA126" s="104"/>
      <c r="BB126" s="104"/>
      <c r="BC126" s="104"/>
      <c r="BD126" s="104"/>
      <c r="BE126" s="104"/>
      <c r="BF126" s="104"/>
      <c r="BG126" s="104"/>
      <c r="BH126" s="104"/>
      <c r="BI126" s="104"/>
      <c r="BJ126" s="104"/>
      <c r="BK126" s="104"/>
      <c r="BL126" s="104"/>
      <c r="BM126" s="104"/>
      <c r="BN126" s="104"/>
      <c r="BO126" s="104"/>
      <c r="BP126" s="104"/>
      <c r="BQ126" s="104"/>
      <c r="BR126" s="104"/>
      <c r="BS126" s="104"/>
      <c r="BT126" s="104"/>
      <c r="BU126" s="104"/>
      <c r="BV126" s="104"/>
      <c r="BW126" s="104"/>
      <c r="BX126" s="104"/>
      <c r="BY126" s="104"/>
      <c r="BZ126" s="104"/>
      <c r="CA126" s="104"/>
      <c r="CB126" s="104"/>
      <c r="CC126" s="104"/>
      <c r="CD126" s="104"/>
      <c r="CE126" s="104"/>
      <c r="CF126" s="104"/>
      <c r="CG126" s="104"/>
      <c r="CH126" s="104"/>
    </row>
    <row r="127" spans="1:86" ht="15.75" customHeight="1" x14ac:dyDescent="0.2">
      <c r="A127" s="104"/>
      <c r="B127" s="135"/>
      <c r="C127" s="304" t="s">
        <v>823</v>
      </c>
      <c r="D127" s="137"/>
      <c r="E127" s="197"/>
      <c r="F127" s="255"/>
      <c r="G127" s="255"/>
      <c r="H127" s="255"/>
      <c r="I127" s="255"/>
      <c r="J127" s="255"/>
      <c r="K127" s="255"/>
      <c r="L127" s="255"/>
      <c r="M127" s="255"/>
      <c r="N127" s="255"/>
      <c r="O127" s="255"/>
      <c r="P127" s="255"/>
      <c r="Q127" s="255"/>
      <c r="R127" s="497">
        <v>280</v>
      </c>
      <c r="S127" s="105"/>
      <c r="T127" s="105">
        <f>SUM(R121:R127)</f>
        <v>5460</v>
      </c>
      <c r="U127" s="105"/>
      <c r="V127" s="105"/>
      <c r="W127" s="213"/>
      <c r="X127" s="105"/>
      <c r="Y127"/>
      <c r="Z127"/>
      <c r="AA127" s="104"/>
      <c r="AB127" s="539"/>
      <c r="AC127" s="540"/>
      <c r="AD127" s="306"/>
      <c r="AE127" s="541"/>
      <c r="AF127" s="235"/>
      <c r="AG127" s="104"/>
      <c r="AH127" s="104"/>
      <c r="AI127" s="104"/>
      <c r="AJ127" s="104"/>
      <c r="AK127" s="104"/>
      <c r="AL127" s="104"/>
      <c r="AM127" s="104"/>
      <c r="AN127" s="104"/>
      <c r="AO127" s="104"/>
      <c r="AP127" s="104"/>
      <c r="AQ127" s="104"/>
      <c r="AR127" s="104"/>
      <c r="AS127" s="104"/>
      <c r="AT127" s="104"/>
      <c r="AU127" s="104"/>
      <c r="AV127" s="104"/>
      <c r="AW127" s="104"/>
      <c r="AX127" s="104"/>
      <c r="AY127" s="104"/>
      <c r="AZ127" s="104"/>
      <c r="BA127" s="104"/>
      <c r="BB127" s="104"/>
      <c r="BC127" s="104"/>
      <c r="BD127" s="104"/>
      <c r="BE127" s="104"/>
      <c r="BF127" s="104"/>
      <c r="BG127" s="104"/>
      <c r="BH127" s="104"/>
      <c r="BI127" s="104"/>
      <c r="BJ127" s="104"/>
      <c r="BK127" s="104"/>
      <c r="BL127" s="104"/>
      <c r="BM127" s="104"/>
      <c r="BN127" s="104"/>
      <c r="BO127" s="104"/>
      <c r="BP127" s="104"/>
      <c r="BQ127" s="104"/>
      <c r="BR127" s="104"/>
      <c r="BS127" s="104"/>
      <c r="BT127" s="104"/>
      <c r="BU127" s="104"/>
      <c r="BV127" s="104"/>
      <c r="BW127" s="104"/>
      <c r="BX127" s="104"/>
      <c r="BY127" s="104"/>
      <c r="BZ127" s="104"/>
      <c r="CA127" s="104"/>
      <c r="CB127" s="104"/>
      <c r="CC127" s="104"/>
      <c r="CD127" s="104"/>
      <c r="CE127" s="104"/>
      <c r="CF127" s="104"/>
      <c r="CG127" s="104"/>
      <c r="CH127" s="104"/>
    </row>
    <row r="128" spans="1:86" ht="15.75" customHeight="1" x14ac:dyDescent="0.2">
      <c r="A128" s="104"/>
      <c r="B128" s="302" t="s">
        <v>825</v>
      </c>
      <c r="C128" s="303"/>
      <c r="D128" s="302"/>
      <c r="E128" s="197"/>
      <c r="F128" s="302"/>
      <c r="G128" s="302"/>
      <c r="H128" s="302"/>
      <c r="I128" s="302"/>
      <c r="J128" s="302"/>
      <c r="K128" s="302"/>
      <c r="L128" s="302"/>
      <c r="M128" s="302"/>
      <c r="N128" s="302"/>
      <c r="O128" s="302"/>
      <c r="P128" s="302"/>
      <c r="Q128" s="302"/>
      <c r="R128" s="302">
        <f>SUM(R112:R127)</f>
        <v>13155</v>
      </c>
      <c r="S128" s="105"/>
      <c r="T128" s="105"/>
      <c r="U128" s="105"/>
      <c r="V128" s="105"/>
      <c r="W128" s="213"/>
      <c r="X128" s="213"/>
      <c r="Y128"/>
      <c r="Z128"/>
      <c r="AA128" s="104"/>
      <c r="AB128" s="539"/>
      <c r="AC128" s="291"/>
      <c r="AD128" s="306"/>
      <c r="AE128" s="280"/>
      <c r="AF128" s="235"/>
      <c r="AG128" s="104"/>
      <c r="AH128" s="104"/>
      <c r="AI128" s="104"/>
      <c r="AJ128" s="104"/>
      <c r="AK128" s="104"/>
      <c r="AL128" s="104"/>
      <c r="AM128" s="104"/>
      <c r="AN128" s="104"/>
      <c r="AO128" s="104"/>
      <c r="AP128" s="104"/>
      <c r="AQ128" s="104"/>
      <c r="AR128" s="104"/>
      <c r="AS128" s="104"/>
      <c r="AT128" s="104"/>
      <c r="AU128" s="104"/>
      <c r="AV128" s="104"/>
      <c r="AW128" s="104"/>
      <c r="AX128" s="104"/>
      <c r="AY128" s="104"/>
      <c r="AZ128" s="104"/>
      <c r="BA128" s="104"/>
      <c r="BB128" s="104"/>
      <c r="BC128" s="104"/>
      <c r="BD128" s="104"/>
      <c r="BE128" s="104"/>
      <c r="BF128" s="104"/>
      <c r="BG128" s="104"/>
      <c r="BH128" s="104"/>
      <c r="BI128" s="104"/>
      <c r="BJ128" s="104"/>
      <c r="BK128" s="104"/>
      <c r="BL128" s="104"/>
      <c r="BM128" s="104"/>
      <c r="BN128" s="104"/>
      <c r="BO128" s="104"/>
      <c r="BP128" s="104"/>
      <c r="BQ128" s="104"/>
      <c r="BR128" s="104"/>
      <c r="BS128" s="104"/>
      <c r="BT128" s="104"/>
      <c r="BU128" s="104"/>
      <c r="BV128" s="104"/>
      <c r="BW128" s="104"/>
      <c r="BX128" s="104"/>
      <c r="BY128" s="104"/>
      <c r="BZ128" s="104"/>
      <c r="CA128" s="104"/>
      <c r="CB128" s="104"/>
      <c r="CC128" s="104"/>
      <c r="CD128" s="104"/>
      <c r="CE128" s="104"/>
      <c r="CF128" s="104"/>
      <c r="CG128" s="104"/>
      <c r="CH128" s="104"/>
    </row>
    <row r="129" spans="1:86" ht="15.75" customHeight="1" x14ac:dyDescent="0.2">
      <c r="A129" s="104"/>
      <c r="B129" s="105"/>
      <c r="C129" s="105"/>
      <c r="D129" s="105"/>
      <c r="E129" s="197"/>
      <c r="F129" s="105"/>
      <c r="G129" s="105"/>
      <c r="H129" s="105"/>
      <c r="I129" s="105"/>
      <c r="J129" s="105"/>
      <c r="K129" s="105"/>
      <c r="L129" s="105"/>
      <c r="M129" s="105"/>
      <c r="N129" s="105"/>
      <c r="O129" s="105"/>
      <c r="P129" s="105"/>
      <c r="Q129" s="105"/>
      <c r="R129" s="105"/>
      <c r="S129" s="105"/>
      <c r="T129" s="105"/>
      <c r="U129" s="105"/>
      <c r="V129" s="105"/>
      <c r="W129" s="213"/>
      <c r="X129" s="213"/>
      <c r="Y129"/>
      <c r="Z129"/>
      <c r="AA129" s="104"/>
      <c r="AB129" s="239"/>
      <c r="AC129" s="291"/>
      <c r="AD129" s="306"/>
      <c r="AE129" s="280"/>
      <c r="AF129" s="239"/>
      <c r="AG129" s="104"/>
      <c r="AH129" s="104"/>
      <c r="AI129" s="104"/>
      <c r="AJ129" s="104"/>
      <c r="AK129" s="104"/>
      <c r="AL129" s="104"/>
      <c r="AM129" s="104"/>
      <c r="AN129" s="104"/>
      <c r="AO129" s="104"/>
      <c r="AP129" s="104"/>
      <c r="AQ129" s="104"/>
      <c r="AR129" s="104"/>
      <c r="AS129" s="104"/>
      <c r="AT129" s="104"/>
      <c r="AU129" s="104"/>
      <c r="AV129" s="104"/>
      <c r="AW129" s="104"/>
      <c r="AX129" s="104"/>
      <c r="AY129" s="104"/>
      <c r="AZ129" s="104"/>
      <c r="BA129" s="104"/>
      <c r="BB129" s="104"/>
      <c r="BC129" s="104"/>
      <c r="BD129" s="104"/>
      <c r="BE129" s="104"/>
      <c r="BF129" s="104"/>
      <c r="BG129" s="104"/>
      <c r="BH129" s="104"/>
      <c r="BI129" s="104"/>
      <c r="BJ129" s="104"/>
      <c r="BK129" s="104"/>
      <c r="BL129" s="104"/>
      <c r="BM129" s="104"/>
      <c r="BN129" s="104"/>
      <c r="BO129" s="104"/>
      <c r="BP129" s="104"/>
      <c r="BQ129" s="104"/>
      <c r="BR129" s="104"/>
      <c r="BS129" s="104"/>
      <c r="BT129" s="104"/>
      <c r="BU129" s="104"/>
      <c r="BV129" s="104"/>
      <c r="BW129" s="104"/>
      <c r="BX129" s="104"/>
      <c r="BY129" s="104"/>
      <c r="BZ129" s="104"/>
      <c r="CA129" s="104"/>
      <c r="CB129" s="104"/>
      <c r="CC129" s="104"/>
      <c r="CD129" s="104"/>
      <c r="CE129" s="104"/>
      <c r="CF129" s="104"/>
      <c r="CG129" s="104"/>
      <c r="CH129" s="104"/>
    </row>
    <row r="130" spans="1:86" ht="15.75" customHeight="1" x14ac:dyDescent="0.2">
      <c r="A130" s="104"/>
      <c r="B130" s="302" t="s">
        <v>752</v>
      </c>
      <c r="C130" s="303"/>
      <c r="D130" s="302"/>
      <c r="E130" s="197"/>
      <c r="F130" s="302"/>
      <c r="G130" s="302"/>
      <c r="H130" s="302"/>
      <c r="I130" s="302"/>
      <c r="J130" s="302"/>
      <c r="K130" s="302"/>
      <c r="L130" s="302"/>
      <c r="M130" s="302"/>
      <c r="N130" s="302"/>
      <c r="O130" s="302"/>
      <c r="P130" s="302"/>
      <c r="Q130" s="302"/>
      <c r="R130" s="302">
        <f>R128+R111</f>
        <v>13395</v>
      </c>
      <c r="S130" s="105"/>
      <c r="T130" s="105"/>
      <c r="U130" s="105"/>
      <c r="V130" s="105"/>
      <c r="W130" s="213"/>
      <c r="X130" s="213"/>
      <c r="Y130"/>
      <c r="Z130"/>
      <c r="AA130" s="104"/>
      <c r="AB130" s="239"/>
      <c r="AC130" s="291"/>
      <c r="AD130" s="280"/>
      <c r="AE130" s="280"/>
      <c r="AF130" s="239"/>
      <c r="AG130" s="104"/>
      <c r="AH130" s="104"/>
      <c r="AI130" s="104"/>
      <c r="AJ130" s="104"/>
      <c r="AK130" s="104"/>
      <c r="AL130" s="104"/>
      <c r="AM130" s="104"/>
      <c r="AN130" s="104"/>
      <c r="AO130" s="104"/>
      <c r="AP130" s="104"/>
      <c r="AQ130" s="104"/>
      <c r="AR130" s="104"/>
      <c r="AS130" s="104"/>
      <c r="AT130" s="104"/>
      <c r="AU130" s="104"/>
      <c r="AV130" s="104"/>
      <c r="AW130" s="104"/>
      <c r="AX130" s="104"/>
      <c r="AY130" s="104"/>
      <c r="AZ130" s="104"/>
      <c r="BA130" s="104"/>
      <c r="BB130" s="104"/>
      <c r="BC130" s="104"/>
      <c r="BD130" s="104"/>
      <c r="BE130" s="104"/>
      <c r="BF130" s="104"/>
      <c r="BG130" s="104"/>
      <c r="BH130" s="104"/>
      <c r="BI130" s="104"/>
      <c r="BJ130" s="104"/>
      <c r="BK130" s="104"/>
      <c r="BL130" s="104"/>
      <c r="BM130" s="104"/>
      <c r="BN130" s="104"/>
      <c r="BO130" s="104"/>
      <c r="BP130" s="104"/>
      <c r="BQ130" s="104"/>
      <c r="BR130" s="104"/>
      <c r="BS130" s="104"/>
      <c r="BT130" s="104"/>
      <c r="BU130" s="104"/>
      <c r="BV130" s="104"/>
      <c r="BW130" s="104"/>
      <c r="BX130" s="104"/>
      <c r="BY130" s="104"/>
      <c r="BZ130" s="104"/>
      <c r="CA130" s="104"/>
      <c r="CB130" s="104"/>
      <c r="CC130" s="104"/>
      <c r="CD130" s="104"/>
      <c r="CE130" s="104"/>
      <c r="CF130" s="104"/>
      <c r="CG130" s="104"/>
      <c r="CH130" s="104"/>
    </row>
    <row r="131" spans="1:86" ht="15.75" customHeight="1" x14ac:dyDescent="0.2">
      <c r="A131" s="104"/>
      <c r="B131" s="105"/>
      <c r="C131" s="104"/>
      <c r="D131" s="105"/>
      <c r="E131" s="197"/>
      <c r="F131" s="105"/>
      <c r="G131" s="105"/>
      <c r="H131" s="105"/>
      <c r="I131" s="105"/>
      <c r="J131" s="105"/>
      <c r="K131" s="105"/>
      <c r="L131" s="105"/>
      <c r="M131" s="105"/>
      <c r="N131" s="105"/>
      <c r="O131" s="105"/>
      <c r="P131" s="105"/>
      <c r="Q131" s="105"/>
      <c r="R131" s="105"/>
      <c r="S131" s="105"/>
      <c r="T131" s="105"/>
      <c r="U131" s="105"/>
      <c r="V131" s="105"/>
      <c r="W131" s="213"/>
      <c r="X131" s="213"/>
      <c r="Y131"/>
      <c r="Z131"/>
      <c r="AA131" s="104"/>
      <c r="AB131" s="239"/>
      <c r="AC131" s="291"/>
      <c r="AD131" s="306"/>
      <c r="AE131" s="280"/>
      <c r="AF131" s="239"/>
      <c r="AG131" s="104"/>
      <c r="AH131" s="104"/>
      <c r="AI131" s="104"/>
      <c r="AJ131" s="104"/>
      <c r="AK131" s="104"/>
      <c r="AL131" s="104"/>
      <c r="AM131" s="104"/>
      <c r="AN131" s="104"/>
      <c r="AO131" s="104"/>
      <c r="AP131" s="104"/>
      <c r="AQ131" s="104"/>
      <c r="AR131" s="104"/>
      <c r="AS131" s="104"/>
      <c r="AT131" s="104"/>
      <c r="AU131" s="104"/>
      <c r="AV131" s="104"/>
      <c r="AW131" s="104"/>
      <c r="AX131" s="104"/>
      <c r="AY131" s="104"/>
      <c r="AZ131" s="104"/>
      <c r="BA131" s="104"/>
      <c r="BB131" s="104"/>
      <c r="BC131" s="104"/>
      <c r="BD131" s="104"/>
      <c r="BE131" s="104"/>
      <c r="BF131" s="104"/>
      <c r="BG131" s="104"/>
      <c r="BH131" s="104"/>
      <c r="BI131" s="104"/>
      <c r="BJ131" s="104"/>
      <c r="BK131" s="104"/>
      <c r="BL131" s="104"/>
      <c r="BM131" s="104"/>
      <c r="BN131" s="104"/>
      <c r="BO131" s="104"/>
      <c r="BP131" s="104"/>
      <c r="BQ131" s="104"/>
      <c r="BR131" s="104"/>
      <c r="BS131" s="104"/>
      <c r="BT131" s="104"/>
      <c r="BU131" s="104"/>
      <c r="BV131" s="104"/>
      <c r="BW131" s="104"/>
      <c r="BX131" s="104"/>
      <c r="BY131" s="104"/>
      <c r="BZ131" s="104"/>
      <c r="CA131" s="104"/>
      <c r="CB131" s="104"/>
      <c r="CC131" s="104"/>
      <c r="CD131" s="104"/>
      <c r="CE131" s="104"/>
      <c r="CF131" s="104"/>
      <c r="CG131" s="104"/>
      <c r="CH131" s="104"/>
    </row>
    <row r="132" spans="1:86" ht="15.75" customHeight="1" x14ac:dyDescent="0.2">
      <c r="A132" s="104"/>
      <c r="B132" s="105"/>
      <c r="C132" s="104"/>
      <c r="D132" s="105"/>
      <c r="E132" s="197"/>
      <c r="F132" s="105"/>
      <c r="G132" s="105"/>
      <c r="H132" s="105"/>
      <c r="I132" s="105"/>
      <c r="J132" s="105"/>
      <c r="K132" s="105"/>
      <c r="L132" s="105"/>
      <c r="M132" s="105"/>
      <c r="N132" s="105"/>
      <c r="O132" s="105"/>
      <c r="P132" s="105"/>
      <c r="Q132" s="105"/>
      <c r="R132" s="105"/>
      <c r="S132" s="105"/>
      <c r="T132" s="105"/>
      <c r="U132" s="105"/>
      <c r="V132" s="105"/>
      <c r="W132" s="213"/>
      <c r="X132" s="213"/>
      <c r="Y132"/>
      <c r="Z132"/>
      <c r="AA132" s="104"/>
      <c r="AB132" s="235"/>
      <c r="AC132" s="236"/>
      <c r="AD132" s="307"/>
      <c r="AE132" s="237"/>
      <c r="AF132" s="235"/>
      <c r="AG132" s="104"/>
      <c r="AH132" s="104"/>
      <c r="AI132" s="104"/>
      <c r="AJ132" s="104"/>
      <c r="AK132" s="104"/>
      <c r="AL132" s="104"/>
      <c r="AM132" s="104"/>
      <c r="AN132" s="104"/>
      <c r="AO132" s="104"/>
      <c r="AP132" s="104"/>
      <c r="AQ132" s="104"/>
      <c r="AR132" s="104"/>
      <c r="AS132" s="104"/>
      <c r="AT132" s="104"/>
      <c r="AU132" s="104"/>
      <c r="AV132" s="104"/>
      <c r="AW132" s="104"/>
      <c r="AX132" s="104"/>
      <c r="AY132" s="104"/>
      <c r="AZ132" s="104"/>
      <c r="BA132" s="104"/>
      <c r="BB132" s="104"/>
      <c r="BC132" s="104"/>
      <c r="BD132" s="104"/>
      <c r="BE132" s="104"/>
      <c r="BF132" s="104"/>
      <c r="BG132" s="104"/>
      <c r="BH132" s="104"/>
      <c r="BI132" s="104"/>
      <c r="BJ132" s="104"/>
      <c r="BK132" s="104"/>
      <c r="BL132" s="104"/>
      <c r="BM132" s="104"/>
      <c r="BN132" s="104"/>
      <c r="BO132" s="104"/>
      <c r="BP132" s="104"/>
      <c r="BQ132" s="104"/>
      <c r="BR132" s="104"/>
      <c r="BS132" s="104"/>
      <c r="BT132" s="104"/>
      <c r="BU132" s="104"/>
      <c r="BV132" s="104"/>
      <c r="BW132" s="104"/>
      <c r="BX132" s="104"/>
      <c r="BY132" s="104"/>
      <c r="BZ132" s="104"/>
      <c r="CA132" s="104"/>
      <c r="CB132" s="104"/>
      <c r="CC132" s="104"/>
      <c r="CD132" s="104"/>
      <c r="CE132" s="104"/>
      <c r="CF132" s="104"/>
      <c r="CG132" s="104"/>
      <c r="CH132" s="104"/>
    </row>
    <row r="133" spans="1:86" ht="15.75" customHeight="1" x14ac:dyDescent="0.2">
      <c r="A133" s="104"/>
      <c r="B133" s="105"/>
      <c r="C133" s="104"/>
      <c r="D133" s="105"/>
      <c r="E133" s="197"/>
      <c r="F133" s="105"/>
      <c r="G133" s="105"/>
      <c r="H133" s="105"/>
      <c r="I133" s="105"/>
      <c r="J133" s="105"/>
      <c r="K133" s="105"/>
      <c r="L133" s="105"/>
      <c r="M133" s="105"/>
      <c r="N133" s="105"/>
      <c r="O133" s="105"/>
      <c r="P133" s="105"/>
      <c r="Q133" s="105"/>
      <c r="R133" s="105"/>
      <c r="S133" s="105"/>
      <c r="T133" s="105"/>
      <c r="U133" s="105"/>
      <c r="V133" s="105"/>
      <c r="W133" s="213"/>
      <c r="X133" s="213"/>
      <c r="Y133" s="105"/>
      <c r="Z133" s="105"/>
      <c r="AA133" s="104"/>
      <c r="AB133" s="239"/>
      <c r="AC133" s="291"/>
      <c r="AD133" s="306"/>
      <c r="AE133" s="280"/>
      <c r="AF133" s="239"/>
      <c r="AG133" s="104"/>
      <c r="AH133" s="104"/>
      <c r="AI133" s="104"/>
      <c r="AJ133" s="104"/>
      <c r="AK133" s="104"/>
      <c r="AL133" s="104"/>
      <c r="AM133" s="104"/>
      <c r="AN133" s="104"/>
      <c r="AO133" s="104"/>
      <c r="AP133" s="104"/>
      <c r="AQ133" s="104"/>
      <c r="AR133" s="104"/>
      <c r="AS133" s="104"/>
      <c r="AT133" s="104"/>
      <c r="AU133" s="104"/>
      <c r="AV133" s="104"/>
      <c r="AW133" s="104"/>
      <c r="AX133" s="104"/>
      <c r="AY133" s="104"/>
      <c r="AZ133" s="104"/>
      <c r="BA133" s="104"/>
      <c r="BB133" s="104"/>
      <c r="BC133" s="104"/>
      <c r="BD133" s="104"/>
      <c r="BE133" s="104"/>
      <c r="BF133" s="104"/>
      <c r="BG133" s="104"/>
      <c r="BH133" s="104"/>
      <c r="BI133" s="104"/>
      <c r="BJ133" s="104"/>
      <c r="BK133" s="104"/>
      <c r="BL133" s="104"/>
      <c r="BM133" s="104"/>
      <c r="BN133" s="104"/>
      <c r="BO133" s="104"/>
      <c r="BP133" s="104"/>
      <c r="BQ133" s="104"/>
      <c r="BR133" s="104"/>
      <c r="BS133" s="104"/>
      <c r="BT133" s="104"/>
      <c r="BU133" s="104"/>
      <c r="BV133" s="104"/>
      <c r="BW133" s="104"/>
      <c r="BX133" s="104"/>
      <c r="BY133" s="104"/>
      <c r="BZ133" s="104"/>
      <c r="CA133" s="104"/>
      <c r="CB133" s="104"/>
      <c r="CC133" s="104"/>
      <c r="CD133" s="104"/>
      <c r="CE133" s="104"/>
      <c r="CF133" s="104"/>
      <c r="CG133" s="104"/>
      <c r="CH133" s="104"/>
    </row>
    <row r="134" spans="1:86" ht="15.4" customHeight="1" x14ac:dyDescent="0.2">
      <c r="A134" s="104"/>
      <c r="B134" s="105"/>
      <c r="C134" s="104"/>
      <c r="D134" s="105"/>
      <c r="E134" s="197"/>
      <c r="F134" s="105"/>
      <c r="G134" s="105"/>
      <c r="H134" s="105"/>
      <c r="I134" s="105"/>
      <c r="J134" s="105"/>
      <c r="K134" s="105"/>
      <c r="L134" s="105"/>
      <c r="M134" s="105"/>
      <c r="N134" s="105"/>
      <c r="O134" s="105"/>
      <c r="P134" s="105"/>
      <c r="Q134" s="105"/>
      <c r="R134" s="105"/>
      <c r="S134" s="105"/>
      <c r="T134" s="105"/>
      <c r="U134" s="105"/>
      <c r="V134" s="105"/>
      <c r="W134" s="104"/>
      <c r="X134" s="213"/>
      <c r="Y134" s="105"/>
      <c r="Z134" s="105"/>
      <c r="AA134" s="104"/>
      <c r="AB134" s="239"/>
      <c r="AC134" s="291"/>
      <c r="AD134" s="280"/>
      <c r="AE134" s="280"/>
      <c r="AF134" s="239"/>
      <c r="AG134" s="104"/>
      <c r="AH134" s="104"/>
      <c r="AI134" s="104"/>
      <c r="AJ134" s="104"/>
      <c r="AK134" s="104"/>
      <c r="AL134" s="104"/>
      <c r="AM134" s="104"/>
      <c r="AN134" s="104"/>
      <c r="AO134" s="104"/>
      <c r="AP134" s="104"/>
      <c r="AQ134" s="104"/>
      <c r="AR134" s="104"/>
      <c r="AS134" s="104"/>
      <c r="AT134" s="104"/>
      <c r="AU134" s="104"/>
      <c r="AV134" s="104"/>
      <c r="AW134" s="104"/>
      <c r="AX134" s="104"/>
      <c r="AY134" s="104"/>
      <c r="AZ134" s="104"/>
      <c r="BA134" s="104"/>
      <c r="BB134" s="104"/>
      <c r="BC134" s="104"/>
      <c r="BD134" s="104"/>
      <c r="BE134" s="104"/>
      <c r="BF134" s="104"/>
      <c r="BG134" s="104"/>
      <c r="BH134" s="104"/>
      <c r="BI134" s="104"/>
      <c r="BJ134" s="104"/>
      <c r="BK134" s="104"/>
      <c r="BL134" s="104"/>
      <c r="BM134" s="104"/>
      <c r="BN134" s="104"/>
      <c r="BO134" s="104"/>
      <c r="BP134" s="104"/>
      <c r="BQ134" s="104"/>
      <c r="BR134" s="104"/>
      <c r="BS134" s="104"/>
      <c r="BT134" s="104"/>
      <c r="BU134" s="104"/>
      <c r="BV134" s="104"/>
      <c r="BW134" s="104"/>
      <c r="BX134" s="104"/>
      <c r="BY134" s="104"/>
      <c r="BZ134" s="104"/>
      <c r="CA134" s="104"/>
      <c r="CB134" s="104"/>
      <c r="CC134" s="104"/>
      <c r="CD134" s="104"/>
      <c r="CE134" s="104"/>
      <c r="CF134" s="104"/>
      <c r="CG134" s="104"/>
      <c r="CH134" s="104"/>
    </row>
    <row r="135" spans="1:86" x14ac:dyDescent="0.2">
      <c r="A135" s="104"/>
      <c r="B135" s="105"/>
      <c r="C135" s="104"/>
      <c r="D135" s="105"/>
      <c r="E135" s="197"/>
      <c r="F135" s="105"/>
      <c r="G135" s="105"/>
      <c r="H135" s="105"/>
      <c r="I135" s="105"/>
      <c r="J135" s="105"/>
      <c r="K135" s="105"/>
      <c r="L135" s="105"/>
      <c r="M135" s="105"/>
      <c r="N135" s="105"/>
      <c r="O135" s="105"/>
      <c r="P135" s="105"/>
      <c r="Q135" s="105"/>
      <c r="R135" s="105"/>
      <c r="S135" s="105"/>
      <c r="T135" s="105"/>
      <c r="U135" s="105"/>
      <c r="V135" s="105"/>
      <c r="W135" s="104"/>
      <c r="X135" s="213"/>
      <c r="Y135" s="105"/>
      <c r="Z135" s="105"/>
      <c r="AA135" s="104"/>
      <c r="AB135" s="239"/>
      <c r="AC135" s="291"/>
      <c r="AD135" s="280"/>
      <c r="AE135" s="280"/>
      <c r="AF135" s="239"/>
      <c r="AG135" s="104"/>
      <c r="AH135" s="104"/>
      <c r="AI135" s="104"/>
      <c r="AJ135" s="104"/>
      <c r="AK135" s="104"/>
      <c r="AL135" s="104"/>
      <c r="AM135" s="104"/>
      <c r="AN135" s="104"/>
      <c r="AO135" s="104"/>
      <c r="AP135" s="104"/>
      <c r="AQ135" s="104"/>
      <c r="AR135" s="104"/>
      <c r="AS135" s="104"/>
      <c r="AT135" s="104"/>
      <c r="AU135" s="104"/>
      <c r="AV135" s="104"/>
      <c r="AW135" s="104"/>
      <c r="AX135" s="104"/>
      <c r="AY135" s="104"/>
      <c r="AZ135" s="104"/>
      <c r="BA135" s="104"/>
      <c r="BB135" s="104"/>
      <c r="BC135" s="104"/>
      <c r="BD135" s="104"/>
      <c r="BE135" s="104"/>
      <c r="BF135" s="104"/>
      <c r="BG135" s="104"/>
      <c r="BH135" s="104"/>
      <c r="BI135" s="104"/>
      <c r="BJ135" s="104"/>
      <c r="BK135" s="104"/>
      <c r="BL135" s="104"/>
      <c r="BM135" s="104"/>
      <c r="BN135" s="104"/>
      <c r="BO135" s="104"/>
      <c r="BP135" s="104"/>
      <c r="BQ135" s="104"/>
      <c r="BR135" s="104"/>
      <c r="BS135" s="104"/>
      <c r="BT135" s="104"/>
      <c r="BU135" s="104"/>
      <c r="BV135" s="104"/>
      <c r="BW135" s="104"/>
      <c r="BX135" s="104"/>
      <c r="BY135" s="104"/>
      <c r="BZ135" s="104"/>
      <c r="CA135" s="104"/>
      <c r="CB135" s="104"/>
      <c r="CC135" s="104"/>
      <c r="CD135" s="104"/>
      <c r="CE135" s="104"/>
      <c r="CF135" s="104"/>
      <c r="CG135" s="104"/>
      <c r="CH135" s="104"/>
    </row>
    <row r="136" spans="1:86" x14ac:dyDescent="0.2">
      <c r="A136" s="104"/>
      <c r="B136" s="105"/>
      <c r="C136" s="104"/>
      <c r="D136" s="105"/>
      <c r="E136" s="197"/>
      <c r="F136" s="105"/>
      <c r="G136" s="105"/>
      <c r="H136" s="105"/>
      <c r="I136" s="105"/>
      <c r="J136" s="105"/>
      <c r="K136" s="105"/>
      <c r="L136" s="105"/>
      <c r="M136" s="105"/>
      <c r="N136" s="105"/>
      <c r="O136" s="105"/>
      <c r="P136" s="105"/>
      <c r="Q136" s="105"/>
      <c r="R136" s="105"/>
      <c r="S136" s="105"/>
      <c r="T136" s="105"/>
      <c r="U136" s="105"/>
      <c r="V136" s="105"/>
      <c r="W136" s="104"/>
      <c r="X136" s="213"/>
      <c r="Y136" s="105"/>
      <c r="Z136" s="105"/>
      <c r="AA136" s="104"/>
      <c r="AB136" s="239"/>
      <c r="AC136" s="291"/>
      <c r="AD136" s="306"/>
      <c r="AE136" s="280"/>
      <c r="AF136" s="239"/>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104"/>
      <c r="BZ136" s="104"/>
      <c r="CA136" s="104"/>
      <c r="CB136" s="104"/>
      <c r="CC136" s="104"/>
      <c r="CD136" s="104"/>
      <c r="CE136" s="104"/>
      <c r="CF136" s="104"/>
      <c r="CG136" s="104"/>
      <c r="CH136" s="104"/>
    </row>
    <row r="137" spans="1:86" x14ac:dyDescent="0.2">
      <c r="A137" s="104"/>
      <c r="B137" s="105"/>
      <c r="C137" s="104"/>
      <c r="D137" s="105"/>
      <c r="E137" s="197"/>
      <c r="F137" s="105"/>
      <c r="G137" s="105"/>
      <c r="H137" s="105"/>
      <c r="I137" s="105"/>
      <c r="J137" s="105"/>
      <c r="K137" s="105"/>
      <c r="L137" s="105"/>
      <c r="M137" s="105"/>
      <c r="N137" s="105"/>
      <c r="O137" s="105"/>
      <c r="P137" s="105"/>
      <c r="Q137" s="105"/>
      <c r="R137" s="105"/>
      <c r="S137" s="105"/>
      <c r="T137" s="105"/>
      <c r="U137" s="105"/>
      <c r="V137" s="105"/>
      <c r="W137" s="104"/>
      <c r="X137" s="213"/>
      <c r="Y137" s="105"/>
      <c r="Z137" s="105"/>
      <c r="AA137" s="104"/>
      <c r="AB137" s="105"/>
      <c r="AC137" s="104"/>
      <c r="AD137" s="104"/>
      <c r="AE137" s="104"/>
      <c r="AF137" s="104"/>
      <c r="AG137" s="104"/>
      <c r="AH137" s="104"/>
      <c r="AI137" s="104"/>
      <c r="AJ137" s="104"/>
      <c r="AK137" s="104"/>
      <c r="AL137" s="104"/>
      <c r="AM137" s="104"/>
      <c r="AN137" s="104"/>
      <c r="AO137" s="104"/>
      <c r="AP137" s="104"/>
      <c r="AQ137" s="104"/>
      <c r="AR137" s="104"/>
      <c r="AS137" s="104"/>
      <c r="AT137" s="104"/>
      <c r="AU137" s="104"/>
      <c r="AV137" s="104"/>
      <c r="AW137" s="104"/>
      <c r="AX137" s="104"/>
      <c r="AY137" s="104"/>
      <c r="AZ137" s="104"/>
      <c r="BA137" s="104"/>
      <c r="BB137" s="104"/>
      <c r="BC137" s="104"/>
      <c r="BD137" s="104"/>
      <c r="BE137" s="104"/>
      <c r="BF137" s="104"/>
      <c r="BG137" s="104"/>
      <c r="BH137" s="104"/>
      <c r="BI137" s="104"/>
      <c r="BJ137" s="104"/>
      <c r="BK137" s="104"/>
      <c r="BL137" s="104"/>
      <c r="BM137" s="104"/>
      <c r="BN137" s="104"/>
      <c r="BO137" s="104"/>
      <c r="BP137" s="104"/>
      <c r="BQ137" s="104"/>
      <c r="BR137" s="104"/>
      <c r="BS137" s="104"/>
      <c r="BT137" s="104"/>
      <c r="BU137" s="104"/>
      <c r="BV137" s="104"/>
      <c r="BW137" s="104"/>
      <c r="BX137" s="104"/>
      <c r="BY137" s="104"/>
      <c r="BZ137" s="104"/>
      <c r="CA137" s="104"/>
      <c r="CB137" s="104"/>
      <c r="CC137" s="104"/>
      <c r="CD137" s="104"/>
      <c r="CE137" s="104"/>
      <c r="CF137" s="104"/>
      <c r="CG137" s="104"/>
      <c r="CH137" s="104"/>
    </row>
    <row r="138" spans="1:86" x14ac:dyDescent="0.2">
      <c r="A138" s="104"/>
      <c r="B138" s="105"/>
      <c r="C138" s="104"/>
      <c r="D138" s="105"/>
      <c r="E138" s="197"/>
      <c r="F138" s="105"/>
      <c r="G138" s="105"/>
      <c r="H138" s="105"/>
      <c r="I138" s="105"/>
      <c r="J138" s="105"/>
      <c r="K138" s="105"/>
      <c r="L138" s="105"/>
      <c r="M138" s="105"/>
      <c r="N138" s="105"/>
      <c r="O138" s="105"/>
      <c r="P138" s="105"/>
      <c r="Q138" s="105"/>
      <c r="R138" s="105"/>
      <c r="S138" s="105"/>
      <c r="T138" s="105"/>
      <c r="U138" s="105"/>
      <c r="V138" s="105"/>
      <c r="W138" s="104"/>
      <c r="X138" s="213"/>
      <c r="Y138" s="105"/>
      <c r="Z138" s="104"/>
      <c r="AA138" s="104"/>
      <c r="AB138" s="105"/>
      <c r="AC138" s="104"/>
      <c r="AD138" s="104"/>
      <c r="AE138" s="104"/>
      <c r="AF138" s="104"/>
      <c r="AG138" s="104"/>
      <c r="AH138" s="104"/>
      <c r="AI138" s="104"/>
      <c r="AJ138" s="104"/>
      <c r="AK138" s="104"/>
      <c r="AL138" s="104"/>
      <c r="AM138" s="104"/>
      <c r="AN138" s="104"/>
      <c r="AO138" s="104"/>
      <c r="AP138" s="104"/>
      <c r="AQ138" s="104"/>
      <c r="AR138" s="104"/>
      <c r="AS138" s="104"/>
      <c r="AT138" s="104"/>
      <c r="AU138" s="104"/>
      <c r="AV138" s="104"/>
      <c r="AW138" s="104"/>
      <c r="AX138" s="104"/>
      <c r="AY138" s="104"/>
      <c r="AZ138" s="104"/>
      <c r="BA138" s="104"/>
      <c r="BB138" s="104"/>
      <c r="BC138" s="104"/>
      <c r="BD138" s="104"/>
      <c r="BE138" s="104"/>
      <c r="BF138" s="104"/>
      <c r="BG138" s="104"/>
      <c r="BH138" s="104"/>
      <c r="BI138" s="104"/>
      <c r="BJ138" s="104"/>
      <c r="BK138" s="104"/>
      <c r="BL138" s="104"/>
      <c r="BM138" s="104"/>
      <c r="BN138" s="104"/>
      <c r="BO138" s="104"/>
      <c r="BP138" s="104"/>
      <c r="BQ138" s="104"/>
      <c r="BR138" s="104"/>
      <c r="BS138" s="104"/>
      <c r="BT138" s="104"/>
      <c r="BU138" s="104"/>
      <c r="BV138" s="104"/>
      <c r="BW138" s="104"/>
      <c r="BX138" s="104"/>
      <c r="BY138" s="104"/>
      <c r="BZ138" s="104"/>
      <c r="CA138" s="104"/>
      <c r="CB138" s="104"/>
      <c r="CC138" s="104"/>
      <c r="CD138" s="104"/>
      <c r="CE138" s="104"/>
      <c r="CF138" s="104"/>
      <c r="CG138" s="104"/>
      <c r="CH138" s="104"/>
    </row>
    <row r="139" spans="1:86" x14ac:dyDescent="0.2">
      <c r="A139" s="104"/>
      <c r="B139" s="105"/>
      <c r="C139" s="104"/>
      <c r="D139" s="105"/>
      <c r="E139" s="197"/>
      <c r="F139" s="105"/>
      <c r="G139" s="105"/>
      <c r="H139" s="105"/>
      <c r="I139" s="105"/>
      <c r="J139" s="105"/>
      <c r="K139" s="105"/>
      <c r="L139" s="105"/>
      <c r="M139" s="105"/>
      <c r="N139" s="105"/>
      <c r="O139" s="105"/>
      <c r="P139" s="105"/>
      <c r="Q139" s="105"/>
      <c r="R139" s="105"/>
      <c r="S139" s="105"/>
      <c r="T139" s="105"/>
      <c r="U139" s="105"/>
      <c r="V139" s="105"/>
      <c r="W139" s="104"/>
      <c r="X139" s="213"/>
      <c r="Y139" s="105"/>
      <c r="Z139" s="104"/>
      <c r="AA139" s="104"/>
      <c r="AB139" s="105"/>
      <c r="AC139" s="104"/>
      <c r="AD139" s="104"/>
      <c r="AE139" s="104"/>
      <c r="AF139" s="104"/>
      <c r="AG139" s="104"/>
      <c r="AH139" s="104"/>
      <c r="AI139" s="104"/>
      <c r="AJ139" s="104"/>
      <c r="AK139" s="104"/>
      <c r="AL139" s="104"/>
      <c r="AM139" s="104"/>
      <c r="AN139" s="104"/>
      <c r="AO139" s="104"/>
      <c r="AP139" s="104"/>
      <c r="AQ139" s="104"/>
      <c r="AR139" s="104"/>
      <c r="AS139" s="104"/>
      <c r="AT139" s="104"/>
      <c r="AU139" s="104"/>
      <c r="AV139" s="104"/>
      <c r="AW139" s="104"/>
      <c r="AX139" s="104"/>
      <c r="AY139" s="104"/>
      <c r="AZ139" s="104"/>
      <c r="BA139" s="104"/>
      <c r="BB139" s="104"/>
      <c r="BC139" s="104"/>
      <c r="BD139" s="104"/>
      <c r="BE139" s="104"/>
      <c r="BF139" s="104"/>
      <c r="BG139" s="104"/>
      <c r="BH139" s="104"/>
      <c r="BI139" s="104"/>
      <c r="BJ139" s="104"/>
      <c r="BK139" s="104"/>
      <c r="BL139" s="104"/>
      <c r="BM139" s="104"/>
      <c r="BN139" s="104"/>
      <c r="BO139" s="104"/>
      <c r="BP139" s="104"/>
      <c r="BQ139" s="104"/>
      <c r="BR139" s="104"/>
      <c r="BS139" s="104"/>
      <c r="BT139" s="104"/>
      <c r="BU139" s="104"/>
      <c r="BV139" s="104"/>
      <c r="BW139" s="104"/>
      <c r="BX139" s="104"/>
      <c r="BY139" s="104"/>
      <c r="BZ139" s="104"/>
      <c r="CA139" s="104"/>
      <c r="CB139" s="104"/>
      <c r="CC139" s="104"/>
      <c r="CD139" s="104"/>
      <c r="CE139" s="104"/>
      <c r="CF139" s="104"/>
      <c r="CG139" s="104"/>
      <c r="CH139" s="104"/>
    </row>
    <row r="140" spans="1:86" ht="15.4" customHeight="1" x14ac:dyDescent="0.2">
      <c r="A140" s="104"/>
      <c r="B140" s="105"/>
      <c r="C140" s="104"/>
      <c r="D140" s="105"/>
      <c r="E140" s="197"/>
      <c r="F140" s="105"/>
      <c r="G140" s="105"/>
      <c r="H140" s="105"/>
      <c r="I140" s="105"/>
      <c r="J140" s="105"/>
      <c r="K140" s="105"/>
      <c r="L140" s="105"/>
      <c r="M140" s="105"/>
      <c r="N140" s="105"/>
      <c r="O140" s="105"/>
      <c r="P140" s="105"/>
      <c r="Q140" s="105"/>
      <c r="R140" s="105"/>
      <c r="S140" s="105"/>
      <c r="T140" s="105"/>
      <c r="U140" s="105"/>
      <c r="V140" s="105"/>
      <c r="W140" s="104"/>
      <c r="X140" s="213"/>
      <c r="Y140" s="105"/>
      <c r="Z140" s="104"/>
      <c r="AA140" s="104"/>
      <c r="AB140" s="105"/>
      <c r="AC140" s="104"/>
      <c r="AD140" s="104"/>
      <c r="AE140" s="104"/>
      <c r="AF140" s="104"/>
      <c r="AG140" s="104"/>
      <c r="AH140" s="104"/>
      <c r="AI140" s="104"/>
      <c r="AJ140" s="104"/>
      <c r="AK140" s="104"/>
      <c r="AL140" s="104"/>
      <c r="AM140" s="104"/>
      <c r="AN140" s="104"/>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row>
    <row r="141" spans="1:86" x14ac:dyDescent="0.2">
      <c r="A141" s="104"/>
      <c r="B141" s="105"/>
      <c r="C141" s="104"/>
      <c r="D141" s="105"/>
      <c r="E141" s="197"/>
      <c r="F141" s="105"/>
      <c r="G141" s="105"/>
      <c r="H141" s="105"/>
      <c r="I141" s="105"/>
      <c r="J141" s="105"/>
      <c r="K141" s="105"/>
      <c r="L141" s="105"/>
      <c r="M141" s="105"/>
      <c r="N141" s="105"/>
      <c r="O141" s="105"/>
      <c r="P141" s="105"/>
      <c r="Q141" s="105"/>
      <c r="R141" s="105"/>
      <c r="S141" s="105"/>
      <c r="T141" s="105"/>
      <c r="U141" s="105"/>
      <c r="V141" s="105"/>
      <c r="W141" s="104"/>
      <c r="X141" s="213"/>
      <c r="Y141" s="105"/>
      <c r="Z141" s="104"/>
      <c r="AA141" s="104"/>
      <c r="AB141" s="105"/>
      <c r="AC141" s="104"/>
      <c r="AD141" s="104"/>
      <c r="AE141" s="104"/>
      <c r="AF141" s="104"/>
      <c r="AG141" s="104"/>
      <c r="AH141" s="104"/>
      <c r="AI141" s="104"/>
      <c r="AJ141" s="104"/>
      <c r="AK141" s="104"/>
      <c r="AL141" s="104"/>
      <c r="AM141" s="104"/>
      <c r="AN141" s="104"/>
      <c r="AO141" s="104"/>
      <c r="AP141" s="104"/>
      <c r="AQ141" s="104"/>
      <c r="AR141" s="104"/>
      <c r="AS141" s="104"/>
      <c r="AT141" s="104"/>
      <c r="AU141" s="104"/>
      <c r="AV141" s="104"/>
      <c r="AW141" s="104"/>
      <c r="AX141" s="104"/>
      <c r="AY141" s="104"/>
      <c r="AZ141" s="104"/>
      <c r="BA141" s="104"/>
      <c r="BB141" s="104"/>
      <c r="BC141" s="104"/>
      <c r="BD141" s="104"/>
      <c r="BE141" s="104"/>
      <c r="BF141" s="104"/>
      <c r="BG141" s="104"/>
      <c r="BH141" s="104"/>
      <c r="BI141" s="104"/>
      <c r="BJ141" s="104"/>
      <c r="BK141" s="104"/>
      <c r="BL141" s="104"/>
      <c r="BM141" s="104"/>
      <c r="BN141" s="104"/>
      <c r="BO141" s="104"/>
      <c r="BP141" s="104"/>
      <c r="BQ141" s="104"/>
      <c r="BR141" s="104"/>
      <c r="BS141" s="104"/>
      <c r="BT141" s="104"/>
      <c r="BU141" s="104"/>
      <c r="BV141" s="104"/>
      <c r="BW141" s="104"/>
      <c r="BX141" s="104"/>
      <c r="BY141" s="104"/>
      <c r="BZ141" s="104"/>
      <c r="CA141" s="104"/>
      <c r="CB141" s="104"/>
      <c r="CC141" s="104"/>
      <c r="CD141" s="104"/>
      <c r="CE141" s="104"/>
      <c r="CF141" s="104"/>
      <c r="CG141" s="104"/>
      <c r="CH141" s="104"/>
    </row>
    <row r="142" spans="1:86" x14ac:dyDescent="0.2">
      <c r="A142" s="104"/>
      <c r="B142" s="105"/>
      <c r="C142" s="104"/>
      <c r="D142" s="105"/>
      <c r="E142" s="197"/>
      <c r="F142" s="105"/>
      <c r="G142" s="105"/>
      <c r="H142" s="105"/>
      <c r="I142" s="105"/>
      <c r="J142" s="105"/>
      <c r="K142" s="105"/>
      <c r="L142" s="105"/>
      <c r="M142" s="105"/>
      <c r="N142" s="105"/>
      <c r="O142" s="105"/>
      <c r="P142" s="105"/>
      <c r="Q142" s="105"/>
      <c r="R142" s="105"/>
      <c r="S142" s="105"/>
      <c r="T142" s="105"/>
      <c r="U142" s="105"/>
      <c r="V142" s="105"/>
      <c r="W142" s="104"/>
      <c r="X142" s="213"/>
      <c r="Y142" s="105"/>
      <c r="Z142" s="104"/>
      <c r="AA142" s="104"/>
      <c r="AB142" s="105"/>
      <c r="AC142" s="104"/>
      <c r="AD142" s="104"/>
      <c r="AE142" s="104"/>
      <c r="AF142" s="104"/>
      <c r="AG142" s="104"/>
      <c r="AH142" s="104"/>
      <c r="AI142" s="104"/>
      <c r="AJ142" s="104"/>
      <c r="AK142" s="104"/>
      <c r="AL142" s="104"/>
      <c r="AM142" s="104"/>
      <c r="AN142" s="104"/>
      <c r="AO142" s="104"/>
      <c r="AP142" s="104"/>
      <c r="AQ142" s="104"/>
      <c r="AR142" s="104"/>
      <c r="AS142" s="104"/>
      <c r="AT142" s="104"/>
      <c r="AU142" s="104"/>
      <c r="AV142" s="104"/>
      <c r="AW142" s="104"/>
      <c r="AX142" s="104"/>
      <c r="AY142" s="104"/>
      <c r="AZ142" s="104"/>
      <c r="BA142" s="104"/>
      <c r="BB142" s="104"/>
      <c r="BC142" s="104"/>
      <c r="BD142" s="104"/>
      <c r="BE142" s="104"/>
      <c r="BF142" s="104"/>
      <c r="BG142" s="104"/>
      <c r="BH142" s="104"/>
      <c r="BI142" s="104"/>
      <c r="BJ142" s="104"/>
      <c r="BK142" s="104"/>
      <c r="BL142" s="104"/>
      <c r="BM142" s="104"/>
      <c r="BN142" s="104"/>
      <c r="BO142" s="104"/>
      <c r="BP142" s="104"/>
      <c r="BQ142" s="104"/>
      <c r="BR142" s="104"/>
      <c r="BS142" s="104"/>
      <c r="BT142" s="104"/>
      <c r="BU142" s="104"/>
      <c r="BV142" s="104"/>
      <c r="BW142" s="104"/>
      <c r="BX142" s="104"/>
      <c r="BY142" s="104"/>
      <c r="BZ142" s="104"/>
      <c r="CA142" s="104"/>
      <c r="CB142" s="104"/>
      <c r="CC142" s="104"/>
      <c r="CD142" s="104"/>
      <c r="CE142" s="104"/>
      <c r="CF142" s="104"/>
      <c r="CG142" s="104"/>
      <c r="CH142" s="104"/>
    </row>
    <row r="143" spans="1:86" x14ac:dyDescent="0.2">
      <c r="A143" s="104"/>
      <c r="B143" s="105"/>
      <c r="C143" s="104"/>
      <c r="D143" s="105"/>
      <c r="E143" s="197"/>
      <c r="F143" s="105"/>
      <c r="G143" s="105"/>
      <c r="H143" s="105"/>
      <c r="I143" s="105"/>
      <c r="J143" s="105"/>
      <c r="K143" s="105"/>
      <c r="L143" s="105"/>
      <c r="M143" s="105"/>
      <c r="N143" s="105"/>
      <c r="O143" s="105"/>
      <c r="P143" s="105"/>
      <c r="Q143" s="105"/>
      <c r="R143" s="105"/>
      <c r="S143" s="105"/>
      <c r="T143" s="105"/>
      <c r="U143" s="105"/>
      <c r="V143" s="105"/>
      <c r="W143" s="104"/>
      <c r="X143" s="213"/>
      <c r="Y143" s="105"/>
      <c r="Z143" s="104"/>
      <c r="AA143" s="104"/>
      <c r="AB143" s="105"/>
      <c r="AC143" s="104"/>
      <c r="AD143" s="104"/>
      <c r="AE143" s="104"/>
      <c r="AF143" s="104"/>
      <c r="AG143" s="104"/>
      <c r="AH143" s="104"/>
      <c r="AI143" s="104"/>
      <c r="AJ143" s="104"/>
      <c r="AK143" s="104"/>
      <c r="AL143" s="104"/>
      <c r="AM143" s="104"/>
      <c r="AN143" s="104"/>
      <c r="AO143" s="104"/>
      <c r="AP143" s="104"/>
      <c r="AQ143" s="104"/>
      <c r="AR143" s="104"/>
      <c r="AS143" s="104"/>
      <c r="AT143" s="104"/>
      <c r="AU143" s="104"/>
      <c r="AV143" s="104"/>
      <c r="AW143" s="104"/>
      <c r="AX143" s="104"/>
      <c r="AY143" s="104"/>
      <c r="AZ143" s="104"/>
      <c r="BA143" s="104"/>
      <c r="BB143" s="104"/>
      <c r="BC143" s="104"/>
      <c r="BD143" s="104"/>
      <c r="BE143" s="104"/>
      <c r="BF143" s="104"/>
      <c r="BG143" s="104"/>
      <c r="BH143" s="104"/>
      <c r="BI143" s="104"/>
      <c r="BJ143" s="104"/>
      <c r="BK143" s="104"/>
      <c r="BL143" s="104"/>
      <c r="BM143" s="104"/>
      <c r="BN143" s="104"/>
      <c r="BO143" s="104"/>
      <c r="BP143" s="104"/>
      <c r="BQ143" s="104"/>
      <c r="BR143" s="104"/>
      <c r="BS143" s="104"/>
      <c r="BT143" s="104"/>
      <c r="BU143" s="104"/>
      <c r="BV143" s="104"/>
      <c r="BW143" s="104"/>
      <c r="BX143" s="104"/>
      <c r="BY143" s="104"/>
      <c r="BZ143" s="104"/>
      <c r="CA143" s="104"/>
      <c r="CB143" s="104"/>
      <c r="CC143" s="104"/>
      <c r="CD143" s="104"/>
      <c r="CE143" s="104"/>
      <c r="CF143" s="104"/>
      <c r="CG143" s="104"/>
      <c r="CH143" s="104"/>
    </row>
    <row r="144" spans="1:86" s="199" customFormat="1" ht="17.649999999999999" customHeight="1" x14ac:dyDescent="0.25">
      <c r="A144" s="104"/>
      <c r="B144" s="105"/>
      <c r="C144" s="104"/>
      <c r="D144" s="105"/>
      <c r="E144" s="197"/>
      <c r="F144" s="105"/>
      <c r="G144" s="105"/>
      <c r="H144" s="105"/>
      <c r="I144" s="105"/>
      <c r="J144" s="105"/>
      <c r="K144" s="105"/>
      <c r="L144" s="105"/>
      <c r="M144" s="105"/>
      <c r="N144" s="105"/>
      <c r="O144" s="105"/>
      <c r="P144" s="105"/>
      <c r="Q144" s="105"/>
      <c r="R144" s="105"/>
      <c r="S144" s="105"/>
      <c r="T144" s="105"/>
      <c r="U144" s="105"/>
      <c r="V144" s="105"/>
      <c r="W144" s="104"/>
      <c r="X144" s="213"/>
      <c r="Y144" s="105"/>
      <c r="Z144" s="104"/>
      <c r="AA144" s="104"/>
      <c r="AB144" s="105"/>
      <c r="AC144" s="104"/>
      <c r="AD144" s="104"/>
      <c r="AE144" s="104"/>
      <c r="AF144" s="104"/>
    </row>
    <row r="145" spans="1:86" x14ac:dyDescent="0.2">
      <c r="A145" s="104"/>
      <c r="B145" s="105"/>
      <c r="C145" s="104"/>
      <c r="D145" s="105"/>
      <c r="E145" s="197"/>
      <c r="F145" s="105"/>
      <c r="G145" s="105"/>
      <c r="H145" s="105"/>
      <c r="I145" s="105"/>
      <c r="J145" s="105"/>
      <c r="K145" s="105"/>
      <c r="L145" s="105"/>
      <c r="M145" s="105"/>
      <c r="N145" s="105"/>
      <c r="O145" s="105"/>
      <c r="P145" s="105"/>
      <c r="Q145" s="105"/>
      <c r="R145" s="105"/>
      <c r="S145" s="105"/>
      <c r="T145" s="105"/>
      <c r="U145" s="105"/>
      <c r="V145" s="105"/>
      <c r="W145" s="104"/>
      <c r="X145" s="213"/>
      <c r="Y145" s="105"/>
      <c r="Z145" s="104"/>
      <c r="AA145" s="104"/>
      <c r="AB145" s="105"/>
      <c r="AC145" s="104"/>
      <c r="AD145" s="104"/>
      <c r="AE145" s="104"/>
      <c r="AF145" s="104"/>
      <c r="AG145" s="104"/>
      <c r="AH145" s="104"/>
      <c r="AI145" s="104"/>
      <c r="AJ145" s="104"/>
      <c r="AK145" s="104"/>
      <c r="AL145" s="104"/>
      <c r="AM145" s="104"/>
      <c r="AN145" s="104"/>
      <c r="AO145" s="104"/>
      <c r="AP145" s="104"/>
      <c r="AQ145" s="104"/>
      <c r="AR145" s="104"/>
      <c r="AS145" s="104"/>
      <c r="AT145" s="104"/>
      <c r="AU145" s="104"/>
      <c r="AV145" s="104"/>
      <c r="AW145" s="104"/>
      <c r="AX145" s="104"/>
      <c r="AY145" s="104"/>
      <c r="AZ145" s="104"/>
      <c r="BA145" s="104"/>
      <c r="BB145" s="104"/>
      <c r="BC145" s="104"/>
      <c r="BD145" s="104"/>
      <c r="BE145" s="104"/>
      <c r="BF145" s="104"/>
      <c r="BG145" s="104"/>
      <c r="BH145" s="104"/>
      <c r="BI145" s="104"/>
      <c r="BJ145" s="104"/>
      <c r="BK145" s="104"/>
      <c r="BL145" s="104"/>
      <c r="BM145" s="104"/>
      <c r="BN145" s="104"/>
      <c r="BO145" s="104"/>
      <c r="BP145" s="104"/>
      <c r="BQ145" s="104"/>
      <c r="BR145" s="104"/>
      <c r="BS145" s="104"/>
      <c r="BT145" s="104"/>
      <c r="BU145" s="104"/>
      <c r="BV145" s="104"/>
      <c r="BW145" s="104"/>
      <c r="BX145" s="104"/>
      <c r="BY145" s="104"/>
      <c r="BZ145" s="104"/>
      <c r="CA145" s="104"/>
      <c r="CB145" s="104"/>
      <c r="CC145" s="104"/>
      <c r="CD145" s="104"/>
      <c r="CE145" s="104"/>
      <c r="CF145" s="104"/>
      <c r="CG145" s="104"/>
      <c r="CH145" s="104"/>
    </row>
    <row r="146" spans="1:86" x14ac:dyDescent="0.2">
      <c r="A146" s="104"/>
      <c r="B146" s="105"/>
      <c r="C146" s="104"/>
      <c r="D146" s="105"/>
      <c r="E146" s="197"/>
      <c r="F146" s="105"/>
      <c r="G146" s="105"/>
      <c r="H146" s="105"/>
      <c r="I146" s="105"/>
      <c r="J146" s="105"/>
      <c r="K146" s="105"/>
      <c r="L146" s="105"/>
      <c r="M146" s="105"/>
      <c r="N146" s="105"/>
      <c r="O146" s="105"/>
      <c r="P146" s="105"/>
      <c r="Q146" s="105"/>
      <c r="R146" s="105"/>
      <c r="S146" s="105"/>
      <c r="T146" s="105"/>
      <c r="U146" s="105"/>
      <c r="V146" s="105"/>
      <c r="W146" s="104"/>
      <c r="X146" s="213"/>
      <c r="Y146" s="105"/>
      <c r="Z146" s="104"/>
      <c r="AA146" s="104"/>
      <c r="AB146" s="105"/>
      <c r="AC146" s="104"/>
      <c r="AD146" s="104"/>
      <c r="AE146" s="104"/>
      <c r="AF146" s="104"/>
      <c r="AG146" s="104"/>
      <c r="AH146" s="104"/>
      <c r="AI146" s="104"/>
      <c r="AJ146" s="104"/>
      <c r="AK146" s="104"/>
      <c r="AL146" s="104"/>
      <c r="AM146" s="104"/>
      <c r="AN146" s="104"/>
      <c r="AO146" s="104"/>
      <c r="AP146" s="104"/>
      <c r="AQ146" s="104"/>
      <c r="AR146" s="104"/>
      <c r="AS146" s="104"/>
      <c r="AT146" s="104"/>
      <c r="AU146" s="104"/>
      <c r="AV146" s="104"/>
      <c r="AW146" s="104"/>
      <c r="AX146" s="104"/>
      <c r="AY146" s="104"/>
      <c r="AZ146" s="104"/>
      <c r="BA146" s="104"/>
      <c r="BB146" s="104"/>
      <c r="BC146" s="104"/>
      <c r="BD146" s="104"/>
      <c r="BE146" s="104"/>
      <c r="BF146" s="104"/>
      <c r="BG146" s="104"/>
      <c r="BH146" s="104"/>
      <c r="BI146" s="104"/>
      <c r="BJ146" s="104"/>
      <c r="BK146" s="104"/>
      <c r="BL146" s="104"/>
      <c r="BM146" s="104"/>
      <c r="BN146" s="104"/>
      <c r="BO146" s="104"/>
      <c r="BP146" s="104"/>
      <c r="BQ146" s="104"/>
      <c r="BR146" s="104"/>
      <c r="BS146" s="104"/>
      <c r="BT146" s="104"/>
      <c r="BU146" s="104"/>
      <c r="BV146" s="104"/>
      <c r="BW146" s="104"/>
      <c r="BX146" s="104"/>
      <c r="BY146" s="104"/>
      <c r="BZ146" s="104"/>
      <c r="CA146" s="104"/>
      <c r="CB146" s="104"/>
      <c r="CC146" s="104"/>
      <c r="CD146" s="104"/>
      <c r="CE146" s="104"/>
      <c r="CF146" s="104"/>
      <c r="CG146" s="104"/>
      <c r="CH146" s="104"/>
    </row>
    <row r="147" spans="1:86" x14ac:dyDescent="0.2">
      <c r="A147" s="104"/>
      <c r="B147" s="105"/>
      <c r="C147" s="104"/>
      <c r="D147" s="105"/>
      <c r="E147" s="197"/>
      <c r="F147" s="105"/>
      <c r="G147" s="105"/>
      <c r="H147" s="105"/>
      <c r="I147" s="105"/>
      <c r="J147" s="105"/>
      <c r="K147" s="105"/>
      <c r="L147" s="105"/>
      <c r="M147" s="105"/>
      <c r="N147" s="105"/>
      <c r="O147" s="105"/>
      <c r="P147" s="105"/>
      <c r="Q147" s="105"/>
      <c r="R147" s="105"/>
      <c r="S147" s="105"/>
      <c r="T147" s="105"/>
      <c r="U147" s="105"/>
      <c r="V147" s="105"/>
      <c r="W147" s="104"/>
      <c r="X147" s="213"/>
      <c r="Y147" s="105"/>
      <c r="Z147" s="104"/>
      <c r="AA147" s="104"/>
      <c r="AB147" s="105"/>
      <c r="AC147" s="104"/>
      <c r="AD147" s="104"/>
      <c r="AE147" s="104"/>
      <c r="AF147" s="104"/>
      <c r="AG147" s="104"/>
      <c r="AH147" s="104"/>
      <c r="AI147" s="104"/>
      <c r="AJ147" s="104"/>
      <c r="AK147" s="104"/>
      <c r="AL147" s="104"/>
      <c r="AM147" s="104"/>
      <c r="AN147" s="104"/>
      <c r="AO147" s="104"/>
      <c r="AP147" s="104"/>
      <c r="AQ147" s="104"/>
      <c r="AR147" s="104"/>
      <c r="AS147" s="104"/>
      <c r="AT147" s="104"/>
      <c r="AU147" s="104"/>
      <c r="AV147" s="104"/>
      <c r="AW147" s="104"/>
      <c r="AX147" s="104"/>
      <c r="AY147" s="104"/>
      <c r="AZ147" s="104"/>
      <c r="BA147" s="104"/>
      <c r="BB147" s="104"/>
      <c r="BC147" s="104"/>
      <c r="BD147" s="104"/>
      <c r="BE147" s="104"/>
      <c r="BF147" s="104"/>
      <c r="BG147" s="104"/>
      <c r="BH147" s="104"/>
      <c r="BI147" s="104"/>
      <c r="BJ147" s="104"/>
      <c r="BK147" s="104"/>
      <c r="BL147" s="104"/>
      <c r="BM147" s="104"/>
      <c r="BN147" s="104"/>
      <c r="BO147" s="104"/>
      <c r="BP147" s="104"/>
      <c r="BQ147" s="104"/>
      <c r="BR147" s="104"/>
      <c r="BS147" s="104"/>
      <c r="BT147" s="104"/>
      <c r="BU147" s="104"/>
      <c r="BV147" s="104"/>
      <c r="BW147" s="104"/>
      <c r="BX147" s="104"/>
      <c r="BY147" s="104"/>
      <c r="BZ147" s="104"/>
      <c r="CA147" s="104"/>
      <c r="CB147" s="104"/>
      <c r="CC147" s="104"/>
      <c r="CD147" s="104"/>
      <c r="CE147" s="104"/>
      <c r="CF147" s="104"/>
      <c r="CG147" s="104"/>
      <c r="CH147" s="104"/>
    </row>
    <row r="148" spans="1:86" x14ac:dyDescent="0.2">
      <c r="A148" s="104"/>
      <c r="B148" s="105"/>
      <c r="C148" s="104"/>
      <c r="D148" s="105"/>
      <c r="E148" s="197"/>
      <c r="F148" s="105"/>
      <c r="G148" s="105"/>
      <c r="H148" s="105"/>
      <c r="I148" s="105"/>
      <c r="J148" s="105"/>
      <c r="K148" s="105"/>
      <c r="L148" s="105"/>
      <c r="M148" s="105"/>
      <c r="N148" s="105"/>
      <c r="O148" s="105"/>
      <c r="P148" s="105"/>
      <c r="Q148" s="105"/>
      <c r="R148" s="105"/>
      <c r="S148" s="105"/>
      <c r="T148" s="105"/>
      <c r="U148" s="105"/>
      <c r="V148" s="105"/>
      <c r="W148" s="104"/>
      <c r="X148" s="213"/>
      <c r="Y148" s="105"/>
      <c r="Z148" s="104"/>
      <c r="AA148" s="104"/>
      <c r="AB148" s="105"/>
      <c r="AC148" s="104"/>
      <c r="AD148" s="104"/>
      <c r="AE148" s="104"/>
      <c r="AF148" s="104"/>
      <c r="AG148" s="104"/>
      <c r="AH148" s="104"/>
      <c r="AI148" s="104"/>
      <c r="AJ148" s="104"/>
      <c r="AK148" s="104"/>
      <c r="AL148" s="104"/>
      <c r="AM148" s="104"/>
      <c r="AN148" s="104"/>
      <c r="AO148" s="104"/>
      <c r="AP148" s="104"/>
      <c r="AQ148" s="104"/>
      <c r="AR148" s="104"/>
      <c r="AS148" s="104"/>
      <c r="AT148" s="104"/>
      <c r="AU148" s="104"/>
      <c r="AV148" s="104"/>
      <c r="AW148" s="104"/>
      <c r="AX148" s="104"/>
      <c r="AY148" s="104"/>
      <c r="AZ148" s="104"/>
      <c r="BA148" s="104"/>
      <c r="BB148" s="104"/>
      <c r="BC148" s="104"/>
      <c r="BD148" s="104"/>
      <c r="BE148" s="104"/>
      <c r="BF148" s="104"/>
      <c r="BG148" s="104"/>
      <c r="BH148" s="104"/>
      <c r="BI148" s="104"/>
      <c r="BJ148" s="104"/>
      <c r="BK148" s="104"/>
      <c r="BL148" s="104"/>
      <c r="BM148" s="104"/>
      <c r="BN148" s="104"/>
      <c r="BO148" s="104"/>
      <c r="BP148" s="104"/>
      <c r="BQ148" s="104"/>
      <c r="BR148" s="104"/>
      <c r="BS148" s="104"/>
      <c r="BT148" s="104"/>
      <c r="BU148" s="104"/>
      <c r="BV148" s="104"/>
      <c r="BW148" s="104"/>
      <c r="BX148" s="104"/>
      <c r="BY148" s="104"/>
      <c r="BZ148" s="104"/>
      <c r="CA148" s="104"/>
      <c r="CB148" s="104"/>
      <c r="CC148" s="104"/>
      <c r="CD148" s="104"/>
      <c r="CE148" s="104"/>
      <c r="CF148" s="104"/>
      <c r="CG148" s="104"/>
      <c r="CH148" s="104"/>
    </row>
    <row r="149" spans="1:86" x14ac:dyDescent="0.2">
      <c r="A149" s="104"/>
      <c r="B149" s="105"/>
      <c r="C149" s="104"/>
      <c r="D149" s="105"/>
      <c r="E149" s="197"/>
      <c r="F149" s="105"/>
      <c r="G149" s="105"/>
      <c r="H149" s="105"/>
      <c r="I149" s="105"/>
      <c r="J149" s="105"/>
      <c r="K149" s="105"/>
      <c r="L149" s="105"/>
      <c r="M149" s="105"/>
      <c r="N149" s="105"/>
      <c r="O149" s="105"/>
      <c r="P149" s="105"/>
      <c r="Q149" s="105"/>
      <c r="R149" s="105"/>
      <c r="S149" s="105"/>
      <c r="T149" s="105"/>
      <c r="U149" s="105"/>
      <c r="V149" s="105"/>
      <c r="W149" s="104"/>
      <c r="X149" s="213"/>
      <c r="Y149" s="105"/>
      <c r="Z149" s="105"/>
      <c r="AA149" s="104"/>
      <c r="AB149" s="105"/>
      <c r="AC149" s="104"/>
      <c r="AD149" s="104"/>
      <c r="AE149" s="104"/>
      <c r="AF149" s="104"/>
      <c r="AG149" s="104"/>
      <c r="AH149" s="104"/>
      <c r="AI149" s="104"/>
      <c r="AJ149" s="104"/>
      <c r="AK149" s="104"/>
      <c r="AL149" s="104"/>
      <c r="AM149" s="104"/>
      <c r="AN149" s="104"/>
      <c r="AO149" s="104"/>
      <c r="AP149" s="104"/>
      <c r="AQ149" s="104"/>
      <c r="AR149" s="104"/>
      <c r="AS149" s="104"/>
      <c r="AT149" s="104"/>
      <c r="AU149" s="104"/>
      <c r="AV149" s="104"/>
      <c r="AW149" s="104"/>
      <c r="AX149" s="104"/>
      <c r="AY149" s="104"/>
      <c r="AZ149" s="104"/>
      <c r="BA149" s="104"/>
      <c r="BB149" s="104"/>
      <c r="BC149" s="104"/>
      <c r="BD149" s="104"/>
      <c r="BE149" s="104"/>
      <c r="BF149" s="104"/>
      <c r="BG149" s="104"/>
      <c r="BH149" s="104"/>
      <c r="BI149" s="104"/>
      <c r="BJ149" s="104"/>
      <c r="BK149" s="104"/>
      <c r="BL149" s="104"/>
      <c r="BM149" s="104"/>
      <c r="BN149" s="104"/>
      <c r="BO149" s="104"/>
      <c r="BP149" s="104"/>
      <c r="BQ149" s="104"/>
      <c r="BR149" s="104"/>
      <c r="BS149" s="104"/>
      <c r="BT149" s="104"/>
      <c r="BU149" s="104"/>
      <c r="BV149" s="104"/>
      <c r="BW149" s="104"/>
      <c r="BX149" s="104"/>
      <c r="BY149" s="104"/>
      <c r="BZ149" s="104"/>
      <c r="CA149" s="104"/>
      <c r="CB149" s="104"/>
      <c r="CC149" s="104"/>
      <c r="CD149" s="104"/>
      <c r="CE149" s="104"/>
      <c r="CF149" s="104"/>
      <c r="CG149" s="104"/>
      <c r="CH149" s="104"/>
    </row>
    <row r="150" spans="1:86" x14ac:dyDescent="0.2">
      <c r="A150" s="104"/>
      <c r="B150" s="105"/>
      <c r="C150" s="104"/>
      <c r="D150" s="105"/>
      <c r="E150" s="197"/>
      <c r="F150" s="105"/>
      <c r="G150" s="105"/>
      <c r="H150" s="105"/>
      <c r="I150" s="105"/>
      <c r="J150" s="105"/>
      <c r="K150" s="105"/>
      <c r="L150" s="105"/>
      <c r="M150" s="105"/>
      <c r="N150" s="105"/>
      <c r="O150" s="105"/>
      <c r="P150" s="105"/>
      <c r="Q150" s="105"/>
      <c r="R150" s="105"/>
      <c r="S150" s="105"/>
      <c r="T150" s="105"/>
      <c r="U150" s="105"/>
      <c r="V150" s="105"/>
      <c r="W150" s="104"/>
      <c r="X150" s="213"/>
      <c r="Y150" s="105"/>
      <c r="Z150" s="105"/>
      <c r="AA150" s="104"/>
      <c r="AB150" s="105"/>
      <c r="AC150" s="104"/>
      <c r="AD150" s="104"/>
      <c r="AE150" s="104"/>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104"/>
      <c r="BZ150" s="104"/>
      <c r="CA150" s="104"/>
      <c r="CB150" s="104"/>
      <c r="CC150" s="104"/>
      <c r="CD150" s="104"/>
      <c r="CE150" s="104"/>
      <c r="CF150" s="104"/>
      <c r="CG150" s="104"/>
      <c r="CH150" s="104"/>
    </row>
    <row r="151" spans="1:86" ht="18" x14ac:dyDescent="0.25">
      <c r="A151" s="104"/>
      <c r="B151" s="105"/>
      <c r="C151" s="104"/>
      <c r="D151" s="105"/>
      <c r="E151" s="197"/>
      <c r="F151" s="105"/>
      <c r="G151" s="105"/>
      <c r="H151" s="105"/>
      <c r="I151" s="105"/>
      <c r="J151" s="105"/>
      <c r="K151" s="105"/>
      <c r="L151" s="105"/>
      <c r="M151" s="105"/>
      <c r="N151" s="105"/>
      <c r="O151" s="105"/>
      <c r="P151" s="105"/>
      <c r="Q151" s="105"/>
      <c r="R151" s="105"/>
      <c r="S151" s="105"/>
      <c r="T151" s="105"/>
      <c r="U151" s="105"/>
      <c r="V151" s="105"/>
      <c r="W151" s="104"/>
      <c r="X151" s="213"/>
      <c r="Y151" s="105"/>
      <c r="Z151" s="105"/>
      <c r="AA151" s="104"/>
      <c r="AB151" s="199"/>
      <c r="AC151" s="199"/>
      <c r="AD151" s="199"/>
      <c r="AE151" s="199"/>
      <c r="AF151" s="199"/>
      <c r="AG151" s="104"/>
      <c r="AH151" s="104"/>
      <c r="AI151" s="104"/>
      <c r="AJ151" s="104"/>
      <c r="AK151" s="104"/>
      <c r="AL151" s="104"/>
      <c r="AM151" s="104"/>
      <c r="AN151" s="104"/>
      <c r="AO151" s="104"/>
      <c r="AP151" s="104"/>
      <c r="AQ151" s="104"/>
      <c r="AR151" s="104"/>
      <c r="AS151" s="104"/>
      <c r="AT151" s="104"/>
      <c r="AU151" s="104"/>
      <c r="AV151" s="104"/>
      <c r="AW151" s="104"/>
      <c r="AX151" s="104"/>
      <c r="AY151" s="104"/>
      <c r="AZ151" s="104"/>
      <c r="BA151" s="104"/>
      <c r="BB151" s="104"/>
      <c r="BC151" s="104"/>
      <c r="BD151" s="104"/>
      <c r="BE151" s="104"/>
      <c r="BF151" s="104"/>
      <c r="BG151" s="104"/>
      <c r="BH151" s="104"/>
      <c r="BI151" s="104"/>
      <c r="BJ151" s="104"/>
      <c r="BK151" s="104"/>
      <c r="BL151" s="104"/>
      <c r="BM151" s="104"/>
      <c r="BN151" s="104"/>
      <c r="BO151" s="104"/>
      <c r="BP151" s="104"/>
      <c r="BQ151" s="104"/>
      <c r="BR151" s="104"/>
      <c r="BS151" s="104"/>
      <c r="BT151" s="104"/>
      <c r="BU151" s="104"/>
      <c r="BV151" s="104"/>
      <c r="BW151" s="104"/>
      <c r="BX151" s="104"/>
      <c r="BY151" s="104"/>
      <c r="BZ151" s="104"/>
      <c r="CA151" s="104"/>
      <c r="CB151" s="104"/>
      <c r="CC151" s="104"/>
      <c r="CD151" s="104"/>
      <c r="CE151" s="104"/>
      <c r="CF151" s="104"/>
      <c r="CG151" s="104"/>
      <c r="CH151" s="104"/>
    </row>
    <row r="152" spans="1:86" x14ac:dyDescent="0.2">
      <c r="A152" s="104"/>
      <c r="B152" s="105"/>
      <c r="C152" s="104"/>
      <c r="D152" s="105"/>
      <c r="E152" s="197"/>
      <c r="F152" s="105"/>
      <c r="G152" s="105"/>
      <c r="H152" s="105"/>
      <c r="I152" s="105"/>
      <c r="J152" s="105"/>
      <c r="K152" s="105"/>
      <c r="L152" s="105"/>
      <c r="M152" s="105"/>
      <c r="N152" s="105"/>
      <c r="O152" s="105"/>
      <c r="P152" s="105"/>
      <c r="Q152" s="105"/>
      <c r="R152" s="105"/>
      <c r="S152" s="105"/>
      <c r="T152" s="105"/>
      <c r="U152" s="105"/>
      <c r="V152" s="105"/>
      <c r="W152" s="104"/>
      <c r="X152" s="213"/>
      <c r="Y152" s="105"/>
      <c r="Z152" s="105"/>
      <c r="AA152" s="104"/>
      <c r="AB152" s="105"/>
      <c r="AC152" s="104"/>
      <c r="AD152" s="104"/>
      <c r="AE152" s="104"/>
      <c r="AF152" s="104"/>
      <c r="AG152" s="104"/>
      <c r="AH152" s="104"/>
      <c r="AI152" s="104"/>
      <c r="AJ152" s="104"/>
      <c r="AK152" s="104"/>
      <c r="AL152" s="104"/>
      <c r="AM152" s="104"/>
      <c r="AN152" s="104"/>
      <c r="AO152" s="104"/>
      <c r="AP152" s="104"/>
      <c r="AQ152" s="104"/>
      <c r="AR152" s="104"/>
      <c r="AS152" s="104"/>
      <c r="AT152" s="104"/>
      <c r="AU152" s="104"/>
      <c r="AV152" s="104"/>
      <c r="AW152" s="104"/>
      <c r="AX152" s="104"/>
      <c r="AY152" s="104"/>
      <c r="AZ152" s="104"/>
      <c r="BA152" s="104"/>
      <c r="BB152" s="104"/>
      <c r="BC152" s="104"/>
      <c r="BD152" s="104"/>
      <c r="BE152" s="104"/>
      <c r="BF152" s="104"/>
      <c r="BG152" s="104"/>
      <c r="BH152" s="104"/>
      <c r="BI152" s="104"/>
      <c r="BJ152" s="104"/>
      <c r="BK152" s="104"/>
      <c r="BL152" s="104"/>
      <c r="BM152" s="104"/>
      <c r="BN152" s="104"/>
      <c r="BO152" s="104"/>
      <c r="BP152" s="104"/>
      <c r="BQ152" s="104"/>
      <c r="BR152" s="104"/>
      <c r="BS152" s="104"/>
      <c r="BT152" s="104"/>
      <c r="BU152" s="104"/>
      <c r="BV152" s="104"/>
      <c r="BW152" s="104"/>
      <c r="BX152" s="104"/>
      <c r="BY152" s="104"/>
      <c r="BZ152" s="104"/>
      <c r="CA152" s="104"/>
      <c r="CB152" s="104"/>
      <c r="CC152" s="104"/>
      <c r="CD152" s="104"/>
      <c r="CE152" s="104"/>
      <c r="CF152" s="104"/>
      <c r="CG152" s="104"/>
      <c r="CH152" s="104"/>
    </row>
    <row r="153" spans="1:86" x14ac:dyDescent="0.2">
      <c r="A153" s="104"/>
      <c r="B153" s="105"/>
      <c r="C153" s="104"/>
      <c r="D153" s="105"/>
      <c r="E153" s="197"/>
      <c r="F153" s="105"/>
      <c r="G153" s="105"/>
      <c r="H153" s="105"/>
      <c r="I153" s="105"/>
      <c r="J153" s="105"/>
      <c r="K153" s="105"/>
      <c r="L153" s="105"/>
      <c r="M153" s="105"/>
      <c r="N153" s="105"/>
      <c r="O153" s="105"/>
      <c r="P153" s="105"/>
      <c r="Q153" s="105"/>
      <c r="R153" s="105"/>
      <c r="S153" s="105"/>
      <c r="T153" s="105"/>
      <c r="U153" s="105"/>
      <c r="V153" s="105"/>
      <c r="W153" s="104"/>
      <c r="X153" s="213"/>
      <c r="Y153" s="105"/>
      <c r="Z153" s="105"/>
      <c r="AA153" s="104"/>
      <c r="AB153" s="105"/>
      <c r="AC153" s="104"/>
      <c r="AD153" s="104"/>
      <c r="AE153" s="104"/>
      <c r="AF153" s="104"/>
      <c r="AG153" s="104"/>
      <c r="AH153" s="104"/>
      <c r="AI153" s="104"/>
      <c r="AJ153" s="104"/>
      <c r="AK153" s="104"/>
      <c r="AL153" s="104"/>
      <c r="AM153" s="104"/>
      <c r="AN153" s="104"/>
      <c r="AO153" s="104"/>
      <c r="AP153" s="104"/>
      <c r="AQ153" s="104"/>
      <c r="AR153" s="104"/>
      <c r="AS153" s="104"/>
      <c r="AT153" s="104"/>
      <c r="AU153" s="104"/>
      <c r="AV153" s="104"/>
      <c r="AW153" s="104"/>
      <c r="AX153" s="104"/>
      <c r="AY153" s="104"/>
      <c r="AZ153" s="104"/>
      <c r="BA153" s="104"/>
      <c r="BB153" s="104"/>
      <c r="BC153" s="104"/>
      <c r="BD153" s="104"/>
      <c r="BE153" s="104"/>
      <c r="BF153" s="104"/>
      <c r="BG153" s="104"/>
      <c r="BH153" s="104"/>
      <c r="BI153" s="104"/>
      <c r="BJ153" s="104"/>
      <c r="BK153" s="104"/>
      <c r="BL153" s="104"/>
      <c r="BM153" s="104"/>
      <c r="BN153" s="104"/>
      <c r="BO153" s="104"/>
      <c r="BP153" s="104"/>
      <c r="BQ153" s="104"/>
      <c r="BR153" s="104"/>
      <c r="BS153" s="104"/>
      <c r="BT153" s="104"/>
      <c r="BU153" s="104"/>
      <c r="BV153" s="104"/>
      <c r="BW153" s="104"/>
      <c r="BX153" s="104"/>
      <c r="BY153" s="104"/>
      <c r="BZ153" s="104"/>
      <c r="CA153" s="104"/>
      <c r="CB153" s="104"/>
      <c r="CC153" s="104"/>
      <c r="CD153" s="104"/>
      <c r="CE153" s="104"/>
      <c r="CF153" s="104"/>
      <c r="CG153" s="104"/>
      <c r="CH153" s="104"/>
    </row>
    <row r="154" spans="1:86" x14ac:dyDescent="0.2">
      <c r="A154" s="104"/>
      <c r="B154" s="105"/>
      <c r="C154" s="104"/>
      <c r="D154" s="105"/>
      <c r="E154" s="197"/>
      <c r="F154" s="105"/>
      <c r="G154" s="105"/>
      <c r="H154" s="105"/>
      <c r="I154" s="105"/>
      <c r="J154" s="105"/>
      <c r="K154" s="105"/>
      <c r="L154" s="105"/>
      <c r="M154" s="105"/>
      <c r="N154" s="105"/>
      <c r="O154" s="105"/>
      <c r="P154" s="105"/>
      <c r="Q154" s="105"/>
      <c r="R154" s="105"/>
      <c r="S154" s="105"/>
      <c r="T154" s="105"/>
      <c r="U154" s="105"/>
      <c r="V154" s="105"/>
      <c r="W154" s="104"/>
      <c r="X154" s="213"/>
      <c r="Y154" s="105"/>
      <c r="Z154" s="104"/>
      <c r="AA154" s="104"/>
      <c r="AB154" s="105"/>
      <c r="AC154" s="104"/>
      <c r="AD154" s="104"/>
      <c r="AE154" s="104"/>
      <c r="AF154" s="104"/>
      <c r="AG154" s="104"/>
      <c r="AH154" s="104"/>
      <c r="AI154" s="104"/>
      <c r="AJ154" s="104"/>
      <c r="AK154" s="104"/>
      <c r="AL154" s="104"/>
      <c r="AM154" s="104"/>
      <c r="AN154" s="104"/>
      <c r="AO154" s="104"/>
      <c r="AP154" s="104"/>
      <c r="AQ154" s="104"/>
      <c r="AR154" s="104"/>
      <c r="AS154" s="104"/>
      <c r="AT154" s="104"/>
      <c r="AU154" s="104"/>
      <c r="AV154" s="104"/>
      <c r="AW154" s="104"/>
      <c r="AX154" s="104"/>
      <c r="AY154" s="104"/>
      <c r="AZ154" s="104"/>
      <c r="BA154" s="104"/>
      <c r="BB154" s="104"/>
      <c r="BC154" s="104"/>
      <c r="BD154" s="104"/>
      <c r="BE154" s="104"/>
      <c r="BF154" s="104"/>
      <c r="BG154" s="104"/>
      <c r="BH154" s="104"/>
      <c r="BI154" s="104"/>
      <c r="BJ154" s="104"/>
      <c r="BK154" s="104"/>
      <c r="BL154" s="104"/>
      <c r="BM154" s="104"/>
      <c r="BN154" s="104"/>
      <c r="BO154" s="104"/>
      <c r="BP154" s="104"/>
      <c r="BQ154" s="104"/>
      <c r="BR154" s="104"/>
      <c r="BS154" s="104"/>
      <c r="BT154" s="104"/>
      <c r="BU154" s="104"/>
      <c r="BV154" s="104"/>
      <c r="BW154" s="104"/>
      <c r="BX154" s="104"/>
      <c r="BY154" s="104"/>
      <c r="BZ154" s="104"/>
      <c r="CA154" s="104"/>
      <c r="CB154" s="104"/>
      <c r="CC154" s="104"/>
      <c r="CD154" s="104"/>
      <c r="CE154" s="104"/>
      <c r="CF154" s="104"/>
      <c r="CG154" s="104"/>
      <c r="CH154" s="104"/>
    </row>
    <row r="155" spans="1:86" ht="18" x14ac:dyDescent="0.25">
      <c r="A155" s="104"/>
      <c r="B155" s="105"/>
      <c r="C155" s="104"/>
      <c r="D155" s="105"/>
      <c r="E155" s="197"/>
      <c r="F155" s="105"/>
      <c r="G155" s="105"/>
      <c r="H155" s="105"/>
      <c r="I155" s="105"/>
      <c r="J155" s="105"/>
      <c r="K155" s="105"/>
      <c r="L155" s="105"/>
      <c r="M155" s="105"/>
      <c r="N155" s="105"/>
      <c r="O155" s="105"/>
      <c r="P155" s="105"/>
      <c r="Q155" s="105"/>
      <c r="R155" s="105"/>
      <c r="S155" s="105"/>
      <c r="T155" s="105"/>
      <c r="U155" s="105"/>
      <c r="V155" s="105"/>
      <c r="W155" s="104"/>
      <c r="X155" s="213"/>
      <c r="Y155" s="200"/>
      <c r="Z155" s="199"/>
      <c r="AA155" s="104"/>
      <c r="AB155" s="105"/>
      <c r="AC155" s="104"/>
      <c r="AD155" s="104"/>
      <c r="AE155" s="104"/>
      <c r="AF155" s="104"/>
      <c r="AG155" s="104"/>
      <c r="AH155" s="104"/>
      <c r="AI155" s="104"/>
      <c r="AJ155" s="104"/>
      <c r="AK155" s="104"/>
      <c r="AL155" s="104"/>
      <c r="AM155" s="104"/>
      <c r="AN155" s="104"/>
      <c r="AO155" s="104"/>
      <c r="AP155" s="104"/>
      <c r="AQ155" s="104"/>
      <c r="AR155" s="104"/>
      <c r="AS155" s="104"/>
      <c r="AT155" s="104"/>
      <c r="AU155" s="104"/>
      <c r="AV155" s="104"/>
      <c r="AW155" s="104"/>
      <c r="AX155" s="104"/>
      <c r="AY155" s="104"/>
      <c r="AZ155" s="104"/>
      <c r="BA155" s="104"/>
      <c r="BB155" s="104"/>
      <c r="BC155" s="104"/>
      <c r="BD155" s="104"/>
      <c r="BE155" s="104"/>
      <c r="BF155" s="104"/>
      <c r="BG155" s="104"/>
      <c r="BH155" s="104"/>
      <c r="BI155" s="104"/>
      <c r="BJ155" s="104"/>
      <c r="BK155" s="104"/>
      <c r="BL155" s="104"/>
      <c r="BM155" s="104"/>
      <c r="BN155" s="104"/>
      <c r="BO155" s="104"/>
      <c r="BP155" s="104"/>
      <c r="BQ155" s="104"/>
      <c r="BR155" s="104"/>
      <c r="BS155" s="104"/>
      <c r="BT155" s="104"/>
      <c r="BU155" s="104"/>
      <c r="BV155" s="104"/>
      <c r="BW155" s="104"/>
      <c r="BX155" s="104"/>
      <c r="BY155" s="104"/>
      <c r="BZ155" s="104"/>
      <c r="CA155" s="104"/>
      <c r="CB155" s="104"/>
      <c r="CC155" s="104"/>
      <c r="CD155" s="104"/>
      <c r="CE155" s="104"/>
      <c r="CF155" s="104"/>
      <c r="CG155" s="104"/>
      <c r="CH155" s="104"/>
    </row>
    <row r="156" spans="1:86" x14ac:dyDescent="0.2">
      <c r="A156" s="104"/>
      <c r="B156" s="105"/>
      <c r="C156" s="104"/>
      <c r="D156" s="105"/>
      <c r="E156" s="197"/>
      <c r="F156" s="105"/>
      <c r="G156" s="105"/>
      <c r="H156" s="105"/>
      <c r="I156" s="105"/>
      <c r="J156" s="105"/>
      <c r="K156" s="105"/>
      <c r="L156" s="105"/>
      <c r="M156" s="105"/>
      <c r="N156" s="105"/>
      <c r="O156" s="105"/>
      <c r="P156" s="105"/>
      <c r="Q156" s="105"/>
      <c r="R156" s="105"/>
      <c r="S156" s="105"/>
      <c r="T156" s="105"/>
      <c r="U156" s="105"/>
      <c r="V156" s="105"/>
      <c r="W156" s="104"/>
      <c r="X156" s="213"/>
      <c r="Y156" s="105"/>
      <c r="Z156" s="104"/>
      <c r="AA156" s="104"/>
      <c r="AB156" s="105"/>
      <c r="AC156" s="104"/>
      <c r="AD156" s="104"/>
      <c r="AE156" s="104"/>
      <c r="AF156" s="104"/>
      <c r="AG156" s="104"/>
      <c r="AH156" s="104"/>
      <c r="AI156" s="104"/>
      <c r="AJ156" s="104"/>
      <c r="AK156" s="104"/>
      <c r="AL156" s="104"/>
      <c r="AM156" s="104"/>
      <c r="AN156" s="104"/>
      <c r="AO156" s="104"/>
      <c r="AP156" s="104"/>
      <c r="AQ156" s="104"/>
      <c r="AR156" s="104"/>
      <c r="AS156" s="104"/>
      <c r="AT156" s="104"/>
      <c r="AU156" s="104"/>
      <c r="AV156" s="104"/>
      <c r="AW156" s="104"/>
      <c r="AX156" s="104"/>
      <c r="AY156" s="104"/>
      <c r="AZ156" s="104"/>
      <c r="BA156" s="104"/>
      <c r="BB156" s="104"/>
      <c r="BC156" s="104"/>
      <c r="BD156" s="104"/>
      <c r="BE156" s="104"/>
      <c r="BF156" s="104"/>
      <c r="BG156" s="104"/>
      <c r="BH156" s="104"/>
      <c r="BI156" s="104"/>
      <c r="BJ156" s="104"/>
      <c r="BK156" s="104"/>
      <c r="BL156" s="104"/>
      <c r="BM156" s="104"/>
      <c r="BN156" s="104"/>
      <c r="BO156" s="104"/>
      <c r="BP156" s="104"/>
      <c r="BQ156" s="104"/>
      <c r="BR156" s="104"/>
      <c r="BS156" s="104"/>
      <c r="BT156" s="104"/>
      <c r="BU156" s="104"/>
      <c r="BV156" s="104"/>
      <c r="BW156" s="104"/>
      <c r="BX156" s="104"/>
      <c r="BY156" s="104"/>
      <c r="BZ156" s="104"/>
      <c r="CA156" s="104"/>
      <c r="CB156" s="104"/>
      <c r="CC156" s="104"/>
      <c r="CD156" s="104"/>
      <c r="CE156" s="104"/>
      <c r="CF156" s="104"/>
      <c r="CG156" s="104"/>
      <c r="CH156" s="104"/>
    </row>
    <row r="157" spans="1:86" x14ac:dyDescent="0.2">
      <c r="A157" s="104"/>
      <c r="B157" s="105"/>
      <c r="C157" s="104"/>
      <c r="D157" s="105"/>
      <c r="E157" s="197"/>
      <c r="F157" s="105"/>
      <c r="G157" s="105"/>
      <c r="H157" s="105"/>
      <c r="I157" s="105"/>
      <c r="J157" s="105"/>
      <c r="K157" s="105"/>
      <c r="L157" s="105"/>
      <c r="M157" s="105"/>
      <c r="N157" s="105"/>
      <c r="O157" s="105"/>
      <c r="P157" s="105"/>
      <c r="Q157" s="105"/>
      <c r="R157" s="105"/>
      <c r="S157" s="105"/>
      <c r="T157" s="105"/>
      <c r="U157" s="105"/>
      <c r="V157" s="105"/>
      <c r="W157" s="104"/>
      <c r="X157" s="213"/>
      <c r="Y157" s="105"/>
      <c r="Z157" s="104"/>
      <c r="AA157" s="104"/>
      <c r="AB157" s="105"/>
      <c r="AC157" s="104"/>
      <c r="AD157" s="104"/>
      <c r="AE157" s="104"/>
      <c r="AF157" s="104"/>
      <c r="AG157" s="104"/>
      <c r="AH157" s="104"/>
      <c r="AI157" s="104"/>
      <c r="AJ157" s="104"/>
      <c r="AK157" s="104"/>
      <c r="AL157" s="104"/>
      <c r="AM157" s="104"/>
      <c r="AN157" s="104"/>
      <c r="AO157" s="104"/>
      <c r="AP157" s="104"/>
      <c r="AQ157" s="104"/>
      <c r="AR157" s="104"/>
      <c r="AS157" s="104"/>
      <c r="AT157" s="104"/>
      <c r="AU157" s="104"/>
      <c r="AV157" s="104"/>
      <c r="AW157" s="104"/>
      <c r="AX157" s="104"/>
      <c r="AY157" s="104"/>
      <c r="AZ157" s="104"/>
      <c r="BA157" s="104"/>
      <c r="BB157" s="104"/>
      <c r="BC157" s="104"/>
      <c r="BD157" s="104"/>
      <c r="BE157" s="104"/>
      <c r="BF157" s="104"/>
      <c r="BG157" s="104"/>
      <c r="BH157" s="104"/>
      <c r="BI157" s="104"/>
      <c r="BJ157" s="104"/>
      <c r="BK157" s="104"/>
      <c r="BL157" s="104"/>
      <c r="BM157" s="104"/>
      <c r="BN157" s="104"/>
      <c r="BO157" s="104"/>
      <c r="BP157" s="104"/>
      <c r="BQ157" s="104"/>
      <c r="BR157" s="104"/>
      <c r="BS157" s="104"/>
      <c r="BT157" s="104"/>
      <c r="BU157" s="104"/>
      <c r="BV157" s="104"/>
      <c r="BW157" s="104"/>
      <c r="BX157" s="104"/>
      <c r="BY157" s="104"/>
      <c r="BZ157" s="104"/>
      <c r="CA157" s="104"/>
      <c r="CB157" s="104"/>
      <c r="CC157" s="104"/>
      <c r="CD157" s="104"/>
      <c r="CE157" s="104"/>
      <c r="CF157" s="104"/>
      <c r="CG157" s="104"/>
      <c r="CH157" s="104"/>
    </row>
    <row r="158" spans="1:86" x14ac:dyDescent="0.2">
      <c r="A158" s="104"/>
      <c r="B158" s="105"/>
      <c r="C158" s="104"/>
      <c r="D158" s="105"/>
      <c r="E158" s="197"/>
      <c r="F158" s="105"/>
      <c r="G158" s="105"/>
      <c r="H158" s="105"/>
      <c r="I158" s="105"/>
      <c r="J158" s="105"/>
      <c r="K158" s="105"/>
      <c r="L158" s="105"/>
      <c r="M158" s="105"/>
      <c r="N158" s="105"/>
      <c r="O158" s="105"/>
      <c r="P158" s="105"/>
      <c r="Q158" s="105"/>
      <c r="R158" s="105"/>
      <c r="S158" s="105"/>
      <c r="T158" s="105"/>
      <c r="U158" s="105"/>
      <c r="V158" s="105"/>
      <c r="W158" s="104"/>
      <c r="X158" s="213"/>
      <c r="Y158" s="105"/>
      <c r="Z158" s="104"/>
      <c r="AA158" s="104"/>
      <c r="AB158" s="105"/>
      <c r="AC158" s="104"/>
      <c r="AD158" s="104"/>
      <c r="AE158" s="104"/>
      <c r="AF158" s="104"/>
      <c r="AG158" s="104"/>
      <c r="AH158" s="104"/>
      <c r="AI158" s="104"/>
      <c r="AJ158" s="104"/>
      <c r="AK158" s="104"/>
      <c r="AL158" s="104"/>
      <c r="AM158" s="104"/>
      <c r="AN158" s="104"/>
      <c r="AO158" s="104"/>
      <c r="AP158" s="104"/>
      <c r="AQ158" s="104"/>
      <c r="AR158" s="104"/>
      <c r="AS158" s="104"/>
      <c r="AT158" s="104"/>
      <c r="AU158" s="104"/>
      <c r="AV158" s="104"/>
      <c r="AW158" s="104"/>
      <c r="AX158" s="104"/>
      <c r="AY158" s="104"/>
      <c r="AZ158" s="104"/>
      <c r="BA158" s="104"/>
      <c r="BB158" s="104"/>
      <c r="BC158" s="104"/>
      <c r="BD158" s="104"/>
      <c r="BE158" s="104"/>
      <c r="BF158" s="104"/>
      <c r="BG158" s="104"/>
      <c r="BH158" s="104"/>
      <c r="BI158" s="104"/>
      <c r="BJ158" s="104"/>
      <c r="BK158" s="104"/>
      <c r="BL158" s="104"/>
      <c r="BM158" s="104"/>
      <c r="BN158" s="104"/>
      <c r="BO158" s="104"/>
      <c r="BP158" s="104"/>
      <c r="BQ158" s="104"/>
      <c r="BR158" s="104"/>
      <c r="BS158" s="104"/>
      <c r="BT158" s="104"/>
      <c r="BU158" s="104"/>
      <c r="BV158" s="104"/>
      <c r="BW158" s="104"/>
      <c r="BX158" s="104"/>
      <c r="BY158" s="104"/>
      <c r="BZ158" s="104"/>
      <c r="CA158" s="104"/>
      <c r="CB158" s="104"/>
      <c r="CC158" s="104"/>
      <c r="CD158" s="104"/>
      <c r="CE158" s="104"/>
      <c r="CF158" s="104"/>
      <c r="CG158" s="104"/>
      <c r="CH158" s="104"/>
    </row>
    <row r="159" spans="1:86" x14ac:dyDescent="0.2">
      <c r="A159" s="104"/>
      <c r="B159" s="105"/>
      <c r="C159" s="104"/>
      <c r="D159" s="105"/>
      <c r="E159" s="197"/>
      <c r="F159" s="105"/>
      <c r="G159" s="105"/>
      <c r="H159" s="105"/>
      <c r="I159" s="105"/>
      <c r="J159" s="105"/>
      <c r="K159" s="105"/>
      <c r="L159" s="105"/>
      <c r="M159" s="105"/>
      <c r="N159" s="105"/>
      <c r="O159" s="105"/>
      <c r="P159" s="105"/>
      <c r="Q159" s="105"/>
      <c r="R159" s="105"/>
      <c r="S159" s="105"/>
      <c r="T159" s="105"/>
      <c r="U159" s="105"/>
      <c r="V159" s="105"/>
      <c r="W159" s="104"/>
      <c r="X159" s="213"/>
      <c r="Y159" s="104"/>
      <c r="Z159" s="105"/>
      <c r="AA159" s="105"/>
      <c r="AB159" s="105"/>
      <c r="AC159" s="104"/>
      <c r="AD159" s="104"/>
      <c r="AE159" s="104"/>
      <c r="AF159" s="104"/>
      <c r="AG159" s="104"/>
      <c r="AH159" s="104"/>
      <c r="AI159" s="104"/>
      <c r="AJ159" s="104"/>
      <c r="AK159" s="104"/>
      <c r="AL159" s="104"/>
      <c r="AM159" s="104"/>
      <c r="AN159" s="104"/>
      <c r="AO159" s="104"/>
      <c r="AP159" s="104"/>
      <c r="AQ159" s="104"/>
      <c r="AR159" s="104"/>
      <c r="AS159" s="104"/>
      <c r="AT159" s="104"/>
      <c r="AU159" s="104"/>
      <c r="AV159" s="104"/>
      <c r="AW159" s="104"/>
      <c r="AX159" s="104"/>
      <c r="AY159" s="104"/>
      <c r="AZ159" s="104"/>
      <c r="BA159" s="104"/>
      <c r="BB159" s="104"/>
      <c r="BC159" s="104"/>
      <c r="BD159" s="104"/>
      <c r="BE159" s="104"/>
      <c r="BF159" s="104"/>
      <c r="BG159" s="104"/>
      <c r="BH159" s="104"/>
      <c r="BI159" s="104"/>
      <c r="BJ159" s="104"/>
      <c r="BK159" s="104"/>
      <c r="BL159" s="104"/>
      <c r="BM159" s="104"/>
      <c r="BN159" s="104"/>
      <c r="BO159" s="104"/>
      <c r="BP159" s="104"/>
      <c r="BQ159" s="104"/>
      <c r="BR159" s="104"/>
      <c r="BS159" s="104"/>
      <c r="BT159" s="104"/>
      <c r="BU159" s="104"/>
      <c r="BV159" s="104"/>
      <c r="BW159" s="104"/>
      <c r="BX159" s="104"/>
      <c r="BY159" s="104"/>
      <c r="BZ159" s="104"/>
      <c r="CA159" s="104"/>
      <c r="CB159" s="104"/>
      <c r="CC159" s="104"/>
      <c r="CD159" s="104"/>
      <c r="CE159" s="104"/>
      <c r="CF159" s="104"/>
      <c r="CG159" s="104"/>
      <c r="CH159" s="104"/>
    </row>
    <row r="160" spans="1:86" x14ac:dyDescent="0.2">
      <c r="A160" s="104"/>
      <c r="B160" s="105"/>
      <c r="C160" s="104"/>
      <c r="D160" s="105"/>
      <c r="E160" s="197"/>
      <c r="F160" s="105"/>
      <c r="G160" s="105"/>
      <c r="H160" s="105"/>
      <c r="I160" s="105"/>
      <c r="J160" s="105"/>
      <c r="K160" s="105"/>
      <c r="L160" s="105"/>
      <c r="M160" s="105"/>
      <c r="N160" s="105"/>
      <c r="O160" s="105"/>
      <c r="P160" s="105"/>
      <c r="Q160" s="105"/>
      <c r="R160" s="105"/>
      <c r="S160" s="105"/>
      <c r="T160" s="105"/>
      <c r="U160" s="105"/>
      <c r="V160" s="105"/>
      <c r="W160" s="104"/>
      <c r="X160" s="213"/>
      <c r="Y160" s="104"/>
      <c r="Z160" s="105"/>
      <c r="AA160" s="105"/>
      <c r="AB160" s="105"/>
      <c r="AC160" s="104"/>
      <c r="AD160" s="104"/>
      <c r="AE160" s="104"/>
      <c r="AF160" s="104"/>
      <c r="AG160" s="104"/>
      <c r="AH160" s="104"/>
      <c r="AI160" s="104"/>
      <c r="AJ160" s="104"/>
      <c r="AK160" s="104"/>
      <c r="AL160" s="104"/>
      <c r="AM160" s="104"/>
      <c r="AN160" s="104"/>
      <c r="AO160" s="104"/>
      <c r="AP160" s="104"/>
      <c r="AQ160" s="104"/>
      <c r="AR160" s="104"/>
      <c r="AS160" s="104"/>
      <c r="AT160" s="104"/>
      <c r="AU160" s="104"/>
      <c r="AV160" s="104"/>
      <c r="AW160" s="104"/>
      <c r="AX160" s="104"/>
      <c r="AY160" s="104"/>
      <c r="AZ160" s="104"/>
      <c r="BA160" s="104"/>
      <c r="BB160" s="104"/>
      <c r="BC160" s="104"/>
      <c r="BD160" s="104"/>
      <c r="BE160" s="104"/>
      <c r="BF160" s="104"/>
      <c r="BG160" s="104"/>
      <c r="BH160" s="104"/>
      <c r="BI160" s="104"/>
      <c r="BJ160" s="104"/>
      <c r="BK160" s="104"/>
      <c r="BL160" s="104"/>
      <c r="BM160" s="104"/>
      <c r="BN160" s="104"/>
      <c r="BO160" s="104"/>
      <c r="BP160" s="104"/>
      <c r="BQ160" s="104"/>
      <c r="BR160" s="104"/>
      <c r="BS160" s="104"/>
      <c r="BT160" s="104"/>
      <c r="BU160" s="104"/>
      <c r="BV160" s="104"/>
      <c r="BW160" s="104"/>
      <c r="BX160" s="104"/>
      <c r="BY160" s="104"/>
      <c r="BZ160" s="104"/>
      <c r="CA160" s="104"/>
      <c r="CB160" s="104"/>
      <c r="CC160" s="104"/>
      <c r="CD160" s="104"/>
      <c r="CE160" s="104"/>
      <c r="CF160" s="104"/>
      <c r="CG160" s="104"/>
      <c r="CH160" s="104"/>
    </row>
    <row r="161" spans="1:86" x14ac:dyDescent="0.2">
      <c r="A161" s="104"/>
      <c r="B161" s="105"/>
      <c r="C161" s="104"/>
      <c r="D161" s="105"/>
      <c r="E161" s="197"/>
      <c r="F161" s="105"/>
      <c r="G161" s="105"/>
      <c r="H161" s="105"/>
      <c r="I161" s="105"/>
      <c r="J161" s="105"/>
      <c r="K161" s="105"/>
      <c r="L161" s="105"/>
      <c r="M161" s="105"/>
      <c r="N161" s="105"/>
      <c r="O161" s="105"/>
      <c r="P161" s="105"/>
      <c r="Q161" s="105"/>
      <c r="R161" s="105"/>
      <c r="S161" s="105"/>
      <c r="T161" s="105"/>
      <c r="U161" s="105"/>
      <c r="V161" s="105"/>
      <c r="W161" s="104"/>
      <c r="X161" s="213"/>
      <c r="Y161" s="105"/>
      <c r="Z161" s="105"/>
      <c r="AA161" s="104"/>
      <c r="AB161" s="105"/>
      <c r="AC161" s="104"/>
      <c r="AD161" s="104"/>
      <c r="AE161" s="104"/>
      <c r="AF161" s="104"/>
      <c r="AG161" s="104"/>
      <c r="AH161" s="104"/>
      <c r="AI161" s="104"/>
      <c r="AJ161" s="104"/>
      <c r="AK161" s="104"/>
      <c r="AL161" s="104"/>
      <c r="AM161" s="104"/>
      <c r="AN161" s="104"/>
      <c r="AO161" s="104"/>
      <c r="AP161" s="104"/>
      <c r="AQ161" s="104"/>
      <c r="AR161" s="104"/>
      <c r="AS161" s="104"/>
      <c r="AT161" s="104"/>
      <c r="AU161" s="104"/>
      <c r="AV161" s="104"/>
      <c r="AW161" s="104"/>
      <c r="AX161" s="104"/>
      <c r="AY161" s="104"/>
      <c r="AZ161" s="104"/>
      <c r="BA161" s="104"/>
      <c r="BB161" s="104"/>
      <c r="BC161" s="104"/>
      <c r="BD161" s="104"/>
      <c r="BE161" s="104"/>
      <c r="BF161" s="104"/>
      <c r="BG161" s="104"/>
      <c r="BH161" s="104"/>
      <c r="BI161" s="104"/>
      <c r="BJ161" s="104"/>
      <c r="BK161" s="104"/>
      <c r="BL161" s="104"/>
      <c r="BM161" s="104"/>
      <c r="BN161" s="104"/>
      <c r="BO161" s="104"/>
      <c r="BP161" s="104"/>
      <c r="BQ161" s="104"/>
      <c r="BR161" s="104"/>
      <c r="BS161" s="104"/>
      <c r="BT161" s="104"/>
      <c r="BU161" s="104"/>
      <c r="BV161" s="104"/>
      <c r="BW161" s="104"/>
      <c r="BX161" s="104"/>
      <c r="BY161" s="104"/>
      <c r="BZ161" s="104"/>
      <c r="CA161" s="104"/>
      <c r="CB161" s="104"/>
      <c r="CC161" s="104"/>
      <c r="CD161" s="104"/>
      <c r="CE161" s="104"/>
      <c r="CF161" s="104"/>
      <c r="CG161" s="104"/>
      <c r="CH161" s="104"/>
    </row>
    <row r="162" spans="1:86" x14ac:dyDescent="0.2">
      <c r="A162" s="104"/>
      <c r="B162" s="105"/>
      <c r="C162" s="104"/>
      <c r="D162" s="105"/>
      <c r="E162" s="197"/>
      <c r="F162" s="105"/>
      <c r="G162" s="105"/>
      <c r="H162" s="105"/>
      <c r="I162" s="105"/>
      <c r="J162" s="105"/>
      <c r="K162" s="105"/>
      <c r="L162" s="105"/>
      <c r="M162" s="105"/>
      <c r="N162" s="105"/>
      <c r="O162" s="105"/>
      <c r="P162" s="105"/>
      <c r="Q162" s="105"/>
      <c r="R162" s="105"/>
      <c r="S162" s="105"/>
      <c r="T162" s="105"/>
      <c r="U162" s="105"/>
      <c r="V162" s="105"/>
      <c r="W162" s="104"/>
      <c r="X162" s="213"/>
      <c r="Y162" s="105"/>
      <c r="Z162" s="105"/>
      <c r="AA162" s="104"/>
      <c r="AB162" s="105"/>
      <c r="AC162" s="104"/>
      <c r="AD162" s="104"/>
      <c r="AE162" s="104"/>
      <c r="AF162" s="104"/>
      <c r="AG162" s="104"/>
      <c r="AH162" s="104"/>
      <c r="AI162" s="104"/>
      <c r="AJ162" s="104"/>
      <c r="AK162" s="104"/>
      <c r="AL162" s="104"/>
      <c r="AM162" s="104"/>
      <c r="AN162" s="104"/>
      <c r="AO162" s="104"/>
      <c r="AP162" s="104"/>
      <c r="AQ162" s="104"/>
      <c r="AR162" s="104"/>
      <c r="AS162" s="104"/>
      <c r="AT162" s="104"/>
      <c r="AU162" s="104"/>
      <c r="AV162" s="104"/>
      <c r="AW162" s="104"/>
      <c r="AX162" s="104"/>
      <c r="AY162" s="104"/>
      <c r="AZ162" s="104"/>
      <c r="BA162" s="104"/>
      <c r="BB162" s="104"/>
      <c r="BC162" s="104"/>
      <c r="BD162" s="104"/>
      <c r="BE162" s="104"/>
      <c r="BF162" s="104"/>
      <c r="BG162" s="104"/>
      <c r="BH162" s="104"/>
      <c r="BI162" s="104"/>
      <c r="BJ162" s="104"/>
      <c r="BK162" s="104"/>
      <c r="BL162" s="104"/>
      <c r="BM162" s="104"/>
      <c r="BN162" s="104"/>
      <c r="BO162" s="104"/>
      <c r="BP162" s="104"/>
      <c r="BQ162" s="104"/>
      <c r="BR162" s="104"/>
      <c r="BS162" s="104"/>
      <c r="BT162" s="104"/>
      <c r="BU162" s="104"/>
      <c r="BV162" s="104"/>
      <c r="BW162" s="104"/>
      <c r="BX162" s="104"/>
      <c r="BY162" s="104"/>
      <c r="BZ162" s="104"/>
      <c r="CA162" s="104"/>
      <c r="CB162" s="104"/>
      <c r="CC162" s="104"/>
      <c r="CD162" s="104"/>
      <c r="CE162" s="104"/>
      <c r="CF162" s="104"/>
      <c r="CG162" s="104"/>
      <c r="CH162" s="104"/>
    </row>
    <row r="163" spans="1:86" x14ac:dyDescent="0.2">
      <c r="A163" s="104"/>
      <c r="B163" s="105"/>
      <c r="C163" s="104"/>
      <c r="D163" s="105"/>
      <c r="E163" s="197"/>
      <c r="F163" s="105"/>
      <c r="G163" s="105"/>
      <c r="H163" s="105"/>
      <c r="I163" s="105"/>
      <c r="J163" s="105"/>
      <c r="K163" s="105"/>
      <c r="L163" s="105"/>
      <c r="M163" s="105"/>
      <c r="N163" s="105"/>
      <c r="O163" s="105"/>
      <c r="P163" s="105"/>
      <c r="Q163" s="105"/>
      <c r="R163" s="105"/>
      <c r="S163" s="105"/>
      <c r="T163" s="105"/>
      <c r="U163" s="105"/>
      <c r="V163" s="105"/>
      <c r="W163" s="104"/>
      <c r="X163" s="213"/>
      <c r="Y163" s="105"/>
      <c r="Z163" s="105"/>
      <c r="AA163" s="104"/>
      <c r="AB163" s="105"/>
      <c r="AC163" s="104"/>
      <c r="AD163" s="104"/>
      <c r="AE163" s="104"/>
      <c r="AF163" s="104"/>
      <c r="AG163" s="104"/>
      <c r="AH163" s="104"/>
      <c r="AI163" s="104"/>
      <c r="AJ163" s="104"/>
      <c r="AK163" s="104"/>
      <c r="AL163" s="104"/>
      <c r="AM163" s="104"/>
      <c r="AN163" s="104"/>
      <c r="AO163" s="104"/>
      <c r="AP163" s="104"/>
      <c r="AQ163" s="104"/>
      <c r="AR163" s="104"/>
      <c r="AS163" s="104"/>
      <c r="AT163" s="104"/>
      <c r="AU163" s="104"/>
      <c r="AV163" s="104"/>
      <c r="AW163" s="104"/>
      <c r="AX163" s="104"/>
      <c r="AY163" s="104"/>
      <c r="AZ163" s="104"/>
      <c r="BA163" s="104"/>
      <c r="BB163" s="104"/>
      <c r="BC163" s="104"/>
      <c r="BD163" s="104"/>
      <c r="BE163" s="104"/>
      <c r="BF163" s="104"/>
      <c r="BG163" s="104"/>
      <c r="BH163" s="104"/>
      <c r="BI163" s="104"/>
      <c r="BJ163" s="104"/>
      <c r="BK163" s="104"/>
      <c r="BL163" s="104"/>
      <c r="BM163" s="104"/>
      <c r="BN163" s="104"/>
      <c r="BO163" s="104"/>
      <c r="BP163" s="104"/>
      <c r="BQ163" s="104"/>
      <c r="BR163" s="104"/>
      <c r="BS163" s="104"/>
      <c r="BT163" s="104"/>
      <c r="BU163" s="104"/>
      <c r="BV163" s="104"/>
      <c r="BW163" s="104"/>
      <c r="BX163" s="104"/>
      <c r="BY163" s="104"/>
      <c r="BZ163" s="104"/>
      <c r="CA163" s="104"/>
      <c r="CB163" s="104"/>
      <c r="CC163" s="104"/>
      <c r="CD163" s="104"/>
      <c r="CE163" s="104"/>
      <c r="CF163" s="104"/>
      <c r="CG163" s="104"/>
      <c r="CH163" s="104"/>
    </row>
    <row r="164" spans="1:86" x14ac:dyDescent="0.2">
      <c r="A164" s="104"/>
      <c r="B164" s="105"/>
      <c r="C164" s="104"/>
      <c r="D164" s="105"/>
      <c r="E164" s="197"/>
      <c r="F164" s="105"/>
      <c r="G164" s="105"/>
      <c r="H164" s="105"/>
      <c r="I164" s="105"/>
      <c r="J164" s="105"/>
      <c r="K164" s="105"/>
      <c r="L164" s="105"/>
      <c r="M164" s="105"/>
      <c r="N164" s="105"/>
      <c r="O164" s="105"/>
      <c r="P164" s="105"/>
      <c r="Q164" s="105"/>
      <c r="R164" s="105"/>
      <c r="S164" s="105"/>
      <c r="T164" s="105"/>
      <c r="U164" s="105"/>
      <c r="V164" s="105"/>
      <c r="W164" s="104"/>
      <c r="X164" s="213"/>
      <c r="Y164" s="105"/>
      <c r="Z164" s="105"/>
      <c r="AA164" s="104"/>
      <c r="AB164" s="105"/>
      <c r="AC164" s="104"/>
      <c r="AD164" s="104"/>
      <c r="AE164" s="104"/>
      <c r="AF164" s="104"/>
      <c r="AG164" s="104"/>
      <c r="AH164" s="104"/>
      <c r="AI164" s="104"/>
      <c r="AJ164" s="104"/>
      <c r="AK164" s="104"/>
      <c r="AL164" s="104"/>
      <c r="AM164" s="104"/>
      <c r="AN164" s="104"/>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row>
    <row r="165" spans="1:86" x14ac:dyDescent="0.2">
      <c r="A165" s="104"/>
      <c r="B165" s="105"/>
      <c r="C165" s="104"/>
      <c r="D165" s="105"/>
      <c r="E165" s="197"/>
      <c r="F165" s="105"/>
      <c r="G165" s="105"/>
      <c r="H165" s="105"/>
      <c r="I165" s="105"/>
      <c r="J165" s="105"/>
      <c r="K165" s="105"/>
      <c r="L165" s="105"/>
      <c r="M165" s="105"/>
      <c r="N165" s="105"/>
      <c r="O165" s="105"/>
      <c r="P165" s="105"/>
      <c r="Q165" s="105"/>
      <c r="R165" s="105"/>
      <c r="S165" s="105"/>
      <c r="T165" s="105"/>
      <c r="U165" s="105"/>
      <c r="V165" s="105"/>
      <c r="W165" s="104"/>
      <c r="X165" s="213"/>
      <c r="Y165" s="105"/>
      <c r="Z165" s="105"/>
      <c r="AA165" s="104"/>
      <c r="AB165" s="105"/>
      <c r="AC165" s="104"/>
      <c r="AD165" s="104"/>
      <c r="AE165" s="104"/>
      <c r="AF165" s="104"/>
      <c r="AG165" s="104"/>
      <c r="AH165" s="104"/>
      <c r="AI165" s="104"/>
      <c r="AJ165" s="104"/>
      <c r="AK165" s="104"/>
      <c r="AL165" s="104"/>
      <c r="AM165" s="104"/>
      <c r="AN165" s="104"/>
      <c r="AO165" s="104"/>
      <c r="AP165" s="104"/>
      <c r="AQ165" s="104"/>
      <c r="AR165" s="104"/>
      <c r="AS165" s="104"/>
      <c r="AT165" s="104"/>
      <c r="AU165" s="104"/>
      <c r="AV165" s="104"/>
      <c r="AW165" s="104"/>
      <c r="AX165" s="104"/>
      <c r="AY165" s="104"/>
      <c r="AZ165" s="104"/>
      <c r="BA165" s="104"/>
      <c r="BB165" s="104"/>
      <c r="BC165" s="104"/>
      <c r="BD165" s="104"/>
      <c r="BE165" s="104"/>
      <c r="BF165" s="104"/>
      <c r="BG165" s="104"/>
      <c r="BH165" s="104"/>
      <c r="BI165" s="104"/>
      <c r="BJ165" s="104"/>
      <c r="BK165" s="104"/>
      <c r="BL165" s="104"/>
      <c r="BM165" s="104"/>
      <c r="BN165" s="104"/>
      <c r="BO165" s="104"/>
      <c r="BP165" s="104"/>
      <c r="BQ165" s="104"/>
      <c r="BR165" s="104"/>
      <c r="BS165" s="104"/>
      <c r="BT165" s="104"/>
      <c r="BU165" s="104"/>
      <c r="BV165" s="104"/>
      <c r="BW165" s="104"/>
      <c r="BX165" s="104"/>
      <c r="BY165" s="104"/>
      <c r="BZ165" s="104"/>
      <c r="CA165" s="104"/>
      <c r="CB165" s="104"/>
      <c r="CC165" s="104"/>
      <c r="CD165" s="104"/>
      <c r="CE165" s="104"/>
      <c r="CF165" s="104"/>
      <c r="CG165" s="104"/>
      <c r="CH165" s="104"/>
    </row>
    <row r="166" spans="1:86" x14ac:dyDescent="0.2">
      <c r="A166" s="104"/>
      <c r="B166" s="105"/>
      <c r="C166" s="104"/>
      <c r="D166" s="105"/>
      <c r="E166" s="197"/>
      <c r="F166" s="105"/>
      <c r="G166" s="105"/>
      <c r="H166" s="105"/>
      <c r="I166" s="105"/>
      <c r="J166" s="105"/>
      <c r="K166" s="105"/>
      <c r="L166" s="105"/>
      <c r="M166" s="105"/>
      <c r="N166" s="105"/>
      <c r="O166" s="105"/>
      <c r="P166" s="105"/>
      <c r="Q166" s="105"/>
      <c r="R166" s="105"/>
      <c r="S166" s="105"/>
      <c r="T166" s="105"/>
      <c r="U166" s="105"/>
      <c r="V166" s="105"/>
      <c r="W166" s="104"/>
      <c r="X166" s="213"/>
      <c r="Y166" s="105"/>
      <c r="Z166" s="105"/>
      <c r="AA166" s="105"/>
      <c r="AB166" s="105"/>
      <c r="AC166" s="104"/>
      <c r="AD166" s="104"/>
      <c r="AE166" s="104"/>
      <c r="AF166" s="104"/>
      <c r="AG166" s="104"/>
      <c r="AH166" s="104"/>
      <c r="AI166" s="104"/>
      <c r="AJ166" s="104"/>
      <c r="AK166" s="104"/>
      <c r="AL166" s="104"/>
      <c r="AM166" s="104"/>
      <c r="AN166" s="104"/>
      <c r="AO166" s="104"/>
      <c r="AP166" s="104"/>
      <c r="AQ166" s="104"/>
      <c r="AR166" s="104"/>
      <c r="AS166" s="104"/>
      <c r="AT166" s="104"/>
      <c r="AU166" s="104"/>
      <c r="AV166" s="104"/>
      <c r="AW166" s="104"/>
      <c r="AX166" s="104"/>
      <c r="AY166" s="104"/>
      <c r="AZ166" s="104"/>
      <c r="BA166" s="104"/>
      <c r="BB166" s="104"/>
      <c r="BC166" s="104"/>
      <c r="BD166" s="104"/>
      <c r="BE166" s="104"/>
      <c r="BF166" s="104"/>
      <c r="BG166" s="104"/>
      <c r="BH166" s="104"/>
      <c r="BI166" s="104"/>
      <c r="BJ166" s="104"/>
      <c r="BK166" s="104"/>
      <c r="BL166" s="104"/>
      <c r="BM166" s="104"/>
      <c r="BN166" s="104"/>
      <c r="BO166" s="104"/>
      <c r="BP166" s="104"/>
      <c r="BQ166" s="104"/>
      <c r="BR166" s="104"/>
      <c r="BS166" s="104"/>
      <c r="BT166" s="104"/>
      <c r="BU166" s="104"/>
      <c r="BV166" s="104"/>
      <c r="BW166" s="104"/>
      <c r="BX166" s="104"/>
      <c r="BY166" s="104"/>
      <c r="BZ166" s="104"/>
      <c r="CA166" s="104"/>
      <c r="CB166" s="104"/>
      <c r="CC166" s="104"/>
      <c r="CD166" s="104"/>
      <c r="CE166" s="104"/>
      <c r="CF166" s="104"/>
      <c r="CG166" s="104"/>
      <c r="CH166" s="104"/>
    </row>
    <row r="167" spans="1:86" x14ac:dyDescent="0.2">
      <c r="A167" s="104"/>
      <c r="B167" s="105"/>
      <c r="C167" s="104"/>
      <c r="D167" s="105"/>
      <c r="E167" s="197"/>
      <c r="F167" s="105"/>
      <c r="G167" s="105"/>
      <c r="H167" s="105"/>
      <c r="I167" s="105"/>
      <c r="J167" s="105"/>
      <c r="K167" s="105"/>
      <c r="L167" s="105"/>
      <c r="M167" s="105"/>
      <c r="N167" s="105"/>
      <c r="O167" s="105"/>
      <c r="P167" s="105"/>
      <c r="Q167" s="105"/>
      <c r="R167" s="105"/>
      <c r="S167" s="105"/>
      <c r="T167" s="105"/>
      <c r="U167" s="105"/>
      <c r="V167" s="105"/>
      <c r="W167" s="104"/>
      <c r="X167" s="213"/>
      <c r="Y167" s="105"/>
      <c r="Z167" s="105"/>
      <c r="AA167" s="105"/>
      <c r="AB167" s="105"/>
      <c r="AC167" s="104"/>
      <c r="AD167" s="104"/>
      <c r="AE167" s="104"/>
      <c r="AF167" s="104"/>
      <c r="AG167" s="104"/>
      <c r="AH167" s="104"/>
      <c r="AI167" s="104"/>
      <c r="AJ167" s="104"/>
      <c r="AK167" s="104"/>
      <c r="AL167" s="104"/>
      <c r="AM167" s="104"/>
      <c r="AN167" s="104"/>
      <c r="AO167" s="104"/>
      <c r="AP167" s="104"/>
      <c r="AQ167" s="104"/>
      <c r="AR167" s="104"/>
      <c r="AS167" s="104"/>
      <c r="AT167" s="104"/>
      <c r="AU167" s="104"/>
      <c r="AV167" s="104"/>
      <c r="AW167" s="104"/>
      <c r="AX167" s="104"/>
      <c r="AY167" s="104"/>
      <c r="AZ167" s="104"/>
      <c r="BA167" s="104"/>
      <c r="BB167" s="104"/>
      <c r="BC167" s="104"/>
      <c r="BD167" s="104"/>
      <c r="BE167" s="104"/>
      <c r="BF167" s="104"/>
      <c r="BG167" s="104"/>
      <c r="BH167" s="104"/>
      <c r="BI167" s="104"/>
      <c r="BJ167" s="104"/>
      <c r="BK167" s="104"/>
      <c r="BL167" s="104"/>
      <c r="BM167" s="104"/>
      <c r="BN167" s="104"/>
      <c r="BO167" s="104"/>
      <c r="BP167" s="104"/>
      <c r="BQ167" s="104"/>
      <c r="BR167" s="104"/>
      <c r="BS167" s="104"/>
      <c r="BT167" s="104"/>
      <c r="BU167" s="104"/>
      <c r="BV167" s="104"/>
      <c r="BW167" s="104"/>
      <c r="BX167" s="104"/>
      <c r="BY167" s="104"/>
      <c r="BZ167" s="104"/>
      <c r="CA167" s="104"/>
      <c r="CB167" s="104"/>
      <c r="CC167" s="104"/>
      <c r="CD167" s="104"/>
      <c r="CE167" s="104"/>
      <c r="CF167" s="104"/>
      <c r="CG167" s="104"/>
      <c r="CH167" s="104"/>
    </row>
    <row r="168" spans="1:86" x14ac:dyDescent="0.2">
      <c r="A168" s="104"/>
      <c r="B168" s="105"/>
      <c r="C168" s="104"/>
      <c r="D168" s="105"/>
      <c r="E168" s="197"/>
      <c r="F168" s="105"/>
      <c r="G168" s="105"/>
      <c r="H168" s="105"/>
      <c r="I168" s="105"/>
      <c r="J168" s="105"/>
      <c r="K168" s="105"/>
      <c r="L168" s="105"/>
      <c r="M168" s="105"/>
      <c r="N168" s="105"/>
      <c r="O168" s="105"/>
      <c r="P168" s="105"/>
      <c r="Q168" s="105"/>
      <c r="R168" s="105"/>
      <c r="S168" s="105"/>
      <c r="T168" s="105"/>
      <c r="U168" s="105"/>
      <c r="V168" s="105"/>
      <c r="W168" s="104"/>
      <c r="X168" s="213"/>
      <c r="Y168" s="105"/>
      <c r="Z168" s="105"/>
      <c r="AA168" s="105"/>
      <c r="AB168" s="105"/>
      <c r="AC168" s="104"/>
      <c r="AD168" s="104"/>
      <c r="AE168" s="104"/>
      <c r="AF168" s="104"/>
      <c r="AG168" s="104"/>
      <c r="AH168" s="104"/>
      <c r="AI168" s="104"/>
      <c r="AJ168" s="104"/>
      <c r="AK168" s="104"/>
      <c r="AL168" s="104"/>
      <c r="AM168" s="104"/>
      <c r="AN168" s="104"/>
      <c r="AO168" s="104"/>
      <c r="AP168" s="104"/>
      <c r="AQ168" s="104"/>
      <c r="AR168" s="104"/>
      <c r="AS168" s="104"/>
      <c r="AT168" s="104"/>
      <c r="AU168" s="104"/>
      <c r="AV168" s="104"/>
      <c r="AW168" s="104"/>
      <c r="AX168" s="104"/>
      <c r="AY168" s="104"/>
      <c r="AZ168" s="104"/>
      <c r="BA168" s="104"/>
      <c r="BB168" s="104"/>
      <c r="BC168" s="104"/>
      <c r="BD168" s="104"/>
      <c r="BE168" s="104"/>
      <c r="BF168" s="104"/>
      <c r="BG168" s="104"/>
      <c r="BH168" s="104"/>
      <c r="BI168" s="104"/>
      <c r="BJ168" s="104"/>
      <c r="BK168" s="104"/>
      <c r="BL168" s="104"/>
      <c r="BM168" s="104"/>
      <c r="BN168" s="104"/>
      <c r="BO168" s="104"/>
      <c r="BP168" s="104"/>
      <c r="BQ168" s="104"/>
      <c r="BR168" s="104"/>
      <c r="BS168" s="104"/>
      <c r="BT168" s="104"/>
      <c r="BU168" s="104"/>
      <c r="BV168" s="104"/>
      <c r="BW168" s="104"/>
      <c r="BX168" s="104"/>
      <c r="BY168" s="104"/>
      <c r="BZ168" s="104"/>
      <c r="CA168" s="104"/>
      <c r="CB168" s="104"/>
      <c r="CC168" s="104"/>
      <c r="CD168" s="104"/>
      <c r="CE168" s="104"/>
      <c r="CF168" s="104"/>
      <c r="CG168" s="104"/>
      <c r="CH168" s="104"/>
    </row>
    <row r="169" spans="1:86" x14ac:dyDescent="0.2">
      <c r="A169" s="104"/>
      <c r="B169" s="105"/>
      <c r="C169" s="104"/>
      <c r="D169" s="105"/>
      <c r="E169" s="197"/>
      <c r="F169" s="105"/>
      <c r="G169" s="105"/>
      <c r="H169" s="105"/>
      <c r="I169" s="105"/>
      <c r="J169" s="105"/>
      <c r="K169" s="105"/>
      <c r="L169" s="105"/>
      <c r="M169" s="105"/>
      <c r="N169" s="105"/>
      <c r="O169" s="105"/>
      <c r="P169" s="105"/>
      <c r="Q169" s="105"/>
      <c r="R169" s="105"/>
      <c r="S169" s="105"/>
      <c r="T169" s="105"/>
      <c r="U169" s="105"/>
      <c r="V169" s="105"/>
      <c r="W169" s="104"/>
      <c r="X169" s="213"/>
      <c r="Y169" s="105"/>
      <c r="Z169" s="105"/>
      <c r="AA169" s="105"/>
      <c r="AB169" s="105"/>
      <c r="AC169" s="104"/>
      <c r="AD169" s="104"/>
      <c r="AE169" s="104"/>
      <c r="AF169" s="104"/>
      <c r="AG169" s="104"/>
      <c r="AH169" s="104"/>
      <c r="AI169" s="104"/>
      <c r="AJ169" s="104"/>
      <c r="AK169" s="104"/>
      <c r="AL169" s="104"/>
      <c r="AM169" s="104"/>
      <c r="AN169" s="104"/>
      <c r="AO169" s="104"/>
      <c r="AP169" s="104"/>
      <c r="AQ169" s="104"/>
      <c r="AR169" s="104"/>
      <c r="AS169" s="104"/>
      <c r="AT169" s="104"/>
      <c r="AU169" s="104"/>
      <c r="AV169" s="104"/>
      <c r="AW169" s="104"/>
      <c r="AX169" s="104"/>
      <c r="AY169" s="104"/>
      <c r="AZ169" s="104"/>
      <c r="BA169" s="104"/>
      <c r="BB169" s="104"/>
      <c r="BC169" s="104"/>
      <c r="BD169" s="104"/>
      <c r="BE169" s="104"/>
      <c r="BF169" s="104"/>
      <c r="BG169" s="104"/>
      <c r="BH169" s="104"/>
      <c r="BI169" s="104"/>
      <c r="BJ169" s="104"/>
      <c r="BK169" s="104"/>
      <c r="BL169" s="104"/>
      <c r="BM169" s="104"/>
      <c r="BN169" s="104"/>
      <c r="BO169" s="104"/>
      <c r="BP169" s="104"/>
      <c r="BQ169" s="104"/>
      <c r="BR169" s="104"/>
      <c r="BS169" s="104"/>
      <c r="BT169" s="104"/>
      <c r="BU169" s="104"/>
      <c r="BV169" s="104"/>
      <c r="BW169" s="104"/>
      <c r="BX169" s="104"/>
      <c r="BY169" s="104"/>
      <c r="BZ169" s="104"/>
      <c r="CA169" s="104"/>
      <c r="CB169" s="104"/>
      <c r="CC169" s="104"/>
      <c r="CD169" s="104"/>
      <c r="CE169" s="104"/>
      <c r="CF169" s="104"/>
      <c r="CG169" s="104"/>
      <c r="CH169" s="104"/>
    </row>
    <row r="170" spans="1:86" x14ac:dyDescent="0.2">
      <c r="A170" s="104"/>
      <c r="B170" s="105"/>
      <c r="C170" s="104"/>
      <c r="D170" s="105"/>
      <c r="E170" s="197"/>
      <c r="F170" s="105"/>
      <c r="G170" s="105"/>
      <c r="H170" s="105"/>
      <c r="I170" s="105"/>
      <c r="J170" s="105"/>
      <c r="K170" s="105"/>
      <c r="L170" s="105"/>
      <c r="M170" s="105"/>
      <c r="N170" s="105"/>
      <c r="O170" s="105"/>
      <c r="P170" s="105"/>
      <c r="Q170" s="105"/>
      <c r="R170" s="105"/>
      <c r="S170" s="105"/>
      <c r="T170" s="105"/>
      <c r="U170" s="105"/>
      <c r="V170" s="105"/>
      <c r="W170" s="104"/>
      <c r="X170" s="213"/>
      <c r="Y170" s="105"/>
      <c r="Z170" s="105"/>
      <c r="AA170" s="105"/>
      <c r="AB170" s="104"/>
      <c r="AC170"/>
      <c r="AD170"/>
      <c r="AE170" s="104"/>
      <c r="AF170" s="104"/>
      <c r="AG170" s="104"/>
      <c r="AH170" s="104"/>
      <c r="AI170" s="104"/>
      <c r="AJ170" s="104"/>
      <c r="AK170" s="104"/>
      <c r="AL170" s="104"/>
      <c r="AM170" s="104"/>
      <c r="AN170" s="104"/>
      <c r="AO170" s="104"/>
      <c r="AP170" s="104"/>
      <c r="AQ170" s="104"/>
      <c r="AR170" s="104"/>
      <c r="AS170" s="104"/>
      <c r="AT170" s="104"/>
      <c r="AU170" s="104"/>
      <c r="AV170" s="104"/>
      <c r="AW170" s="104"/>
      <c r="AX170" s="104"/>
      <c r="AY170" s="104"/>
      <c r="AZ170" s="104"/>
      <c r="BA170" s="104"/>
      <c r="BB170" s="104"/>
      <c r="BC170" s="104"/>
      <c r="BD170" s="104"/>
      <c r="BE170" s="104"/>
      <c r="BF170" s="104"/>
      <c r="BG170" s="104"/>
      <c r="BH170" s="104"/>
      <c r="BI170" s="104"/>
      <c r="BJ170" s="104"/>
      <c r="BK170" s="104"/>
      <c r="BL170" s="104"/>
      <c r="BM170" s="104"/>
      <c r="BN170" s="104"/>
      <c r="BO170" s="104"/>
      <c r="BP170" s="104"/>
      <c r="BQ170" s="104"/>
      <c r="BR170" s="104"/>
      <c r="BS170" s="104"/>
      <c r="BT170" s="104"/>
      <c r="BU170" s="104"/>
      <c r="BV170" s="104"/>
      <c r="BW170" s="104"/>
      <c r="BX170" s="104"/>
      <c r="BY170" s="104"/>
      <c r="BZ170" s="104"/>
      <c r="CA170" s="104"/>
      <c r="CB170" s="104"/>
      <c r="CC170" s="104"/>
      <c r="CD170" s="104"/>
      <c r="CE170" s="104"/>
      <c r="CF170" s="104"/>
      <c r="CG170" s="104"/>
      <c r="CH170" s="104"/>
    </row>
    <row r="171" spans="1:86" x14ac:dyDescent="0.2">
      <c r="A171" s="104"/>
      <c r="B171" s="105"/>
      <c r="C171" s="104"/>
      <c r="D171" s="105"/>
      <c r="E171" s="197"/>
      <c r="F171" s="105"/>
      <c r="G171" s="105"/>
      <c r="H171" s="105"/>
      <c r="I171" s="105"/>
      <c r="J171" s="105"/>
      <c r="K171" s="105"/>
      <c r="L171" s="105"/>
      <c r="M171" s="105"/>
      <c r="N171" s="105"/>
      <c r="O171" s="105"/>
      <c r="P171" s="105"/>
      <c r="Q171" s="105"/>
      <c r="R171" s="105"/>
      <c r="S171" s="105"/>
      <c r="T171" s="105"/>
      <c r="U171" s="105"/>
      <c r="V171" s="105"/>
      <c r="W171" s="104"/>
      <c r="X171" s="213"/>
      <c r="Y171" s="105"/>
      <c r="Z171" s="105"/>
      <c r="AA171" s="105"/>
      <c r="AB171" s="104"/>
      <c r="AC171"/>
      <c r="AD171"/>
      <c r="AE171" s="104"/>
      <c r="AF171" s="104"/>
      <c r="AG171" s="104"/>
      <c r="AH171" s="104"/>
      <c r="AI171" s="104"/>
      <c r="AJ171" s="104"/>
      <c r="AK171" s="104"/>
      <c r="AL171" s="104"/>
      <c r="AM171" s="104"/>
      <c r="AN171" s="104"/>
      <c r="AO171" s="104"/>
      <c r="AP171" s="104"/>
      <c r="AQ171" s="104"/>
      <c r="AR171" s="104"/>
      <c r="AS171" s="104"/>
      <c r="AT171" s="104"/>
      <c r="AU171" s="104"/>
      <c r="AV171" s="104"/>
      <c r="AW171" s="104"/>
      <c r="AX171" s="104"/>
      <c r="AY171" s="104"/>
      <c r="AZ171" s="104"/>
      <c r="BA171" s="104"/>
      <c r="BB171" s="104"/>
      <c r="BC171" s="104"/>
      <c r="BD171" s="104"/>
      <c r="BE171" s="104"/>
      <c r="BF171" s="104"/>
      <c r="BG171" s="104"/>
      <c r="BH171" s="104"/>
      <c r="BI171" s="104"/>
      <c r="BJ171" s="104"/>
      <c r="BK171" s="104"/>
      <c r="BL171" s="104"/>
      <c r="BM171" s="104"/>
      <c r="BN171" s="104"/>
      <c r="BO171" s="104"/>
      <c r="BP171" s="104"/>
      <c r="BQ171" s="104"/>
      <c r="BR171" s="104"/>
      <c r="BS171" s="104"/>
      <c r="BT171" s="104"/>
      <c r="BU171" s="104"/>
      <c r="BV171" s="104"/>
      <c r="BW171" s="104"/>
      <c r="BX171" s="104"/>
      <c r="BY171" s="104"/>
      <c r="BZ171" s="104"/>
      <c r="CA171" s="104"/>
      <c r="CB171" s="104"/>
      <c r="CC171" s="104"/>
      <c r="CD171" s="104"/>
      <c r="CE171" s="104"/>
      <c r="CF171" s="104"/>
      <c r="CG171" s="104"/>
      <c r="CH171" s="104"/>
    </row>
    <row r="172" spans="1:86" x14ac:dyDescent="0.2">
      <c r="A172" s="104"/>
      <c r="B172" s="105"/>
      <c r="C172" s="104"/>
      <c r="D172" s="105"/>
      <c r="E172" s="197"/>
      <c r="F172" s="105"/>
      <c r="G172" s="105"/>
      <c r="H172" s="105"/>
      <c r="I172" s="105"/>
      <c r="J172" s="105"/>
      <c r="K172" s="105"/>
      <c r="L172" s="105"/>
      <c r="M172" s="105"/>
      <c r="N172" s="105"/>
      <c r="O172" s="105"/>
      <c r="P172" s="105"/>
      <c r="Q172" s="105"/>
      <c r="R172" s="105"/>
      <c r="S172" s="105"/>
      <c r="T172" s="105"/>
      <c r="U172" s="105"/>
      <c r="V172" s="105"/>
      <c r="W172" s="104"/>
      <c r="X172" s="213"/>
      <c r="Y172" s="105"/>
      <c r="Z172" s="105"/>
      <c r="AA172" s="105"/>
      <c r="AB172" s="104"/>
      <c r="AC172"/>
      <c r="AD172"/>
      <c r="AE172" s="104"/>
      <c r="AF172" s="104"/>
      <c r="AG172" s="104"/>
      <c r="AH172" s="104"/>
      <c r="AI172" s="104"/>
      <c r="AJ172" s="104"/>
      <c r="AK172" s="104"/>
      <c r="AL172" s="104"/>
      <c r="AM172" s="104"/>
      <c r="AN172" s="104"/>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row>
    <row r="173" spans="1:86" x14ac:dyDescent="0.2">
      <c r="A173" s="104"/>
      <c r="B173" s="105"/>
      <c r="C173" s="104"/>
      <c r="D173" s="105"/>
      <c r="E173" s="197"/>
      <c r="F173" s="105"/>
      <c r="G173" s="105"/>
      <c r="H173" s="105"/>
      <c r="I173" s="105"/>
      <c r="J173" s="105"/>
      <c r="K173" s="105"/>
      <c r="L173" s="105"/>
      <c r="M173" s="105"/>
      <c r="N173" s="105"/>
      <c r="O173" s="105"/>
      <c r="P173" s="105"/>
      <c r="Q173" s="105"/>
      <c r="R173" s="105"/>
      <c r="S173" s="105"/>
      <c r="T173" s="105"/>
      <c r="U173" s="105"/>
      <c r="V173" s="105"/>
      <c r="W173" s="104"/>
      <c r="X173" s="213"/>
      <c r="Y173" s="105"/>
      <c r="Z173" s="105"/>
      <c r="AA173" s="105"/>
      <c r="AB173" s="104"/>
      <c r="AC173"/>
      <c r="AD173"/>
      <c r="AE173" s="104"/>
      <c r="AF173" s="104"/>
      <c r="AG173" s="104"/>
      <c r="AH173" s="104"/>
      <c r="AI173" s="104"/>
      <c r="AJ173" s="104"/>
      <c r="AK173" s="104"/>
      <c r="AL173" s="104"/>
      <c r="AM173" s="104"/>
      <c r="AN173" s="104"/>
      <c r="AO173" s="104"/>
      <c r="AP173" s="104"/>
      <c r="AQ173" s="104"/>
      <c r="AR173" s="104"/>
      <c r="AS173" s="104"/>
      <c r="AT173" s="104"/>
      <c r="AU173" s="104"/>
      <c r="AV173" s="104"/>
      <c r="AW173" s="104"/>
      <c r="AX173" s="104"/>
      <c r="AY173" s="104"/>
      <c r="AZ173" s="104"/>
      <c r="BA173" s="104"/>
      <c r="BB173" s="104"/>
      <c r="BC173" s="104"/>
      <c r="BD173" s="104"/>
      <c r="BE173" s="104"/>
      <c r="BF173" s="104"/>
      <c r="BG173" s="104"/>
      <c r="BH173" s="104"/>
      <c r="BI173" s="104"/>
      <c r="BJ173" s="104"/>
      <c r="BK173" s="104"/>
      <c r="BL173" s="104"/>
      <c r="BM173" s="104"/>
      <c r="BN173" s="104"/>
      <c r="BO173" s="104"/>
      <c r="BP173" s="104"/>
      <c r="BQ173" s="104"/>
      <c r="BR173" s="104"/>
      <c r="BS173" s="104"/>
      <c r="BT173" s="104"/>
      <c r="BU173" s="104"/>
      <c r="BV173" s="104"/>
      <c r="BW173" s="104"/>
      <c r="BX173" s="104"/>
      <c r="BY173" s="104"/>
      <c r="BZ173" s="104"/>
      <c r="CA173" s="104"/>
      <c r="CB173" s="104"/>
      <c r="CC173" s="104"/>
      <c r="CD173" s="104"/>
      <c r="CE173" s="104"/>
      <c r="CF173" s="104"/>
      <c r="CG173" s="104"/>
      <c r="CH173" s="104"/>
    </row>
    <row r="174" spans="1:86" x14ac:dyDescent="0.2">
      <c r="A174" s="104"/>
      <c r="B174" s="105"/>
      <c r="C174" s="104"/>
      <c r="D174" s="105"/>
      <c r="E174" s="197"/>
      <c r="F174" s="105"/>
      <c r="G174" s="105"/>
      <c r="H174" s="105"/>
      <c r="I174" s="105"/>
      <c r="J174" s="105"/>
      <c r="K174" s="105"/>
      <c r="L174" s="105"/>
      <c r="M174" s="105"/>
      <c r="N174" s="105"/>
      <c r="O174" s="105"/>
      <c r="P174" s="105"/>
      <c r="Q174" s="105"/>
      <c r="R174" s="105"/>
      <c r="S174" s="105"/>
      <c r="T174" s="105"/>
      <c r="U174" s="105"/>
      <c r="V174" s="105"/>
      <c r="W174" s="104"/>
      <c r="X174" s="213"/>
      <c r="Y174" s="105"/>
      <c r="Z174" s="105"/>
      <c r="AA174" s="105"/>
      <c r="AB174" s="104"/>
      <c r="AC174"/>
      <c r="AD174"/>
      <c r="AE174" s="104"/>
      <c r="AF174" s="104"/>
      <c r="AG174" s="104"/>
      <c r="AH174" s="104"/>
      <c r="AI174" s="104"/>
      <c r="AJ174" s="104"/>
      <c r="AK174" s="104"/>
      <c r="AL174" s="104"/>
      <c r="AM174" s="104"/>
      <c r="AN174" s="104"/>
      <c r="AO174" s="104"/>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104"/>
      <c r="BK174" s="104"/>
      <c r="BL174" s="104"/>
      <c r="BM174" s="104"/>
      <c r="BN174" s="104"/>
      <c r="BO174" s="104"/>
      <c r="BP174" s="104"/>
      <c r="BQ174" s="104"/>
      <c r="BR174" s="104"/>
      <c r="BS174" s="104"/>
      <c r="BT174" s="104"/>
      <c r="BU174" s="104"/>
      <c r="BV174" s="104"/>
      <c r="BW174" s="104"/>
      <c r="BX174" s="104"/>
      <c r="BY174" s="104"/>
      <c r="BZ174" s="104"/>
      <c r="CA174" s="104"/>
      <c r="CB174" s="104"/>
      <c r="CC174" s="104"/>
      <c r="CD174" s="104"/>
      <c r="CE174" s="104"/>
      <c r="CF174" s="104"/>
      <c r="CG174" s="104"/>
      <c r="CH174" s="104"/>
    </row>
    <row r="175" spans="1:86" x14ac:dyDescent="0.2">
      <c r="A175" s="104"/>
      <c r="B175" s="105"/>
      <c r="C175" s="104"/>
      <c r="D175" s="105"/>
      <c r="E175" s="197"/>
      <c r="F175" s="105"/>
      <c r="G175" s="105"/>
      <c r="H175" s="105"/>
      <c r="I175" s="105"/>
      <c r="J175" s="105"/>
      <c r="K175" s="105"/>
      <c r="L175" s="105"/>
      <c r="M175" s="105"/>
      <c r="N175" s="105"/>
      <c r="O175" s="105"/>
      <c r="P175" s="105"/>
      <c r="Q175" s="105"/>
      <c r="R175" s="105"/>
      <c r="S175" s="105"/>
      <c r="T175" s="105"/>
      <c r="U175" s="105"/>
      <c r="V175" s="105"/>
      <c r="W175" s="104"/>
      <c r="X175" s="213"/>
      <c r="Y175" s="105"/>
      <c r="Z175" s="105"/>
      <c r="AA175" s="105"/>
      <c r="AB175" s="104"/>
      <c r="AC175"/>
      <c r="AD175"/>
      <c r="AE175" s="104"/>
      <c r="AF175" s="104"/>
      <c r="AG175" s="104"/>
      <c r="AH175" s="104"/>
      <c r="AI175" s="104"/>
      <c r="AJ175" s="104"/>
      <c r="AK175" s="104"/>
      <c r="AL175" s="104"/>
      <c r="AM175" s="104"/>
      <c r="AN175" s="104"/>
      <c r="AO175" s="104"/>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104"/>
      <c r="CA175" s="104"/>
      <c r="CB175" s="104"/>
      <c r="CC175" s="104"/>
      <c r="CD175" s="104"/>
      <c r="CE175" s="104"/>
      <c r="CF175" s="104"/>
      <c r="CG175" s="104"/>
      <c r="CH175" s="104"/>
    </row>
    <row r="176" spans="1:86" x14ac:dyDescent="0.2">
      <c r="A176" s="104"/>
      <c r="B176" s="105"/>
      <c r="C176" s="104"/>
      <c r="D176" s="105"/>
      <c r="E176" s="197"/>
      <c r="F176" s="105"/>
      <c r="G176" s="105"/>
      <c r="H176" s="105"/>
      <c r="I176" s="105"/>
      <c r="J176" s="105"/>
      <c r="K176" s="105"/>
      <c r="L176" s="105"/>
      <c r="M176" s="105"/>
      <c r="N176" s="105"/>
      <c r="O176" s="105"/>
      <c r="P176" s="105"/>
      <c r="Q176" s="105"/>
      <c r="R176" s="105"/>
      <c r="S176" s="105"/>
      <c r="T176" s="105"/>
      <c r="U176" s="105"/>
      <c r="V176" s="105"/>
      <c r="W176" s="104"/>
      <c r="X176" s="213"/>
      <c r="Y176" s="105"/>
      <c r="Z176" s="105"/>
      <c r="AA176" s="105"/>
      <c r="AB176" s="104"/>
      <c r="AC176"/>
      <c r="AD176"/>
      <c r="AE176" s="104"/>
      <c r="AF176" s="104"/>
      <c r="AG176" s="104"/>
      <c r="AH176" s="104"/>
      <c r="AI176" s="104"/>
      <c r="AJ176" s="104"/>
      <c r="AK176" s="104"/>
      <c r="AL176" s="104"/>
      <c r="AM176" s="104"/>
      <c r="AN176" s="104"/>
      <c r="AO176" s="104"/>
      <c r="AP176" s="104"/>
      <c r="AQ176" s="104"/>
      <c r="AR176" s="104"/>
      <c r="AS176" s="104"/>
      <c r="AT176" s="104"/>
      <c r="AU176" s="104"/>
      <c r="AV176" s="104"/>
      <c r="AW176" s="104"/>
      <c r="AX176" s="104"/>
      <c r="AY176" s="104"/>
      <c r="AZ176" s="104"/>
      <c r="BA176" s="104"/>
      <c r="BB176" s="104"/>
      <c r="BC176" s="104"/>
      <c r="BD176" s="104"/>
      <c r="BE176" s="104"/>
      <c r="BF176" s="104"/>
      <c r="BG176" s="104"/>
      <c r="BH176" s="104"/>
      <c r="BI176" s="104"/>
      <c r="BJ176" s="104"/>
      <c r="BK176" s="104"/>
      <c r="BL176" s="104"/>
      <c r="BM176" s="104"/>
      <c r="BN176" s="104"/>
      <c r="BO176" s="104"/>
      <c r="BP176" s="104"/>
      <c r="BQ176" s="104"/>
      <c r="BR176" s="104"/>
      <c r="BS176" s="104"/>
      <c r="BT176" s="104"/>
      <c r="BU176" s="104"/>
      <c r="BV176" s="104"/>
      <c r="BW176" s="104"/>
      <c r="BX176" s="104"/>
      <c r="BY176" s="104"/>
      <c r="BZ176" s="104"/>
      <c r="CA176" s="104"/>
      <c r="CB176" s="104"/>
      <c r="CC176" s="104"/>
      <c r="CD176" s="104"/>
      <c r="CE176" s="104"/>
      <c r="CF176" s="104"/>
      <c r="CG176" s="104"/>
      <c r="CH176" s="104"/>
    </row>
    <row r="177" spans="1:86" x14ac:dyDescent="0.2">
      <c r="A177" s="104"/>
      <c r="B177" s="105"/>
      <c r="C177" s="104"/>
      <c r="D177" s="105"/>
      <c r="E177" s="197"/>
      <c r="F177" s="105"/>
      <c r="G177" s="105"/>
      <c r="H177" s="105"/>
      <c r="I177" s="105"/>
      <c r="J177" s="105"/>
      <c r="K177" s="105"/>
      <c r="L177" s="105"/>
      <c r="M177" s="105"/>
      <c r="N177" s="105"/>
      <c r="O177" s="105"/>
      <c r="P177" s="105"/>
      <c r="Q177" s="105"/>
      <c r="R177" s="105"/>
      <c r="S177" s="105"/>
      <c r="T177" s="105"/>
      <c r="U177" s="105"/>
      <c r="V177" s="105"/>
      <c r="W177" s="104"/>
      <c r="X177" s="213"/>
      <c r="Y177" s="105"/>
      <c r="Z177" s="105"/>
      <c r="AA177" s="105"/>
      <c r="AB177" s="104"/>
      <c r="AC177"/>
      <c r="AD177"/>
      <c r="AE177" s="104"/>
      <c r="AF177" s="104"/>
      <c r="AG177" s="104"/>
      <c r="AH177" s="104"/>
      <c r="AI177" s="104"/>
      <c r="AJ177" s="104"/>
      <c r="AK177" s="104"/>
      <c r="AL177" s="104"/>
      <c r="AM177" s="104"/>
      <c r="AN177" s="104"/>
      <c r="AO177" s="104"/>
      <c r="AP177" s="104"/>
      <c r="AQ177" s="104"/>
      <c r="AR177" s="104"/>
      <c r="AS177" s="104"/>
      <c r="AT177" s="104"/>
      <c r="AU177" s="104"/>
      <c r="AV177" s="104"/>
      <c r="AW177" s="104"/>
      <c r="AX177" s="104"/>
      <c r="AY177" s="104"/>
      <c r="AZ177" s="104"/>
      <c r="BA177" s="104"/>
      <c r="BB177" s="104"/>
      <c r="BC177" s="104"/>
      <c r="BD177" s="104"/>
      <c r="BE177" s="104"/>
      <c r="BF177" s="104"/>
      <c r="BG177" s="104"/>
      <c r="BH177" s="104"/>
      <c r="BI177" s="104"/>
      <c r="BJ177" s="104"/>
      <c r="BK177" s="104"/>
      <c r="BL177" s="104"/>
      <c r="BM177" s="104"/>
      <c r="BN177" s="104"/>
      <c r="BO177" s="104"/>
      <c r="BP177" s="104"/>
      <c r="BQ177" s="104"/>
      <c r="BR177" s="104"/>
      <c r="BS177" s="104"/>
      <c r="BT177" s="104"/>
      <c r="BU177" s="104"/>
      <c r="BV177" s="104"/>
      <c r="BW177" s="104"/>
      <c r="BX177" s="104"/>
      <c r="BY177" s="104"/>
      <c r="BZ177" s="104"/>
      <c r="CA177" s="104"/>
      <c r="CB177" s="104"/>
      <c r="CC177" s="104"/>
      <c r="CD177" s="104"/>
      <c r="CE177" s="104"/>
      <c r="CF177" s="104"/>
      <c r="CG177" s="104"/>
      <c r="CH177" s="104"/>
    </row>
    <row r="178" spans="1:86" x14ac:dyDescent="0.2">
      <c r="A178" s="104"/>
      <c r="B178" s="105"/>
      <c r="C178" s="104"/>
      <c r="D178" s="105"/>
      <c r="E178" s="197"/>
      <c r="F178" s="105"/>
      <c r="G178" s="105"/>
      <c r="H178" s="105"/>
      <c r="I178" s="105"/>
      <c r="J178" s="105"/>
      <c r="K178" s="105"/>
      <c r="L178" s="105"/>
      <c r="M178" s="105"/>
      <c r="N178" s="105"/>
      <c r="O178" s="105"/>
      <c r="P178" s="105"/>
      <c r="Q178" s="105"/>
      <c r="R178" s="105"/>
      <c r="S178" s="105"/>
      <c r="T178" s="105"/>
      <c r="U178" s="105"/>
      <c r="V178" s="105"/>
      <c r="W178" s="104"/>
      <c r="X178" s="213"/>
      <c r="Y178" s="105"/>
      <c r="Z178" s="105"/>
      <c r="AA178" s="105"/>
      <c r="AB178" s="104"/>
      <c r="AC178"/>
      <c r="AD178"/>
      <c r="AE178" s="104"/>
      <c r="AF178" s="104"/>
      <c r="AG178" s="104"/>
      <c r="AH178" s="104"/>
      <c r="AI178" s="104"/>
      <c r="AJ178" s="104"/>
      <c r="AK178" s="104"/>
      <c r="AL178" s="104"/>
      <c r="AM178" s="104"/>
      <c r="AN178" s="104"/>
      <c r="AO178" s="104"/>
      <c r="AP178" s="104"/>
      <c r="AQ178" s="104"/>
      <c r="AR178" s="104"/>
      <c r="AS178" s="104"/>
      <c r="AT178" s="104"/>
      <c r="AU178" s="104"/>
      <c r="AV178" s="104"/>
      <c r="AW178" s="104"/>
      <c r="AX178" s="104"/>
      <c r="AY178" s="104"/>
      <c r="AZ178" s="104"/>
      <c r="BA178" s="104"/>
      <c r="BB178" s="104"/>
      <c r="BC178" s="104"/>
      <c r="BD178" s="104"/>
      <c r="BE178" s="104"/>
      <c r="BF178" s="104"/>
      <c r="BG178" s="104"/>
      <c r="BH178" s="104"/>
      <c r="BI178" s="104"/>
      <c r="BJ178" s="104"/>
      <c r="BK178" s="104"/>
      <c r="BL178" s="104"/>
      <c r="BM178" s="104"/>
      <c r="BN178" s="104"/>
      <c r="BO178" s="104"/>
      <c r="BP178" s="104"/>
      <c r="BQ178" s="104"/>
      <c r="BR178" s="104"/>
      <c r="BS178" s="104"/>
      <c r="BT178" s="104"/>
      <c r="BU178" s="104"/>
      <c r="BV178" s="104"/>
      <c r="BW178" s="104"/>
      <c r="BX178" s="104"/>
      <c r="BY178" s="104"/>
      <c r="BZ178" s="104"/>
      <c r="CA178" s="104"/>
      <c r="CB178" s="104"/>
      <c r="CC178" s="104"/>
      <c r="CD178" s="104"/>
      <c r="CE178" s="104"/>
      <c r="CF178" s="104"/>
      <c r="CG178" s="104"/>
      <c r="CH178" s="104"/>
    </row>
    <row r="179" spans="1:86" x14ac:dyDescent="0.2">
      <c r="A179" s="104"/>
      <c r="B179" s="105"/>
      <c r="C179" s="104"/>
      <c r="D179" s="105"/>
      <c r="E179" s="197"/>
      <c r="F179" s="105"/>
      <c r="G179" s="105"/>
      <c r="H179" s="105"/>
      <c r="I179" s="105"/>
      <c r="J179" s="105"/>
      <c r="K179" s="105"/>
      <c r="L179" s="105"/>
      <c r="M179" s="105"/>
      <c r="N179" s="105"/>
      <c r="O179" s="105"/>
      <c r="P179" s="105"/>
      <c r="Q179" s="105"/>
      <c r="R179" s="105"/>
      <c r="S179" s="105"/>
      <c r="T179" s="105"/>
      <c r="U179" s="105"/>
      <c r="V179" s="105"/>
      <c r="W179" s="104"/>
      <c r="X179" s="213"/>
      <c r="Y179" s="105"/>
      <c r="Z179" s="105"/>
      <c r="AA179" s="105"/>
      <c r="AB179" s="104"/>
      <c r="AC179"/>
      <c r="AD179"/>
      <c r="AE179" s="104"/>
      <c r="AF179" s="104"/>
      <c r="AG179" s="104"/>
      <c r="AH179" s="104"/>
      <c r="AI179" s="104"/>
      <c r="AJ179" s="104"/>
      <c r="AK179" s="104"/>
      <c r="AL179" s="104"/>
      <c r="AM179" s="104"/>
      <c r="AN179" s="104"/>
      <c r="AO179" s="104"/>
      <c r="AP179" s="104"/>
      <c r="AQ179" s="104"/>
      <c r="AR179" s="104"/>
      <c r="AS179" s="104"/>
      <c r="AT179" s="104"/>
      <c r="AU179" s="104"/>
      <c r="AV179" s="104"/>
      <c r="AW179" s="104"/>
      <c r="AX179" s="104"/>
      <c r="AY179" s="104"/>
      <c r="AZ179" s="104"/>
      <c r="BA179" s="104"/>
      <c r="BB179" s="104"/>
      <c r="BC179" s="104"/>
      <c r="BD179" s="104"/>
      <c r="BE179" s="104"/>
      <c r="BF179" s="104"/>
      <c r="BG179" s="104"/>
      <c r="BH179" s="104"/>
      <c r="BI179" s="104"/>
      <c r="BJ179" s="104"/>
      <c r="BK179" s="104"/>
      <c r="BL179" s="104"/>
      <c r="BM179" s="104"/>
      <c r="BN179" s="104"/>
      <c r="BO179" s="104"/>
      <c r="BP179" s="104"/>
      <c r="BQ179" s="104"/>
      <c r="BR179" s="104"/>
      <c r="BS179" s="104"/>
      <c r="BT179" s="104"/>
      <c r="BU179" s="104"/>
      <c r="BV179" s="104"/>
      <c r="BW179" s="104"/>
      <c r="BX179" s="104"/>
      <c r="BY179" s="104"/>
      <c r="BZ179" s="104"/>
      <c r="CA179" s="104"/>
      <c r="CB179" s="104"/>
      <c r="CC179" s="104"/>
      <c r="CD179" s="104"/>
      <c r="CE179" s="104"/>
      <c r="CF179" s="104"/>
      <c r="CG179" s="104"/>
      <c r="CH179" s="104"/>
    </row>
    <row r="180" spans="1:86" x14ac:dyDescent="0.2">
      <c r="A180" s="104"/>
      <c r="B180" s="105"/>
      <c r="C180" s="104"/>
      <c r="D180" s="105"/>
      <c r="E180" s="197"/>
      <c r="F180" s="105"/>
      <c r="G180" s="105"/>
      <c r="H180" s="105"/>
      <c r="I180" s="105"/>
      <c r="J180" s="105"/>
      <c r="K180" s="105"/>
      <c r="L180" s="105"/>
      <c r="M180" s="105"/>
      <c r="N180" s="105"/>
      <c r="O180" s="105"/>
      <c r="P180" s="105"/>
      <c r="Q180" s="105"/>
      <c r="R180" s="105"/>
      <c r="S180" s="105"/>
      <c r="T180" s="105"/>
      <c r="U180" s="105"/>
      <c r="V180" s="105"/>
      <c r="W180" s="104"/>
      <c r="X180" s="213"/>
      <c r="Y180" s="105"/>
      <c r="Z180" s="105"/>
      <c r="AA180" s="105"/>
      <c r="AB180" s="104"/>
      <c r="AC180"/>
      <c r="AD180"/>
      <c r="AE180" s="104"/>
      <c r="AF180" s="104"/>
      <c r="AG180" s="104"/>
      <c r="AH180" s="104"/>
      <c r="AI180" s="104"/>
      <c r="AJ180" s="104"/>
      <c r="AK180" s="104"/>
      <c r="AL180" s="104"/>
      <c r="AM180" s="104"/>
      <c r="AN180" s="104"/>
      <c r="AO180" s="104"/>
      <c r="AP180" s="104"/>
      <c r="AQ180" s="104"/>
      <c r="AR180" s="104"/>
      <c r="AS180" s="104"/>
      <c r="AT180" s="104"/>
      <c r="AU180" s="104"/>
      <c r="AV180" s="104"/>
      <c r="AW180" s="104"/>
      <c r="AX180" s="104"/>
      <c r="AY180" s="104"/>
      <c r="AZ180" s="104"/>
      <c r="BA180" s="104"/>
      <c r="BB180" s="104"/>
      <c r="BC180" s="104"/>
      <c r="BD180" s="104"/>
      <c r="BE180" s="104"/>
      <c r="BF180" s="104"/>
      <c r="BG180" s="104"/>
      <c r="BH180" s="104"/>
      <c r="BI180" s="104"/>
      <c r="BJ180" s="104"/>
      <c r="BK180" s="104"/>
      <c r="BL180" s="104"/>
      <c r="BM180" s="104"/>
      <c r="BN180" s="104"/>
      <c r="BO180" s="104"/>
      <c r="BP180" s="104"/>
      <c r="BQ180" s="104"/>
      <c r="BR180" s="104"/>
      <c r="BS180" s="104"/>
      <c r="BT180" s="104"/>
      <c r="BU180" s="104"/>
      <c r="BV180" s="104"/>
      <c r="BW180" s="104"/>
      <c r="BX180" s="104"/>
      <c r="BY180" s="104"/>
      <c r="BZ180" s="104"/>
      <c r="CA180" s="104"/>
      <c r="CB180" s="104"/>
      <c r="CC180" s="104"/>
      <c r="CD180" s="104"/>
      <c r="CE180" s="104"/>
      <c r="CF180" s="104"/>
      <c r="CG180" s="104"/>
      <c r="CH180" s="104"/>
    </row>
    <row r="181" spans="1:86" x14ac:dyDescent="0.2">
      <c r="A181" s="104"/>
      <c r="B181" s="105"/>
      <c r="C181" s="104"/>
      <c r="D181" s="105"/>
      <c r="E181" s="197"/>
      <c r="F181" s="105"/>
      <c r="G181" s="105"/>
      <c r="H181" s="105"/>
      <c r="I181" s="105"/>
      <c r="J181" s="105"/>
      <c r="K181" s="105"/>
      <c r="L181" s="105"/>
      <c r="M181" s="105"/>
      <c r="N181" s="105"/>
      <c r="O181" s="105"/>
      <c r="P181" s="105"/>
      <c r="Q181" s="105"/>
      <c r="R181" s="105"/>
      <c r="S181" s="105"/>
      <c r="T181" s="105"/>
      <c r="U181" s="105"/>
      <c r="V181" s="105"/>
      <c r="W181" s="104"/>
      <c r="X181" s="213"/>
      <c r="Y181" s="105"/>
      <c r="Z181" s="105"/>
      <c r="AA181" s="105"/>
      <c r="AB181" s="104"/>
      <c r="AC181"/>
      <c r="AD181"/>
      <c r="AE181" s="104"/>
      <c r="AF181" s="104"/>
      <c r="AG181" s="104"/>
      <c r="AH181" s="104"/>
      <c r="AI181" s="104"/>
      <c r="AJ181" s="104"/>
      <c r="AK181" s="104"/>
      <c r="AL181" s="104"/>
      <c r="AM181" s="104"/>
      <c r="AN181" s="104"/>
      <c r="AO181" s="104"/>
      <c r="AP181" s="104"/>
      <c r="AQ181" s="104"/>
      <c r="AR181" s="104"/>
      <c r="AS181" s="104"/>
      <c r="AT181" s="104"/>
      <c r="AU181" s="104"/>
      <c r="AV181" s="104"/>
      <c r="AW181" s="104"/>
      <c r="AX181" s="104"/>
      <c r="AY181" s="104"/>
      <c r="AZ181" s="104"/>
      <c r="BA181" s="104"/>
      <c r="BB181" s="104"/>
      <c r="BC181" s="104"/>
      <c r="BD181" s="104"/>
      <c r="BE181" s="104"/>
      <c r="BF181" s="104"/>
      <c r="BG181" s="104"/>
      <c r="BH181" s="104"/>
      <c r="BI181" s="104"/>
      <c r="BJ181" s="104"/>
      <c r="BK181" s="104"/>
      <c r="BL181" s="104"/>
      <c r="BM181" s="104"/>
      <c r="BN181" s="104"/>
      <c r="BO181" s="104"/>
      <c r="BP181" s="104"/>
      <c r="BQ181" s="104"/>
      <c r="BR181" s="104"/>
      <c r="BS181" s="104"/>
      <c r="BT181" s="104"/>
      <c r="BU181" s="104"/>
      <c r="BV181" s="104"/>
      <c r="BW181" s="104"/>
      <c r="BX181" s="104"/>
      <c r="BY181" s="104"/>
      <c r="BZ181" s="104"/>
      <c r="CA181" s="104"/>
      <c r="CB181" s="104"/>
      <c r="CC181" s="104"/>
      <c r="CD181" s="104"/>
      <c r="CE181" s="104"/>
      <c r="CF181" s="104"/>
      <c r="CG181" s="104"/>
      <c r="CH181" s="104"/>
    </row>
    <row r="182" spans="1:86" x14ac:dyDescent="0.2">
      <c r="A182" s="104"/>
      <c r="B182" s="105"/>
      <c r="C182" s="104"/>
      <c r="D182" s="105"/>
      <c r="E182" s="197"/>
      <c r="F182" s="105"/>
      <c r="G182" s="105"/>
      <c r="H182" s="105"/>
      <c r="I182" s="105"/>
      <c r="J182" s="105"/>
      <c r="K182" s="105"/>
      <c r="L182" s="105"/>
      <c r="M182" s="105"/>
      <c r="N182" s="105"/>
      <c r="O182" s="105"/>
      <c r="P182" s="105"/>
      <c r="Q182" s="105"/>
      <c r="R182" s="105"/>
      <c r="S182" s="105"/>
      <c r="T182" s="105"/>
      <c r="U182" s="105"/>
      <c r="V182" s="105"/>
      <c r="W182" s="104"/>
      <c r="X182" s="213"/>
      <c r="Y182" s="105"/>
      <c r="Z182" s="105"/>
      <c r="AA182" s="105"/>
      <c r="AB182" s="104"/>
      <c r="AC182"/>
      <c r="AD182"/>
      <c r="AE182" s="104"/>
      <c r="AF182" s="104"/>
      <c r="AG182" s="104"/>
      <c r="AH182" s="104"/>
      <c r="AI182" s="104"/>
      <c r="AJ182" s="104"/>
      <c r="AK182" s="104"/>
      <c r="AL182" s="104"/>
      <c r="AM182" s="104"/>
      <c r="AN182" s="104"/>
      <c r="AO182" s="104"/>
      <c r="AP182" s="104"/>
      <c r="AQ182" s="104"/>
      <c r="AR182" s="104"/>
      <c r="AS182" s="104"/>
      <c r="AT182" s="104"/>
      <c r="AU182" s="104"/>
      <c r="AV182" s="104"/>
      <c r="AW182" s="104"/>
      <c r="AX182" s="104"/>
      <c r="AY182" s="104"/>
      <c r="AZ182" s="104"/>
      <c r="BA182" s="104"/>
      <c r="BB182" s="104"/>
      <c r="BC182" s="104"/>
      <c r="BD182" s="104"/>
      <c r="BE182" s="104"/>
      <c r="BF182" s="104"/>
      <c r="BG182" s="104"/>
      <c r="BH182" s="104"/>
      <c r="BI182" s="104"/>
      <c r="BJ182" s="104"/>
      <c r="BK182" s="104"/>
      <c r="BL182" s="104"/>
      <c r="BM182" s="104"/>
      <c r="BN182" s="104"/>
      <c r="BO182" s="104"/>
      <c r="BP182" s="104"/>
      <c r="BQ182" s="104"/>
      <c r="BR182" s="104"/>
      <c r="BS182" s="104"/>
      <c r="BT182" s="104"/>
      <c r="BU182" s="104"/>
      <c r="BV182" s="104"/>
      <c r="BW182" s="104"/>
      <c r="BX182" s="104"/>
      <c r="BY182" s="104"/>
      <c r="BZ182" s="104"/>
      <c r="CA182" s="104"/>
      <c r="CB182" s="104"/>
      <c r="CC182" s="104"/>
      <c r="CD182" s="104"/>
      <c r="CE182" s="104"/>
      <c r="CF182" s="104"/>
      <c r="CG182" s="104"/>
      <c r="CH182" s="104"/>
    </row>
    <row r="183" spans="1:86" x14ac:dyDescent="0.2">
      <c r="A183" s="104"/>
      <c r="B183" s="105"/>
      <c r="C183" s="104"/>
      <c r="D183" s="105"/>
      <c r="E183" s="197"/>
      <c r="F183" s="105"/>
      <c r="G183" s="105"/>
      <c r="H183" s="105"/>
      <c r="I183" s="105"/>
      <c r="J183" s="105"/>
      <c r="K183" s="105"/>
      <c r="L183" s="105"/>
      <c r="M183" s="105"/>
      <c r="N183" s="105"/>
      <c r="O183" s="105"/>
      <c r="P183" s="105"/>
      <c r="Q183" s="105"/>
      <c r="R183" s="105"/>
      <c r="S183" s="105"/>
      <c r="T183" s="105"/>
      <c r="U183" s="105"/>
      <c r="V183" s="105"/>
      <c r="W183" s="104"/>
      <c r="X183" s="213"/>
      <c r="Y183" s="105"/>
      <c r="Z183" s="105"/>
      <c r="AA183" s="105"/>
      <c r="AB183" s="104"/>
      <c r="AC183"/>
      <c r="AD183"/>
      <c r="AE183" s="104"/>
      <c r="AF183" s="104"/>
      <c r="AG183" s="104"/>
      <c r="AH183" s="104"/>
      <c r="AI183" s="104"/>
      <c r="AJ183" s="104"/>
      <c r="AK183" s="104"/>
      <c r="AL183" s="104"/>
      <c r="AM183" s="104"/>
      <c r="AN183" s="104"/>
      <c r="AO183" s="104"/>
      <c r="AP183" s="104"/>
      <c r="AQ183" s="104"/>
      <c r="AR183" s="104"/>
      <c r="AS183" s="104"/>
      <c r="AT183" s="104"/>
      <c r="AU183" s="104"/>
      <c r="AV183" s="104"/>
      <c r="AW183" s="104"/>
      <c r="AX183" s="104"/>
      <c r="AY183" s="104"/>
      <c r="AZ183" s="104"/>
      <c r="BA183" s="104"/>
      <c r="BB183" s="104"/>
      <c r="BC183" s="104"/>
      <c r="BD183" s="104"/>
      <c r="BE183" s="104"/>
      <c r="BF183" s="104"/>
      <c r="BG183" s="104"/>
      <c r="BH183" s="104"/>
      <c r="BI183" s="104"/>
      <c r="BJ183" s="104"/>
      <c r="BK183" s="104"/>
      <c r="BL183" s="104"/>
      <c r="BM183" s="104"/>
      <c r="BN183" s="104"/>
      <c r="BO183" s="104"/>
      <c r="BP183" s="104"/>
      <c r="BQ183" s="104"/>
      <c r="BR183" s="104"/>
      <c r="BS183" s="104"/>
      <c r="BT183" s="104"/>
      <c r="BU183" s="104"/>
      <c r="BV183" s="104"/>
      <c r="BW183" s="104"/>
      <c r="BX183" s="104"/>
      <c r="BY183" s="104"/>
      <c r="BZ183" s="104"/>
      <c r="CA183" s="104"/>
      <c r="CB183" s="104"/>
      <c r="CC183" s="104"/>
      <c r="CD183" s="104"/>
      <c r="CE183" s="104"/>
      <c r="CF183" s="104"/>
      <c r="CG183" s="104"/>
      <c r="CH183" s="104"/>
    </row>
    <row r="184" spans="1:86" x14ac:dyDescent="0.2">
      <c r="A184" s="104"/>
      <c r="B184" s="105"/>
      <c r="C184" s="104"/>
      <c r="D184" s="105"/>
      <c r="E184" s="197"/>
      <c r="F184" s="105"/>
      <c r="G184" s="105"/>
      <c r="H184" s="105"/>
      <c r="I184" s="105"/>
      <c r="J184" s="105"/>
      <c r="K184" s="105"/>
      <c r="L184" s="105"/>
      <c r="M184" s="105"/>
      <c r="N184" s="105"/>
      <c r="O184" s="105"/>
      <c r="P184" s="105"/>
      <c r="Q184" s="105"/>
      <c r="R184" s="105"/>
      <c r="S184" s="105"/>
      <c r="T184" s="105"/>
      <c r="U184" s="105"/>
      <c r="V184" s="105"/>
      <c r="W184" s="104"/>
      <c r="X184" s="213"/>
      <c r="Y184" s="105"/>
      <c r="Z184" s="105"/>
      <c r="AA184" s="105"/>
      <c r="AB184" s="104"/>
      <c r="AC184"/>
      <c r="AD184"/>
      <c r="AE184" s="104"/>
      <c r="AF184" s="104"/>
      <c r="AG184" s="104"/>
      <c r="AH184" s="104"/>
      <c r="AI184" s="104"/>
      <c r="AJ184" s="104"/>
      <c r="AK184" s="104"/>
      <c r="AL184" s="104"/>
      <c r="AM184" s="104"/>
      <c r="AN184" s="104"/>
      <c r="AO184" s="104"/>
      <c r="AP184" s="104"/>
      <c r="AQ184" s="104"/>
      <c r="AR184" s="104"/>
      <c r="AS184" s="104"/>
      <c r="AT184" s="104"/>
      <c r="AU184" s="104"/>
      <c r="AV184" s="104"/>
      <c r="AW184" s="104"/>
      <c r="AX184" s="104"/>
      <c r="AY184" s="104"/>
      <c r="AZ184" s="104"/>
      <c r="BA184" s="104"/>
      <c r="BB184" s="104"/>
      <c r="BC184" s="104"/>
      <c r="BD184" s="104"/>
      <c r="BE184" s="104"/>
      <c r="BF184" s="104"/>
      <c r="BG184" s="104"/>
      <c r="BH184" s="104"/>
      <c r="BI184" s="104"/>
      <c r="BJ184" s="104"/>
      <c r="BK184" s="104"/>
      <c r="BL184" s="104"/>
      <c r="BM184" s="104"/>
      <c r="BN184" s="104"/>
      <c r="BO184" s="104"/>
      <c r="BP184" s="104"/>
      <c r="BQ184" s="104"/>
      <c r="BR184" s="104"/>
      <c r="BS184" s="104"/>
      <c r="BT184" s="104"/>
      <c r="BU184" s="104"/>
      <c r="BV184" s="104"/>
      <c r="BW184" s="104"/>
      <c r="BX184" s="104"/>
      <c r="BY184" s="104"/>
      <c r="BZ184" s="104"/>
      <c r="CA184" s="104"/>
      <c r="CB184" s="104"/>
      <c r="CC184" s="104"/>
      <c r="CD184" s="104"/>
      <c r="CE184" s="104"/>
      <c r="CF184" s="104"/>
      <c r="CG184" s="104"/>
      <c r="CH184" s="104"/>
    </row>
    <row r="185" spans="1:86" x14ac:dyDescent="0.2">
      <c r="A185" s="104"/>
      <c r="B185" s="105"/>
      <c r="C185" s="104"/>
      <c r="D185" s="105"/>
      <c r="E185" s="197"/>
      <c r="F185" s="105"/>
      <c r="G185" s="105"/>
      <c r="H185" s="105"/>
      <c r="I185" s="105"/>
      <c r="J185" s="105"/>
      <c r="K185" s="105"/>
      <c r="L185" s="105"/>
      <c r="M185" s="105"/>
      <c r="N185" s="105"/>
      <c r="O185" s="105"/>
      <c r="P185" s="105"/>
      <c r="Q185" s="105"/>
      <c r="R185" s="105"/>
      <c r="S185" s="105"/>
      <c r="T185" s="105"/>
      <c r="U185" s="105"/>
      <c r="V185" s="105"/>
      <c r="W185" s="104"/>
      <c r="X185" s="213"/>
      <c r="Y185" s="105"/>
      <c r="Z185" s="105"/>
      <c r="AA185" s="105"/>
      <c r="AB185" s="104"/>
      <c r="AC185" s="104"/>
      <c r="AD185" s="104"/>
      <c r="AE185" s="104"/>
      <c r="AF185" s="104"/>
      <c r="AG185" s="104"/>
      <c r="AH185" s="104"/>
      <c r="AI185" s="104"/>
      <c r="AJ185" s="104"/>
      <c r="AK185" s="104"/>
      <c r="AL185" s="104"/>
      <c r="AM185" s="104"/>
      <c r="AN185" s="104"/>
      <c r="AO185" s="104"/>
      <c r="AP185" s="104"/>
      <c r="AQ185" s="104"/>
      <c r="AR185" s="104"/>
      <c r="AS185" s="104"/>
      <c r="AT185" s="104"/>
      <c r="AU185" s="104"/>
      <c r="AV185" s="104"/>
      <c r="AW185" s="104"/>
      <c r="AX185" s="104"/>
      <c r="AY185" s="104"/>
      <c r="AZ185" s="104"/>
      <c r="BA185" s="104"/>
      <c r="BB185" s="104"/>
      <c r="BC185" s="104"/>
      <c r="BD185" s="104"/>
      <c r="BE185" s="104"/>
      <c r="BF185" s="104"/>
      <c r="BG185" s="104"/>
      <c r="BH185" s="104"/>
      <c r="BI185" s="104"/>
      <c r="BJ185" s="104"/>
      <c r="BK185" s="104"/>
      <c r="BL185" s="104"/>
      <c r="BM185" s="104"/>
      <c r="BN185" s="104"/>
      <c r="BO185" s="104"/>
      <c r="BP185" s="104"/>
      <c r="BQ185" s="104"/>
      <c r="BR185" s="104"/>
      <c r="BS185" s="104"/>
      <c r="BT185" s="104"/>
      <c r="BU185" s="104"/>
      <c r="BV185" s="104"/>
      <c r="BW185" s="104"/>
      <c r="BX185" s="104"/>
      <c r="BY185" s="104"/>
      <c r="BZ185" s="104"/>
      <c r="CA185" s="104"/>
      <c r="CB185" s="104"/>
      <c r="CC185" s="104"/>
      <c r="CD185" s="104"/>
      <c r="CE185" s="104"/>
      <c r="CF185" s="104"/>
      <c r="CG185" s="104"/>
      <c r="CH185" s="104"/>
    </row>
    <row r="186" spans="1:86" x14ac:dyDescent="0.2">
      <c r="A186" s="104"/>
      <c r="B186" s="105"/>
      <c r="C186" s="104"/>
      <c r="D186" s="105"/>
      <c r="E186" s="197"/>
      <c r="F186" s="105"/>
      <c r="G186" s="105"/>
      <c r="H186" s="105"/>
      <c r="I186" s="105"/>
      <c r="J186" s="105"/>
      <c r="K186" s="105"/>
      <c r="L186" s="105"/>
      <c r="M186" s="105"/>
      <c r="N186" s="105"/>
      <c r="O186" s="105"/>
      <c r="P186" s="105"/>
      <c r="Q186" s="105"/>
      <c r="R186" s="105"/>
      <c r="S186" s="105"/>
      <c r="T186" s="105"/>
      <c r="U186" s="105"/>
      <c r="V186" s="105"/>
      <c r="W186" s="104"/>
      <c r="X186" s="213"/>
      <c r="Y186" s="105"/>
      <c r="Z186" s="105"/>
      <c r="AA186" s="105"/>
      <c r="AB186" s="104"/>
      <c r="AC186" s="104"/>
      <c r="AD186" s="104"/>
      <c r="AE186" s="104"/>
      <c r="AF186" s="104"/>
      <c r="AG186" s="104"/>
      <c r="AH186" s="104"/>
      <c r="AI186" s="104"/>
      <c r="AJ186" s="104"/>
      <c r="AK186" s="104"/>
      <c r="AL186" s="104"/>
      <c r="AM186" s="104"/>
      <c r="AN186" s="104"/>
      <c r="AO186" s="104"/>
      <c r="AP186" s="104"/>
      <c r="AQ186" s="104"/>
      <c r="AR186" s="104"/>
      <c r="AS186" s="104"/>
      <c r="AT186" s="104"/>
      <c r="AU186" s="104"/>
      <c r="AV186" s="104"/>
      <c r="AW186" s="104"/>
      <c r="AX186" s="104"/>
      <c r="AY186" s="104"/>
      <c r="AZ186" s="104"/>
      <c r="BA186" s="104"/>
      <c r="BB186" s="104"/>
      <c r="BC186" s="104"/>
      <c r="BD186" s="104"/>
      <c r="BE186" s="104"/>
      <c r="BF186" s="104"/>
      <c r="BG186" s="104"/>
      <c r="BH186" s="104"/>
      <c r="BI186" s="104"/>
      <c r="BJ186" s="104"/>
      <c r="BK186" s="104"/>
      <c r="BL186" s="104"/>
      <c r="BM186" s="104"/>
      <c r="BN186" s="104"/>
      <c r="BO186" s="104"/>
      <c r="BP186" s="104"/>
      <c r="BQ186" s="104"/>
      <c r="BR186" s="104"/>
      <c r="BS186" s="104"/>
      <c r="BT186" s="104"/>
      <c r="BU186" s="104"/>
      <c r="BV186" s="104"/>
      <c r="BW186" s="104"/>
      <c r="BX186" s="104"/>
      <c r="BY186" s="104"/>
      <c r="BZ186" s="104"/>
      <c r="CA186" s="104"/>
      <c r="CB186" s="104"/>
      <c r="CC186" s="104"/>
      <c r="CD186" s="104"/>
      <c r="CE186" s="104"/>
      <c r="CF186" s="104"/>
      <c r="CG186" s="104"/>
      <c r="CH186" s="104"/>
    </row>
    <row r="187" spans="1:86" x14ac:dyDescent="0.2">
      <c r="A187" s="104"/>
      <c r="B187" s="105"/>
      <c r="C187" s="104"/>
      <c r="D187" s="105"/>
      <c r="E187" s="197"/>
      <c r="F187" s="105"/>
      <c r="G187" s="105"/>
      <c r="H187" s="105"/>
      <c r="I187" s="105"/>
      <c r="J187" s="105"/>
      <c r="K187" s="105"/>
      <c r="L187" s="105"/>
      <c r="M187" s="105"/>
      <c r="N187" s="105"/>
      <c r="O187" s="105"/>
      <c r="P187" s="105"/>
      <c r="Q187" s="105"/>
      <c r="R187" s="105"/>
      <c r="S187" s="105"/>
      <c r="T187" s="105"/>
      <c r="U187" s="105"/>
      <c r="V187" s="105"/>
      <c r="W187" s="104"/>
      <c r="X187" s="213"/>
      <c r="Y187" s="105"/>
      <c r="Z187" s="105"/>
      <c r="AA187" s="105"/>
      <c r="AB187" s="104"/>
      <c r="AC187" s="104"/>
      <c r="AD187" s="104"/>
      <c r="AE187" s="104"/>
      <c r="AF187" s="104"/>
      <c r="AG187" s="104"/>
      <c r="AH187" s="104"/>
      <c r="AI187" s="104"/>
      <c r="AJ187" s="104"/>
      <c r="AK187" s="104"/>
      <c r="AL187" s="104"/>
      <c r="AM187" s="104"/>
      <c r="AN187" s="104"/>
      <c r="AO187" s="104"/>
      <c r="AP187" s="104"/>
      <c r="AQ187" s="104"/>
      <c r="AR187" s="104"/>
      <c r="AS187" s="104"/>
      <c r="AT187" s="104"/>
      <c r="AU187" s="104"/>
      <c r="AV187" s="104"/>
      <c r="AW187" s="104"/>
      <c r="AX187" s="104"/>
      <c r="AY187" s="104"/>
      <c r="AZ187" s="104"/>
      <c r="BA187" s="104"/>
      <c r="BB187" s="104"/>
      <c r="BC187" s="104"/>
      <c r="BD187" s="104"/>
      <c r="BE187" s="104"/>
      <c r="BF187" s="104"/>
      <c r="BG187" s="104"/>
      <c r="BH187" s="104"/>
      <c r="BI187" s="104"/>
      <c r="BJ187" s="104"/>
      <c r="BK187" s="104"/>
      <c r="BL187" s="104"/>
      <c r="BM187" s="104"/>
      <c r="BN187" s="104"/>
      <c r="BO187" s="104"/>
      <c r="BP187" s="104"/>
      <c r="BQ187" s="104"/>
      <c r="BR187" s="104"/>
      <c r="BS187" s="104"/>
      <c r="BT187" s="104"/>
      <c r="BU187" s="104"/>
      <c r="BV187" s="104"/>
      <c r="BW187" s="104"/>
      <c r="BX187" s="104"/>
      <c r="BY187" s="104"/>
      <c r="BZ187" s="104"/>
      <c r="CA187" s="104"/>
      <c r="CB187" s="104"/>
      <c r="CC187" s="104"/>
      <c r="CD187" s="104"/>
      <c r="CE187" s="104"/>
      <c r="CF187" s="104"/>
      <c r="CG187" s="104"/>
      <c r="CH187" s="104"/>
    </row>
    <row r="188" spans="1:86" x14ac:dyDescent="0.2">
      <c r="A188" s="104"/>
      <c r="B188" s="105"/>
      <c r="C188" s="104"/>
      <c r="D188" s="105"/>
      <c r="E188" s="197"/>
      <c r="F188" s="105"/>
      <c r="G188" s="105"/>
      <c r="H188" s="105"/>
      <c r="I188" s="105"/>
      <c r="J188" s="105"/>
      <c r="K188" s="105"/>
      <c r="L188" s="105"/>
      <c r="M188" s="105"/>
      <c r="N188" s="105"/>
      <c r="O188" s="105"/>
      <c r="P188" s="105"/>
      <c r="Q188" s="105"/>
      <c r="R188" s="105"/>
      <c r="S188" s="105"/>
      <c r="T188" s="105"/>
      <c r="U188" s="105"/>
      <c r="V188" s="105"/>
      <c r="W188" s="104"/>
      <c r="X188" s="213"/>
      <c r="Y188" s="105"/>
      <c r="Z188" s="105"/>
      <c r="AA188" s="105"/>
      <c r="AB188" s="104"/>
      <c r="AC188" s="104"/>
      <c r="AD188" s="104"/>
      <c r="AE188" s="104"/>
      <c r="AF188" s="104"/>
      <c r="AG188" s="104"/>
      <c r="AH188" s="104"/>
      <c r="AI188" s="104"/>
      <c r="AJ188" s="104"/>
      <c r="AK188" s="104"/>
      <c r="AL188" s="104"/>
      <c r="AM188" s="104"/>
      <c r="AN188" s="104"/>
      <c r="AO188" s="104"/>
      <c r="AP188" s="104"/>
      <c r="AQ188" s="104"/>
      <c r="AR188" s="104"/>
      <c r="AS188" s="104"/>
      <c r="AT188" s="104"/>
      <c r="AU188" s="104"/>
      <c r="AV188" s="104"/>
      <c r="AW188" s="104"/>
      <c r="AX188" s="104"/>
      <c r="AY188" s="104"/>
      <c r="AZ188" s="104"/>
      <c r="BA188" s="104"/>
      <c r="BB188" s="104"/>
      <c r="BC188" s="104"/>
      <c r="BD188" s="104"/>
      <c r="BE188" s="104"/>
      <c r="BF188" s="104"/>
      <c r="BG188" s="104"/>
      <c r="BH188" s="104"/>
      <c r="BI188" s="104"/>
      <c r="BJ188" s="104"/>
      <c r="BK188" s="104"/>
      <c r="BL188" s="104"/>
      <c r="BM188" s="104"/>
      <c r="BN188" s="104"/>
      <c r="BO188" s="104"/>
      <c r="BP188" s="104"/>
      <c r="BQ188" s="104"/>
      <c r="BR188" s="104"/>
      <c r="BS188" s="104"/>
      <c r="BT188" s="104"/>
      <c r="BU188" s="104"/>
      <c r="BV188" s="104"/>
      <c r="BW188" s="104"/>
      <c r="BX188" s="104"/>
      <c r="BY188" s="104"/>
      <c r="BZ188" s="104"/>
      <c r="CA188" s="104"/>
      <c r="CB188" s="104"/>
      <c r="CC188" s="104"/>
      <c r="CD188" s="104"/>
      <c r="CE188" s="104"/>
      <c r="CF188" s="104"/>
      <c r="CG188" s="104"/>
      <c r="CH188" s="104"/>
    </row>
    <row r="189" spans="1:86" x14ac:dyDescent="0.2">
      <c r="A189" s="104"/>
      <c r="B189" s="105"/>
      <c r="C189" s="104"/>
      <c r="D189" s="105"/>
      <c r="E189" s="197"/>
      <c r="F189" s="105"/>
      <c r="G189" s="105"/>
      <c r="H189" s="105"/>
      <c r="I189" s="105"/>
      <c r="J189" s="105"/>
      <c r="K189" s="105"/>
      <c r="L189" s="105"/>
      <c r="M189" s="105"/>
      <c r="N189" s="105"/>
      <c r="O189" s="105"/>
      <c r="P189" s="105"/>
      <c r="Q189" s="105"/>
      <c r="R189" s="105"/>
      <c r="S189" s="105"/>
      <c r="T189" s="105"/>
      <c r="U189" s="105"/>
      <c r="V189" s="105"/>
      <c r="W189" s="104"/>
      <c r="X189" s="213"/>
      <c r="Y189" s="105"/>
      <c r="Z189" s="105"/>
      <c r="AA189" s="105"/>
      <c r="AB189" s="104"/>
      <c r="AC189" s="104"/>
      <c r="AD189" s="104"/>
      <c r="AE189" s="104"/>
      <c r="AF189" s="104"/>
      <c r="AG189" s="104"/>
      <c r="AH189" s="104"/>
      <c r="AI189" s="104"/>
      <c r="AJ189" s="104"/>
      <c r="AK189" s="104"/>
      <c r="AL189" s="104"/>
      <c r="AM189" s="104"/>
      <c r="AN189" s="104"/>
      <c r="AO189" s="104"/>
      <c r="AP189" s="104"/>
      <c r="AQ189" s="104"/>
      <c r="AR189" s="104"/>
      <c r="AS189" s="104"/>
      <c r="AT189" s="104"/>
      <c r="AU189" s="104"/>
      <c r="AV189" s="104"/>
      <c r="AW189" s="104"/>
      <c r="AX189" s="104"/>
      <c r="AY189" s="104"/>
      <c r="AZ189" s="104"/>
      <c r="BA189" s="104"/>
      <c r="BB189" s="104"/>
      <c r="BC189" s="104"/>
      <c r="BD189" s="104"/>
      <c r="BE189" s="104"/>
      <c r="BF189" s="104"/>
      <c r="BG189" s="104"/>
      <c r="BH189" s="104"/>
      <c r="BI189" s="104"/>
      <c r="BJ189" s="104"/>
      <c r="BK189" s="104"/>
      <c r="BL189" s="104"/>
      <c r="BM189" s="104"/>
      <c r="BN189" s="104"/>
      <c r="BO189" s="104"/>
      <c r="BP189" s="104"/>
      <c r="BQ189" s="104"/>
      <c r="BR189" s="104"/>
      <c r="BS189" s="104"/>
      <c r="BT189" s="104"/>
      <c r="BU189" s="104"/>
      <c r="BV189" s="104"/>
      <c r="BW189" s="104"/>
      <c r="BX189" s="104"/>
      <c r="BY189" s="104"/>
      <c r="BZ189" s="104"/>
      <c r="CA189" s="104"/>
      <c r="CB189" s="104"/>
      <c r="CC189" s="104"/>
      <c r="CD189" s="104"/>
      <c r="CE189" s="104"/>
      <c r="CF189" s="104"/>
      <c r="CG189" s="104"/>
      <c r="CH189" s="104"/>
    </row>
    <row r="190" spans="1:86" x14ac:dyDescent="0.2">
      <c r="A190" s="104"/>
      <c r="B190" s="105"/>
      <c r="C190" s="104"/>
      <c r="D190" s="105"/>
      <c r="E190" s="197"/>
      <c r="F190" s="105"/>
      <c r="G190" s="105"/>
      <c r="H190" s="105"/>
      <c r="I190" s="105"/>
      <c r="J190" s="105"/>
      <c r="K190" s="105"/>
      <c r="L190" s="105"/>
      <c r="M190" s="105"/>
      <c r="N190" s="105"/>
      <c r="O190" s="105"/>
      <c r="P190" s="105"/>
      <c r="Q190" s="105"/>
      <c r="R190" s="105"/>
      <c r="S190" s="105"/>
      <c r="T190" s="105"/>
      <c r="U190" s="105"/>
      <c r="V190" s="105"/>
      <c r="W190" s="104"/>
      <c r="X190" s="213"/>
      <c r="Y190" s="105"/>
      <c r="Z190" s="105"/>
      <c r="AA190" s="105"/>
      <c r="AB190" s="104"/>
      <c r="AC190" s="104"/>
      <c r="AD190" s="104"/>
      <c r="AE190" s="104"/>
      <c r="AF190" s="104"/>
      <c r="AG190" s="104"/>
      <c r="AH190" s="104"/>
      <c r="AI190" s="104"/>
      <c r="AJ190" s="104"/>
      <c r="AK190" s="104"/>
      <c r="AL190" s="104"/>
      <c r="AM190" s="104"/>
      <c r="AN190" s="104"/>
      <c r="AO190" s="104"/>
      <c r="AP190" s="104"/>
      <c r="AQ190" s="104"/>
      <c r="AR190" s="104"/>
      <c r="AS190" s="104"/>
      <c r="AT190" s="104"/>
      <c r="AU190" s="104"/>
      <c r="AV190" s="104"/>
      <c r="AW190" s="104"/>
      <c r="AX190" s="104"/>
      <c r="AY190" s="104"/>
      <c r="AZ190" s="104"/>
      <c r="BA190" s="104"/>
      <c r="BB190" s="104"/>
      <c r="BC190" s="104"/>
      <c r="BD190" s="104"/>
      <c r="BE190" s="104"/>
      <c r="BF190" s="104"/>
      <c r="BG190" s="104"/>
      <c r="BH190" s="104"/>
      <c r="BI190" s="104"/>
      <c r="BJ190" s="104"/>
      <c r="BK190" s="104"/>
      <c r="BL190" s="104"/>
      <c r="BM190" s="104"/>
      <c r="BN190" s="104"/>
      <c r="BO190" s="104"/>
      <c r="BP190" s="104"/>
      <c r="BQ190" s="104"/>
      <c r="BR190" s="104"/>
      <c r="BS190" s="104"/>
      <c r="BT190" s="104"/>
      <c r="BU190" s="104"/>
      <c r="BV190" s="104"/>
      <c r="BW190" s="104"/>
      <c r="BX190" s="104"/>
      <c r="BY190" s="104"/>
      <c r="BZ190" s="104"/>
      <c r="CA190" s="104"/>
      <c r="CB190" s="104"/>
      <c r="CC190" s="104"/>
      <c r="CD190" s="104"/>
      <c r="CE190" s="104"/>
      <c r="CF190" s="104"/>
      <c r="CG190" s="104"/>
      <c r="CH190" s="104"/>
    </row>
    <row r="191" spans="1:86" x14ac:dyDescent="0.2">
      <c r="A191" s="104"/>
      <c r="B191" s="105"/>
      <c r="C191" s="104"/>
      <c r="D191" s="105"/>
      <c r="E191" s="197"/>
      <c r="F191" s="105"/>
      <c r="G191" s="105"/>
      <c r="H191" s="105"/>
      <c r="I191" s="105"/>
      <c r="J191" s="105"/>
      <c r="K191" s="105"/>
      <c r="L191" s="105"/>
      <c r="M191" s="105"/>
      <c r="N191" s="105"/>
      <c r="O191" s="105"/>
      <c r="P191" s="105"/>
      <c r="Q191" s="105"/>
      <c r="R191" s="105"/>
      <c r="S191" s="105"/>
      <c r="T191" s="105"/>
      <c r="U191" s="105"/>
      <c r="V191" s="105"/>
      <c r="W191" s="104"/>
      <c r="X191" s="213"/>
      <c r="Y191" s="105"/>
      <c r="Z191" s="105"/>
      <c r="AA191" s="105"/>
      <c r="AB191" s="104"/>
      <c r="AC191" s="104"/>
      <c r="AD191" s="104"/>
      <c r="AE191" s="104"/>
      <c r="AF191" s="104"/>
      <c r="AG191" s="104"/>
      <c r="AH191" s="104"/>
      <c r="AI191" s="104"/>
      <c r="AJ191" s="104"/>
      <c r="AK191" s="104"/>
      <c r="AL191" s="104"/>
      <c r="AM191" s="104"/>
      <c r="AN191" s="104"/>
      <c r="AO191" s="104"/>
      <c r="AP191" s="104"/>
      <c r="AQ191" s="104"/>
      <c r="AR191" s="104"/>
      <c r="AS191" s="104"/>
      <c r="AT191" s="104"/>
      <c r="AU191" s="104"/>
      <c r="AV191" s="104"/>
      <c r="AW191" s="104"/>
      <c r="AX191" s="104"/>
      <c r="AY191" s="104"/>
      <c r="AZ191" s="104"/>
      <c r="BA191" s="104"/>
      <c r="BB191" s="104"/>
      <c r="BC191" s="104"/>
      <c r="BD191" s="104"/>
      <c r="BE191" s="104"/>
      <c r="BF191" s="104"/>
      <c r="BG191" s="104"/>
      <c r="BH191" s="104"/>
      <c r="BI191" s="104"/>
      <c r="BJ191" s="104"/>
      <c r="BK191" s="104"/>
      <c r="BL191" s="104"/>
      <c r="BM191" s="104"/>
      <c r="BN191" s="104"/>
      <c r="BO191" s="104"/>
      <c r="BP191" s="104"/>
      <c r="BQ191" s="104"/>
      <c r="BR191" s="104"/>
      <c r="BS191" s="104"/>
      <c r="BT191" s="104"/>
      <c r="BU191" s="104"/>
      <c r="BV191" s="104"/>
      <c r="BW191" s="104"/>
      <c r="BX191" s="104"/>
      <c r="BY191" s="104"/>
      <c r="BZ191" s="104"/>
      <c r="CA191" s="104"/>
      <c r="CB191" s="104"/>
      <c r="CC191" s="104"/>
      <c r="CD191" s="104"/>
      <c r="CE191" s="104"/>
      <c r="CF191" s="104"/>
      <c r="CG191" s="104"/>
      <c r="CH191" s="104"/>
    </row>
    <row r="192" spans="1:86" x14ac:dyDescent="0.2">
      <c r="A192" s="104"/>
      <c r="B192" s="105"/>
      <c r="C192" s="104"/>
      <c r="D192" s="105"/>
      <c r="E192" s="197"/>
      <c r="F192" s="105"/>
      <c r="G192" s="105"/>
      <c r="H192" s="105"/>
      <c r="I192" s="105"/>
      <c r="J192" s="105"/>
      <c r="K192" s="105"/>
      <c r="L192" s="105"/>
      <c r="M192" s="105"/>
      <c r="N192" s="105"/>
      <c r="O192" s="105"/>
      <c r="P192" s="105"/>
      <c r="Q192" s="105"/>
      <c r="R192" s="105"/>
      <c r="S192" s="105"/>
      <c r="T192" s="105"/>
      <c r="U192" s="105"/>
      <c r="V192" s="105"/>
      <c r="W192" s="104"/>
      <c r="X192" s="213"/>
      <c r="Y192" s="105"/>
      <c r="Z192" s="105"/>
      <c r="AA192" s="105"/>
      <c r="AB192" s="104"/>
      <c r="AC192" s="104"/>
      <c r="AD192" s="104"/>
      <c r="AE192" s="104"/>
      <c r="AF192" s="104"/>
      <c r="AG192" s="104"/>
      <c r="AH192" s="104"/>
      <c r="AI192" s="104"/>
      <c r="AJ192" s="104"/>
      <c r="AK192" s="104"/>
      <c r="AL192" s="104"/>
      <c r="AM192" s="104"/>
      <c r="AN192" s="104"/>
      <c r="AO192" s="104"/>
      <c r="AP192" s="104"/>
      <c r="AQ192" s="104"/>
      <c r="AR192" s="104"/>
      <c r="AS192" s="104"/>
      <c r="AT192" s="104"/>
      <c r="AU192" s="104"/>
      <c r="AV192" s="104"/>
      <c r="AW192" s="104"/>
      <c r="AX192" s="104"/>
      <c r="AY192" s="104"/>
      <c r="AZ192" s="104"/>
      <c r="BA192" s="104"/>
      <c r="BB192" s="104"/>
      <c r="BC192" s="104"/>
      <c r="BD192" s="104"/>
      <c r="BE192" s="104"/>
      <c r="BF192" s="104"/>
      <c r="BG192" s="104"/>
      <c r="BH192" s="104"/>
      <c r="BI192" s="104"/>
      <c r="BJ192" s="104"/>
      <c r="BK192" s="104"/>
      <c r="BL192" s="104"/>
      <c r="BM192" s="104"/>
      <c r="BN192" s="104"/>
      <c r="BO192" s="104"/>
      <c r="BP192" s="104"/>
      <c r="BQ192" s="104"/>
      <c r="BR192" s="104"/>
      <c r="BS192" s="104"/>
      <c r="BT192" s="104"/>
      <c r="BU192" s="104"/>
      <c r="BV192" s="104"/>
      <c r="BW192" s="104"/>
      <c r="BX192" s="104"/>
      <c r="BY192" s="104"/>
      <c r="BZ192" s="104"/>
      <c r="CA192" s="104"/>
      <c r="CB192" s="104"/>
      <c r="CC192" s="104"/>
      <c r="CD192" s="104"/>
      <c r="CE192" s="104"/>
      <c r="CF192" s="104"/>
      <c r="CG192" s="104"/>
      <c r="CH192" s="104"/>
    </row>
    <row r="193" spans="1:86" x14ac:dyDescent="0.2">
      <c r="A193" s="104"/>
      <c r="B193" s="105"/>
      <c r="C193" s="104"/>
      <c r="D193" s="105"/>
      <c r="E193" s="197"/>
      <c r="F193" s="105"/>
      <c r="G193" s="105"/>
      <c r="H193" s="105"/>
      <c r="I193" s="105"/>
      <c r="J193" s="105"/>
      <c r="K193" s="105"/>
      <c r="L193" s="105"/>
      <c r="M193" s="105"/>
      <c r="N193" s="105"/>
      <c r="O193" s="105"/>
      <c r="P193" s="105"/>
      <c r="Q193" s="105"/>
      <c r="R193" s="105"/>
      <c r="S193" s="105"/>
      <c r="T193" s="105"/>
      <c r="U193" s="105"/>
      <c r="V193" s="105"/>
      <c r="W193" s="104"/>
      <c r="X193" s="213"/>
      <c r="Y193" s="105"/>
      <c r="Z193" s="105"/>
      <c r="AA193" s="105"/>
      <c r="AB193" s="104"/>
      <c r="AC193" s="104"/>
      <c r="AD193" s="104"/>
      <c r="AE193" s="104"/>
      <c r="AF193" s="104"/>
      <c r="AG193" s="104"/>
      <c r="AH193" s="104"/>
      <c r="AI193" s="104"/>
      <c r="AJ193" s="104"/>
      <c r="AK193" s="104"/>
      <c r="AL193" s="104"/>
      <c r="AM193" s="104"/>
      <c r="AN193" s="104"/>
      <c r="AO193" s="104"/>
      <c r="AP193" s="104"/>
      <c r="AQ193" s="104"/>
      <c r="AR193" s="104"/>
      <c r="AS193" s="104"/>
      <c r="AT193" s="104"/>
      <c r="AU193" s="104"/>
      <c r="AV193" s="104"/>
      <c r="AW193" s="104"/>
      <c r="AX193" s="104"/>
      <c r="AY193" s="104"/>
      <c r="AZ193" s="104"/>
      <c r="BA193" s="104"/>
      <c r="BB193" s="104"/>
      <c r="BC193" s="104"/>
      <c r="BD193" s="104"/>
      <c r="BE193" s="104"/>
      <c r="BF193" s="104"/>
      <c r="BG193" s="104"/>
      <c r="BH193" s="104"/>
      <c r="BI193" s="104"/>
      <c r="BJ193" s="104"/>
      <c r="BK193" s="104"/>
      <c r="BL193" s="104"/>
      <c r="BM193" s="104"/>
      <c r="BN193" s="104"/>
      <c r="BO193" s="104"/>
      <c r="BP193" s="104"/>
      <c r="BQ193" s="104"/>
      <c r="BR193" s="104"/>
      <c r="BS193" s="104"/>
      <c r="BT193" s="104"/>
      <c r="BU193" s="104"/>
      <c r="BV193" s="104"/>
      <c r="BW193" s="104"/>
      <c r="BX193" s="104"/>
      <c r="BY193" s="104"/>
      <c r="BZ193" s="104"/>
      <c r="CA193" s="104"/>
      <c r="CB193" s="104"/>
      <c r="CC193" s="104"/>
      <c r="CD193" s="104"/>
      <c r="CE193" s="104"/>
      <c r="CF193" s="104"/>
      <c r="CG193" s="104"/>
      <c r="CH193" s="104"/>
    </row>
    <row r="194" spans="1:86" x14ac:dyDescent="0.2">
      <c r="A194" s="104"/>
      <c r="B194" s="105"/>
      <c r="C194" s="104"/>
      <c r="D194" s="105"/>
      <c r="E194" s="197"/>
      <c r="F194" s="105"/>
      <c r="G194" s="105"/>
      <c r="H194" s="105"/>
      <c r="I194" s="105"/>
      <c r="J194" s="105"/>
      <c r="K194" s="105"/>
      <c r="L194" s="105"/>
      <c r="M194" s="105"/>
      <c r="N194" s="105"/>
      <c r="O194" s="105"/>
      <c r="P194" s="105"/>
      <c r="Q194" s="105"/>
      <c r="R194" s="105"/>
      <c r="S194" s="105"/>
      <c r="T194" s="105"/>
      <c r="U194" s="105"/>
      <c r="V194" s="105"/>
      <c r="W194" s="104"/>
      <c r="X194" s="213"/>
      <c r="Y194" s="105"/>
      <c r="Z194" s="105"/>
      <c r="AA194" s="105"/>
      <c r="AB194" s="104"/>
      <c r="AC194" s="104"/>
      <c r="AD194" s="104"/>
      <c r="AE194" s="104"/>
      <c r="AF194" s="104"/>
      <c r="AG194" s="104"/>
      <c r="AH194" s="104"/>
      <c r="AI194" s="104"/>
      <c r="AJ194" s="104"/>
      <c r="AK194" s="104"/>
      <c r="AL194" s="104"/>
      <c r="AM194" s="104"/>
      <c r="AN194" s="104"/>
      <c r="AO194" s="104"/>
      <c r="AP194" s="104"/>
      <c r="AQ194" s="104"/>
      <c r="AR194" s="104"/>
      <c r="AS194" s="104"/>
      <c r="AT194" s="104"/>
      <c r="AU194" s="104"/>
      <c r="AV194" s="104"/>
      <c r="AW194" s="104"/>
      <c r="AX194" s="104"/>
      <c r="AY194" s="104"/>
      <c r="AZ194" s="104"/>
      <c r="BA194" s="104"/>
      <c r="BB194" s="104"/>
      <c r="BC194" s="104"/>
      <c r="BD194" s="104"/>
      <c r="BE194" s="104"/>
      <c r="BF194" s="104"/>
      <c r="BG194" s="104"/>
      <c r="BH194" s="104"/>
      <c r="BI194" s="104"/>
      <c r="BJ194" s="104"/>
      <c r="BK194" s="104"/>
      <c r="BL194" s="104"/>
      <c r="BM194" s="104"/>
      <c r="BN194" s="104"/>
      <c r="BO194" s="104"/>
      <c r="BP194" s="104"/>
      <c r="BQ194" s="104"/>
      <c r="BR194" s="104"/>
      <c r="BS194" s="104"/>
      <c r="BT194" s="104"/>
      <c r="BU194" s="104"/>
      <c r="BV194" s="104"/>
      <c r="BW194" s="104"/>
      <c r="BX194" s="104"/>
      <c r="BY194" s="104"/>
      <c r="BZ194" s="104"/>
      <c r="CA194" s="104"/>
      <c r="CB194" s="104"/>
      <c r="CC194" s="104"/>
      <c r="CD194" s="104"/>
      <c r="CE194" s="104"/>
      <c r="CF194" s="104"/>
      <c r="CG194" s="104"/>
      <c r="CH194" s="104"/>
    </row>
    <row r="195" spans="1:86" x14ac:dyDescent="0.2">
      <c r="A195" s="104"/>
      <c r="B195" s="105"/>
      <c r="C195" s="104"/>
      <c r="D195" s="105"/>
      <c r="E195" s="197"/>
      <c r="F195" s="105"/>
      <c r="G195" s="105"/>
      <c r="H195" s="105"/>
      <c r="I195" s="105"/>
      <c r="J195" s="105"/>
      <c r="K195" s="105"/>
      <c r="L195" s="105"/>
      <c r="M195" s="105"/>
      <c r="N195" s="105"/>
      <c r="O195" s="105"/>
      <c r="P195" s="105"/>
      <c r="Q195" s="105"/>
      <c r="R195" s="105"/>
      <c r="S195" s="105"/>
      <c r="T195" s="105"/>
      <c r="U195" s="105"/>
      <c r="V195" s="105"/>
      <c r="W195" s="104"/>
      <c r="X195" s="213"/>
      <c r="Y195" s="105"/>
      <c r="Z195" s="105"/>
      <c r="AA195" s="105"/>
      <c r="AB195" s="104"/>
      <c r="AC195" s="104"/>
      <c r="AD195" s="104"/>
      <c r="AE195" s="104"/>
      <c r="AF195" s="104"/>
      <c r="AG195" s="104"/>
      <c r="AH195" s="104"/>
      <c r="AI195" s="104"/>
      <c r="AJ195" s="104"/>
      <c r="AK195" s="104"/>
      <c r="AL195" s="104"/>
      <c r="AM195" s="104"/>
      <c r="AN195" s="104"/>
      <c r="AO195" s="104"/>
      <c r="AP195" s="104"/>
      <c r="AQ195" s="104"/>
      <c r="AR195" s="104"/>
      <c r="AS195" s="104"/>
      <c r="AT195" s="104"/>
      <c r="AU195" s="104"/>
      <c r="AV195" s="104"/>
      <c r="AW195" s="104"/>
      <c r="AX195" s="104"/>
      <c r="AY195" s="104"/>
      <c r="AZ195" s="104"/>
      <c r="BA195" s="104"/>
      <c r="BB195" s="104"/>
      <c r="BC195" s="104"/>
      <c r="BD195" s="104"/>
      <c r="BE195" s="104"/>
      <c r="BF195" s="104"/>
      <c r="BG195" s="104"/>
      <c r="BH195" s="104"/>
      <c r="BI195" s="104"/>
      <c r="BJ195" s="104"/>
      <c r="BK195" s="104"/>
      <c r="BL195" s="104"/>
      <c r="BM195" s="104"/>
      <c r="BN195" s="104"/>
      <c r="BO195" s="104"/>
      <c r="BP195" s="104"/>
      <c r="BQ195" s="104"/>
      <c r="BR195" s="104"/>
      <c r="BS195" s="104"/>
      <c r="BT195" s="104"/>
      <c r="BU195" s="104"/>
      <c r="BV195" s="104"/>
      <c r="BW195" s="104"/>
      <c r="BX195" s="104"/>
      <c r="BY195" s="104"/>
      <c r="BZ195" s="104"/>
      <c r="CA195" s="104"/>
      <c r="CB195" s="104"/>
      <c r="CC195" s="104"/>
      <c r="CD195" s="104"/>
      <c r="CE195" s="104"/>
      <c r="CF195" s="104"/>
      <c r="CG195" s="104"/>
      <c r="CH195" s="104"/>
    </row>
    <row r="196" spans="1:86" x14ac:dyDescent="0.2">
      <c r="A196" s="104"/>
      <c r="B196" s="105"/>
      <c r="C196" s="104"/>
      <c r="D196" s="105"/>
      <c r="E196" s="197"/>
      <c r="F196" s="105"/>
      <c r="G196" s="105"/>
      <c r="H196" s="105"/>
      <c r="I196" s="105"/>
      <c r="J196" s="105"/>
      <c r="K196" s="105"/>
      <c r="L196" s="105"/>
      <c r="M196" s="105"/>
      <c r="N196" s="105"/>
      <c r="O196" s="105"/>
      <c r="P196" s="105"/>
      <c r="Q196" s="105"/>
      <c r="R196" s="105"/>
      <c r="S196" s="105"/>
      <c r="T196" s="105"/>
      <c r="U196" s="105"/>
      <c r="V196" s="105"/>
      <c r="W196" s="104"/>
      <c r="X196" s="213"/>
      <c r="Y196" s="105"/>
      <c r="Z196" s="105"/>
      <c r="AA196" s="105"/>
      <c r="AB196" s="104"/>
      <c r="AC196" s="104"/>
      <c r="AD196" s="104"/>
      <c r="AE196" s="104"/>
      <c r="AF196" s="104"/>
      <c r="AG196" s="104"/>
      <c r="AH196" s="104"/>
      <c r="AI196" s="104"/>
      <c r="AJ196" s="104"/>
      <c r="AK196" s="104"/>
      <c r="AL196" s="104"/>
      <c r="AM196" s="104"/>
      <c r="AN196" s="104"/>
      <c r="AO196" s="104"/>
      <c r="AP196" s="104"/>
      <c r="AQ196" s="104"/>
      <c r="AR196" s="104"/>
      <c r="AS196" s="104"/>
      <c r="AT196" s="104"/>
      <c r="AU196" s="104"/>
      <c r="AV196" s="104"/>
      <c r="AW196" s="104"/>
      <c r="AX196" s="104"/>
      <c r="AY196" s="104"/>
      <c r="AZ196" s="104"/>
      <c r="BA196" s="104"/>
      <c r="BB196" s="104"/>
      <c r="BC196" s="104"/>
      <c r="BD196" s="104"/>
      <c r="BE196" s="104"/>
      <c r="BF196" s="104"/>
      <c r="BG196" s="104"/>
      <c r="BH196" s="104"/>
      <c r="BI196" s="104"/>
      <c r="BJ196" s="104"/>
      <c r="BK196" s="104"/>
      <c r="BL196" s="104"/>
      <c r="BM196" s="104"/>
      <c r="BN196" s="104"/>
      <c r="BO196" s="104"/>
      <c r="BP196" s="104"/>
      <c r="BQ196" s="104"/>
      <c r="BR196" s="104"/>
      <c r="BS196" s="104"/>
      <c r="BT196" s="104"/>
      <c r="BU196" s="104"/>
      <c r="BV196" s="104"/>
      <c r="BW196" s="104"/>
      <c r="BX196" s="104"/>
      <c r="BY196" s="104"/>
      <c r="BZ196" s="104"/>
      <c r="CA196" s="104"/>
      <c r="CB196" s="104"/>
      <c r="CC196" s="104"/>
      <c r="CD196" s="104"/>
      <c r="CE196" s="104"/>
      <c r="CF196" s="104"/>
      <c r="CG196" s="104"/>
      <c r="CH196" s="104"/>
    </row>
    <row r="197" spans="1:86" x14ac:dyDescent="0.2">
      <c r="A197" s="104"/>
      <c r="B197" s="105"/>
      <c r="C197" s="104"/>
      <c r="D197" s="105"/>
      <c r="E197" s="197"/>
      <c r="F197" s="105"/>
      <c r="G197" s="105"/>
      <c r="H197" s="105"/>
      <c r="I197" s="105"/>
      <c r="J197" s="105"/>
      <c r="K197" s="105"/>
      <c r="L197" s="105"/>
      <c r="M197" s="105"/>
      <c r="N197" s="105"/>
      <c r="O197" s="105"/>
      <c r="P197" s="105"/>
      <c r="Q197" s="105"/>
      <c r="R197" s="105"/>
      <c r="S197" s="105"/>
      <c r="T197" s="105"/>
      <c r="U197" s="105"/>
      <c r="V197" s="105"/>
      <c r="W197" s="104"/>
      <c r="X197" s="213"/>
      <c r="Y197" s="105"/>
      <c r="Z197" s="105"/>
      <c r="AA197" s="105"/>
      <c r="AB197" s="104"/>
      <c r="AC197" s="104"/>
      <c r="AD197" s="104"/>
      <c r="AE197" s="104"/>
      <c r="AF197" s="104"/>
      <c r="AG197" s="104"/>
      <c r="AH197" s="104"/>
      <c r="AI197" s="104"/>
      <c r="AJ197" s="104"/>
      <c r="AK197" s="104"/>
      <c r="AL197" s="104"/>
      <c r="AM197" s="104"/>
      <c r="AN197" s="104"/>
      <c r="AO197" s="104"/>
      <c r="AP197" s="104"/>
      <c r="AQ197" s="104"/>
      <c r="AR197" s="104"/>
      <c r="AS197" s="104"/>
      <c r="AT197" s="104"/>
      <c r="AU197" s="104"/>
      <c r="AV197" s="104"/>
      <c r="AW197" s="104"/>
      <c r="AX197" s="104"/>
      <c r="AY197" s="104"/>
      <c r="AZ197" s="104"/>
      <c r="BA197" s="104"/>
      <c r="BB197" s="104"/>
      <c r="BC197" s="104"/>
      <c r="BD197" s="104"/>
      <c r="BE197" s="104"/>
      <c r="BF197" s="104"/>
      <c r="BG197" s="104"/>
      <c r="BH197" s="104"/>
      <c r="BI197" s="104"/>
      <c r="BJ197" s="104"/>
      <c r="BK197" s="104"/>
      <c r="BL197" s="104"/>
      <c r="BM197" s="104"/>
      <c r="BN197" s="104"/>
      <c r="BO197" s="104"/>
      <c r="BP197" s="104"/>
      <c r="BQ197" s="104"/>
      <c r="BR197" s="104"/>
      <c r="BS197" s="104"/>
      <c r="BT197" s="104"/>
      <c r="BU197" s="104"/>
      <c r="BV197" s="104"/>
      <c r="BW197" s="104"/>
      <c r="BX197" s="104"/>
      <c r="BY197" s="104"/>
      <c r="BZ197" s="104"/>
      <c r="CA197" s="104"/>
      <c r="CB197" s="104"/>
      <c r="CC197" s="104"/>
      <c r="CD197" s="104"/>
      <c r="CE197" s="104"/>
      <c r="CF197" s="104"/>
      <c r="CG197" s="104"/>
      <c r="CH197" s="104"/>
    </row>
    <row r="198" spans="1:86" x14ac:dyDescent="0.2">
      <c r="A198" s="104"/>
      <c r="B198" s="105"/>
      <c r="C198" s="104"/>
      <c r="D198" s="105"/>
      <c r="E198" s="197"/>
      <c r="F198" s="105"/>
      <c r="G198" s="105"/>
      <c r="H198" s="105"/>
      <c r="I198" s="105"/>
      <c r="J198" s="105"/>
      <c r="K198" s="105"/>
      <c r="L198" s="105"/>
      <c r="M198" s="105"/>
      <c r="N198" s="105"/>
      <c r="O198" s="105"/>
      <c r="P198" s="105"/>
      <c r="Q198" s="105"/>
      <c r="R198" s="105"/>
      <c r="S198" s="105"/>
      <c r="T198" s="105"/>
      <c r="U198" s="105"/>
      <c r="V198" s="105"/>
      <c r="W198" s="104"/>
      <c r="X198" s="213"/>
      <c r="Y198" s="105"/>
      <c r="Z198" s="105"/>
      <c r="AA198" s="105"/>
      <c r="AB198" s="104"/>
      <c r="AC198" s="104"/>
      <c r="AD198" s="104"/>
      <c r="AE198" s="104"/>
      <c r="AF198" s="104"/>
      <c r="AG198" s="104"/>
      <c r="AH198" s="104"/>
      <c r="AI198" s="104"/>
      <c r="AJ198" s="104"/>
      <c r="AK198" s="104"/>
      <c r="AL198" s="104"/>
      <c r="AM198" s="104"/>
      <c r="AN198" s="104"/>
      <c r="AO198" s="104"/>
      <c r="AP198" s="104"/>
      <c r="AQ198" s="104"/>
      <c r="AR198" s="104"/>
      <c r="AS198" s="104"/>
      <c r="AT198" s="104"/>
      <c r="AU198" s="104"/>
      <c r="AV198" s="104"/>
      <c r="AW198" s="104"/>
      <c r="AX198" s="104"/>
      <c r="AY198" s="104"/>
      <c r="AZ198" s="104"/>
      <c r="BA198" s="104"/>
      <c r="BB198" s="104"/>
      <c r="BC198" s="104"/>
      <c r="BD198" s="104"/>
      <c r="BE198" s="104"/>
      <c r="BF198" s="104"/>
      <c r="BG198" s="104"/>
      <c r="BH198" s="104"/>
      <c r="BI198" s="104"/>
      <c r="BJ198" s="104"/>
      <c r="BK198" s="104"/>
      <c r="BL198" s="104"/>
      <c r="BM198" s="104"/>
      <c r="BN198" s="104"/>
      <c r="BO198" s="104"/>
      <c r="BP198" s="104"/>
      <c r="BQ198" s="104"/>
      <c r="BR198" s="104"/>
      <c r="BS198" s="104"/>
      <c r="BT198" s="104"/>
      <c r="BU198" s="104"/>
      <c r="BV198" s="104"/>
      <c r="BW198" s="104"/>
      <c r="BX198" s="104"/>
      <c r="BY198" s="104"/>
      <c r="BZ198" s="104"/>
      <c r="CA198" s="104"/>
      <c r="CB198" s="104"/>
      <c r="CC198" s="104"/>
      <c r="CD198" s="104"/>
      <c r="CE198" s="104"/>
      <c r="CF198" s="104"/>
      <c r="CG198" s="104"/>
      <c r="CH198" s="104"/>
    </row>
    <row r="199" spans="1:86" x14ac:dyDescent="0.2">
      <c r="A199" s="104"/>
      <c r="B199" s="105"/>
      <c r="C199" s="104"/>
      <c r="D199" s="105"/>
      <c r="E199" s="197"/>
      <c r="F199" s="105"/>
      <c r="G199" s="105"/>
      <c r="H199" s="105"/>
      <c r="I199" s="105"/>
      <c r="J199" s="105"/>
      <c r="K199" s="105"/>
      <c r="L199" s="105"/>
      <c r="M199" s="105"/>
      <c r="N199" s="105"/>
      <c r="O199" s="105"/>
      <c r="P199" s="105"/>
      <c r="Q199" s="105"/>
      <c r="R199" s="105"/>
      <c r="S199" s="105"/>
      <c r="T199" s="105"/>
      <c r="U199" s="105"/>
      <c r="V199" s="105"/>
      <c r="W199" s="104"/>
      <c r="X199" s="213"/>
      <c r="Y199" s="105"/>
      <c r="Z199" s="105"/>
      <c r="AA199" s="105"/>
      <c r="AB199" s="104"/>
      <c r="AC199" s="104"/>
      <c r="AD199" s="104"/>
      <c r="AE199" s="104"/>
      <c r="AF199" s="104"/>
      <c r="AG199" s="104"/>
      <c r="AH199" s="104"/>
      <c r="AI199" s="104"/>
      <c r="AJ199" s="104"/>
      <c r="AK199" s="104"/>
      <c r="AL199" s="104"/>
      <c r="AM199" s="104"/>
      <c r="AN199" s="104"/>
      <c r="AO199" s="104"/>
      <c r="AP199" s="104"/>
      <c r="AQ199" s="104"/>
      <c r="AR199" s="104"/>
      <c r="AS199" s="104"/>
      <c r="AT199" s="104"/>
      <c r="AU199" s="104"/>
      <c r="AV199" s="104"/>
      <c r="AW199" s="104"/>
      <c r="AX199" s="104"/>
      <c r="AY199" s="104"/>
      <c r="AZ199" s="104"/>
      <c r="BA199" s="104"/>
      <c r="BB199" s="104"/>
      <c r="BC199" s="104"/>
      <c r="BD199" s="104"/>
      <c r="BE199" s="104"/>
      <c r="BF199" s="104"/>
      <c r="BG199" s="104"/>
      <c r="BH199" s="104"/>
      <c r="BI199" s="104"/>
      <c r="BJ199" s="104"/>
      <c r="BK199" s="104"/>
      <c r="BL199" s="104"/>
      <c r="BM199" s="104"/>
      <c r="BN199" s="104"/>
      <c r="BO199" s="104"/>
      <c r="BP199" s="104"/>
      <c r="BQ199" s="104"/>
      <c r="BR199" s="104"/>
      <c r="BS199" s="104"/>
      <c r="BT199" s="104"/>
      <c r="BU199" s="104"/>
      <c r="BV199" s="104"/>
      <c r="BW199" s="104"/>
      <c r="BX199" s="104"/>
      <c r="BY199" s="104"/>
      <c r="BZ199" s="104"/>
      <c r="CA199" s="104"/>
      <c r="CB199" s="104"/>
      <c r="CC199" s="104"/>
      <c r="CD199" s="104"/>
      <c r="CE199" s="104"/>
      <c r="CF199" s="104"/>
      <c r="CG199" s="104"/>
      <c r="CH199" s="104"/>
    </row>
    <row r="200" spans="1:86" x14ac:dyDescent="0.2">
      <c r="A200" s="104"/>
      <c r="B200" s="105"/>
      <c r="C200" s="104"/>
      <c r="D200" s="105"/>
      <c r="E200" s="197"/>
      <c r="F200" s="105"/>
      <c r="G200" s="105"/>
      <c r="H200" s="105"/>
      <c r="I200" s="105"/>
      <c r="J200" s="105"/>
      <c r="K200" s="105"/>
      <c r="L200" s="105"/>
      <c r="M200" s="105"/>
      <c r="N200" s="105"/>
      <c r="O200" s="105"/>
      <c r="P200" s="105"/>
      <c r="Q200" s="105"/>
      <c r="R200" s="105"/>
      <c r="S200" s="105"/>
      <c r="T200" s="105"/>
      <c r="U200" s="105"/>
      <c r="V200" s="105"/>
      <c r="W200" s="104"/>
      <c r="X200" s="213"/>
      <c r="Y200" s="105"/>
      <c r="Z200" s="105"/>
      <c r="AA200" s="105"/>
      <c r="AB200" s="104"/>
      <c r="AC200" s="104"/>
      <c r="AD200" s="104"/>
      <c r="AE200" s="104"/>
      <c r="AF200" s="104"/>
      <c r="AG200" s="104"/>
      <c r="AH200" s="104"/>
      <c r="AI200" s="104"/>
      <c r="AJ200" s="104"/>
      <c r="AK200" s="104"/>
      <c r="AL200" s="104"/>
      <c r="AM200" s="104"/>
      <c r="AN200" s="104"/>
      <c r="AO200" s="104"/>
      <c r="AP200" s="104"/>
      <c r="AQ200" s="104"/>
      <c r="AR200" s="104"/>
      <c r="AS200" s="104"/>
      <c r="AT200" s="104"/>
      <c r="AU200" s="104"/>
      <c r="AV200" s="104"/>
      <c r="AW200" s="104"/>
      <c r="AX200" s="104"/>
      <c r="AY200" s="104"/>
      <c r="AZ200" s="104"/>
      <c r="BA200" s="104"/>
      <c r="BB200" s="104"/>
      <c r="BC200" s="104"/>
      <c r="BD200" s="104"/>
      <c r="BE200" s="104"/>
      <c r="BF200" s="104"/>
      <c r="BG200" s="104"/>
      <c r="BH200" s="104"/>
      <c r="BI200" s="104"/>
      <c r="BJ200" s="104"/>
      <c r="BK200" s="104"/>
      <c r="BL200" s="104"/>
      <c r="BM200" s="104"/>
      <c r="BN200" s="104"/>
      <c r="BO200" s="104"/>
      <c r="BP200" s="104"/>
      <c r="BQ200" s="104"/>
      <c r="BR200" s="104"/>
      <c r="BS200" s="104"/>
      <c r="BT200" s="104"/>
      <c r="BU200" s="104"/>
      <c r="BV200" s="104"/>
      <c r="BW200" s="104"/>
      <c r="BX200" s="104"/>
      <c r="BY200" s="104"/>
      <c r="BZ200" s="104"/>
      <c r="CA200" s="104"/>
      <c r="CB200" s="104"/>
      <c r="CC200" s="104"/>
      <c r="CD200" s="104"/>
      <c r="CE200" s="104"/>
      <c r="CF200" s="104"/>
      <c r="CG200" s="104"/>
      <c r="CH200" s="104"/>
    </row>
    <row r="201" spans="1:86" x14ac:dyDescent="0.2">
      <c r="A201" s="104"/>
      <c r="B201" s="105"/>
      <c r="C201" s="104"/>
      <c r="D201" s="105"/>
      <c r="E201" s="197"/>
      <c r="F201" s="105"/>
      <c r="G201" s="105"/>
      <c r="H201" s="105"/>
      <c r="I201" s="105"/>
      <c r="J201" s="105"/>
      <c r="K201" s="105"/>
      <c r="L201" s="105"/>
      <c r="M201" s="105"/>
      <c r="N201" s="105"/>
      <c r="O201" s="105"/>
      <c r="P201" s="105"/>
      <c r="Q201" s="105"/>
      <c r="R201" s="105"/>
      <c r="S201" s="105"/>
      <c r="T201" s="105"/>
      <c r="U201" s="105"/>
      <c r="V201" s="105"/>
      <c r="W201" s="104"/>
      <c r="X201" s="213"/>
      <c r="Y201" s="105"/>
      <c r="Z201" s="105"/>
      <c r="AA201" s="105"/>
      <c r="AB201" s="104"/>
      <c r="AC201" s="104"/>
      <c r="AD201" s="104"/>
      <c r="AE201" s="104"/>
      <c r="AF201" s="104"/>
      <c r="AG201" s="104"/>
      <c r="AH201" s="104"/>
      <c r="AI201" s="104"/>
      <c r="AJ201" s="104"/>
      <c r="AK201" s="104"/>
      <c r="AL201" s="104"/>
      <c r="AM201" s="104"/>
      <c r="AN201" s="104"/>
      <c r="AO201" s="104"/>
      <c r="AP201" s="104"/>
      <c r="AQ201" s="104"/>
      <c r="AR201" s="104"/>
      <c r="AS201" s="104"/>
      <c r="AT201" s="104"/>
      <c r="AU201" s="104"/>
      <c r="AV201" s="104"/>
      <c r="AW201" s="104"/>
      <c r="AX201" s="104"/>
      <c r="AY201" s="104"/>
      <c r="AZ201" s="104"/>
      <c r="BA201" s="104"/>
      <c r="BB201" s="104"/>
      <c r="BC201" s="104"/>
      <c r="BD201" s="104"/>
      <c r="BE201" s="104"/>
      <c r="BF201" s="104"/>
      <c r="BG201" s="104"/>
      <c r="BH201" s="104"/>
      <c r="BI201" s="104"/>
      <c r="BJ201" s="104"/>
      <c r="BK201" s="104"/>
      <c r="BL201" s="104"/>
      <c r="BM201" s="104"/>
      <c r="BN201" s="104"/>
      <c r="BO201" s="104"/>
      <c r="BP201" s="104"/>
      <c r="BQ201" s="104"/>
      <c r="BR201" s="104"/>
      <c r="BS201" s="104"/>
      <c r="BT201" s="104"/>
      <c r="BU201" s="104"/>
      <c r="BV201" s="104"/>
      <c r="BW201" s="104"/>
      <c r="BX201" s="104"/>
      <c r="BY201" s="104"/>
      <c r="BZ201" s="104"/>
      <c r="CA201" s="104"/>
      <c r="CB201" s="104"/>
      <c r="CC201" s="104"/>
      <c r="CD201" s="104"/>
      <c r="CE201" s="104"/>
      <c r="CF201" s="104"/>
      <c r="CG201" s="104"/>
      <c r="CH201" s="104"/>
    </row>
    <row r="202" spans="1:86" x14ac:dyDescent="0.2">
      <c r="A202" s="104"/>
      <c r="B202" s="105"/>
      <c r="C202" s="104"/>
      <c r="D202" s="105"/>
      <c r="E202" s="197"/>
      <c r="F202" s="105"/>
      <c r="G202" s="105"/>
      <c r="H202" s="105"/>
      <c r="I202" s="105"/>
      <c r="J202" s="105"/>
      <c r="K202" s="105"/>
      <c r="L202" s="105"/>
      <c r="M202" s="105"/>
      <c r="N202" s="105"/>
      <c r="O202" s="105"/>
      <c r="P202" s="105"/>
      <c r="Q202" s="105"/>
      <c r="R202" s="105"/>
      <c r="S202" s="105"/>
      <c r="T202" s="105"/>
      <c r="U202" s="105"/>
      <c r="V202" s="105"/>
      <c r="W202" s="104"/>
      <c r="X202" s="213"/>
      <c r="Y202" s="105"/>
      <c r="Z202" s="105"/>
      <c r="AA202" s="105"/>
      <c r="AB202" s="104"/>
      <c r="AC202" s="104"/>
      <c r="AD202" s="104"/>
      <c r="AE202" s="104"/>
      <c r="AF202" s="104"/>
      <c r="AG202" s="104"/>
      <c r="AH202" s="104"/>
      <c r="AI202" s="104"/>
      <c r="AJ202" s="104"/>
      <c r="AK202" s="104"/>
      <c r="AL202" s="104"/>
      <c r="AM202" s="104"/>
      <c r="AN202" s="104"/>
      <c r="AO202" s="104"/>
      <c r="AP202" s="104"/>
      <c r="AQ202" s="104"/>
      <c r="AR202" s="104"/>
      <c r="AS202" s="104"/>
      <c r="AT202" s="104"/>
      <c r="AU202" s="104"/>
      <c r="AV202" s="104"/>
      <c r="AW202" s="104"/>
      <c r="AX202" s="104"/>
      <c r="AY202" s="104"/>
      <c r="AZ202" s="104"/>
      <c r="BA202" s="104"/>
      <c r="BB202" s="104"/>
      <c r="BC202" s="104"/>
      <c r="BD202" s="104"/>
      <c r="BE202" s="104"/>
      <c r="BF202" s="104"/>
      <c r="BG202" s="104"/>
      <c r="BH202" s="104"/>
      <c r="BI202" s="104"/>
      <c r="BJ202" s="104"/>
      <c r="BK202" s="104"/>
      <c r="BL202" s="104"/>
      <c r="BM202" s="104"/>
      <c r="BN202" s="104"/>
      <c r="BO202" s="104"/>
      <c r="BP202" s="104"/>
      <c r="BQ202" s="104"/>
      <c r="BR202" s="104"/>
      <c r="BS202" s="104"/>
      <c r="BT202" s="104"/>
      <c r="BU202" s="104"/>
      <c r="BV202" s="104"/>
      <c r="BW202" s="104"/>
      <c r="BX202" s="104"/>
      <c r="BY202" s="104"/>
      <c r="BZ202" s="104"/>
      <c r="CA202" s="104"/>
      <c r="CB202" s="104"/>
      <c r="CC202" s="104"/>
      <c r="CD202" s="104"/>
      <c r="CE202" s="104"/>
      <c r="CF202" s="104"/>
      <c r="CG202" s="104"/>
      <c r="CH202" s="104"/>
    </row>
    <row r="203" spans="1:86" x14ac:dyDescent="0.2">
      <c r="A203" s="104"/>
      <c r="B203" s="105"/>
      <c r="C203" s="104"/>
      <c r="D203" s="105"/>
      <c r="E203" s="197"/>
      <c r="F203" s="105"/>
      <c r="G203" s="105"/>
      <c r="H203" s="105"/>
      <c r="I203" s="105"/>
      <c r="J203" s="105"/>
      <c r="K203" s="105"/>
      <c r="L203" s="105"/>
      <c r="M203" s="105"/>
      <c r="N203" s="105"/>
      <c r="O203" s="105"/>
      <c r="P203" s="105"/>
      <c r="Q203" s="105"/>
      <c r="R203" s="105"/>
      <c r="S203" s="105"/>
      <c r="T203" s="105"/>
      <c r="U203" s="105"/>
      <c r="V203" s="105"/>
      <c r="W203" s="104"/>
      <c r="X203" s="213"/>
      <c r="Y203" s="105"/>
      <c r="Z203" s="105"/>
      <c r="AA203" s="105"/>
      <c r="AB203" s="104"/>
      <c r="AC203" s="104"/>
      <c r="AD203" s="104"/>
      <c r="AE203" s="104"/>
      <c r="AF203" s="104"/>
      <c r="AG203" s="104"/>
      <c r="AH203" s="104"/>
      <c r="AI203" s="104"/>
      <c r="AJ203" s="104"/>
      <c r="AK203" s="104"/>
      <c r="AL203" s="104"/>
      <c r="AM203" s="104"/>
      <c r="AN203" s="104"/>
      <c r="AO203" s="104"/>
      <c r="AP203" s="104"/>
      <c r="AQ203" s="104"/>
      <c r="AR203" s="104"/>
      <c r="AS203" s="104"/>
      <c r="AT203" s="104"/>
      <c r="AU203" s="104"/>
      <c r="AV203" s="104"/>
      <c r="AW203" s="104"/>
      <c r="AX203" s="104"/>
      <c r="AY203" s="104"/>
      <c r="AZ203" s="104"/>
      <c r="BA203" s="104"/>
      <c r="BB203" s="104"/>
      <c r="BC203" s="104"/>
      <c r="BD203" s="104"/>
      <c r="BE203" s="104"/>
      <c r="BF203" s="104"/>
      <c r="BG203" s="104"/>
      <c r="BH203" s="104"/>
      <c r="BI203" s="104"/>
      <c r="BJ203" s="104"/>
      <c r="BK203" s="104"/>
      <c r="BL203" s="104"/>
      <c r="BM203" s="104"/>
      <c r="BN203" s="104"/>
      <c r="BO203" s="104"/>
      <c r="BP203" s="104"/>
      <c r="BQ203" s="104"/>
      <c r="BR203" s="104"/>
      <c r="BS203" s="104"/>
      <c r="BT203" s="104"/>
      <c r="BU203" s="104"/>
      <c r="BV203" s="104"/>
      <c r="BW203" s="104"/>
      <c r="BX203" s="104"/>
      <c r="BY203" s="104"/>
      <c r="BZ203" s="104"/>
      <c r="CA203" s="104"/>
      <c r="CB203" s="104"/>
      <c r="CC203" s="104"/>
      <c r="CD203" s="104"/>
      <c r="CE203" s="104"/>
      <c r="CF203" s="104"/>
      <c r="CG203" s="104"/>
      <c r="CH203" s="104"/>
    </row>
    <row r="204" spans="1:86" x14ac:dyDescent="0.2">
      <c r="A204" s="104"/>
      <c r="B204" s="105"/>
      <c r="C204" s="104"/>
      <c r="D204" s="105"/>
      <c r="E204" s="197"/>
      <c r="F204" s="105"/>
      <c r="G204" s="105"/>
      <c r="H204" s="105"/>
      <c r="I204" s="105"/>
      <c r="J204" s="105"/>
      <c r="K204" s="105"/>
      <c r="L204" s="105"/>
      <c r="M204" s="105"/>
      <c r="N204" s="105"/>
      <c r="O204" s="105"/>
      <c r="P204" s="105"/>
      <c r="Q204" s="105"/>
      <c r="R204" s="105"/>
      <c r="S204" s="105"/>
      <c r="T204" s="105"/>
      <c r="U204" s="105"/>
      <c r="V204" s="105"/>
      <c r="W204" s="104"/>
      <c r="X204" s="213"/>
      <c r="Y204" s="105"/>
      <c r="Z204" s="105"/>
      <c r="AA204" s="105"/>
      <c r="AB204" s="104"/>
      <c r="AC204" s="104"/>
      <c r="AD204" s="104"/>
      <c r="AE204" s="104"/>
      <c r="AF204" s="104"/>
      <c r="AG204" s="104"/>
      <c r="AH204" s="104"/>
      <c r="AI204" s="104"/>
      <c r="AJ204" s="104"/>
      <c r="AK204" s="104"/>
      <c r="AL204" s="104"/>
      <c r="AM204" s="104"/>
      <c r="AN204" s="104"/>
      <c r="AO204" s="104"/>
      <c r="AP204" s="104"/>
      <c r="AQ204" s="104"/>
      <c r="AR204" s="104"/>
      <c r="AS204" s="104"/>
      <c r="AT204" s="104"/>
      <c r="AU204" s="104"/>
      <c r="AV204" s="104"/>
      <c r="AW204" s="104"/>
      <c r="AX204" s="104"/>
      <c r="AY204" s="104"/>
      <c r="AZ204" s="104"/>
      <c r="BA204" s="104"/>
      <c r="BB204" s="104"/>
      <c r="BC204" s="104"/>
      <c r="BD204" s="104"/>
      <c r="BE204" s="104"/>
      <c r="BF204" s="104"/>
      <c r="BG204" s="104"/>
      <c r="BH204" s="104"/>
      <c r="BI204" s="104"/>
      <c r="BJ204" s="104"/>
      <c r="BK204" s="104"/>
      <c r="BL204" s="104"/>
      <c r="BM204" s="104"/>
      <c r="BN204" s="104"/>
      <c r="BO204" s="104"/>
      <c r="BP204" s="104"/>
      <c r="BQ204" s="104"/>
      <c r="BR204" s="104"/>
      <c r="BS204" s="104"/>
      <c r="BT204" s="104"/>
      <c r="BU204" s="104"/>
      <c r="BV204" s="104"/>
      <c r="BW204" s="104"/>
      <c r="BX204" s="104"/>
      <c r="BY204" s="104"/>
      <c r="BZ204" s="104"/>
      <c r="CA204" s="104"/>
      <c r="CB204" s="104"/>
      <c r="CC204" s="104"/>
      <c r="CD204" s="104"/>
      <c r="CE204" s="104"/>
      <c r="CF204" s="104"/>
      <c r="CG204" s="104"/>
      <c r="CH204" s="104"/>
    </row>
    <row r="205" spans="1:86" x14ac:dyDescent="0.2">
      <c r="A205" s="104"/>
      <c r="B205" s="105"/>
      <c r="C205" s="104"/>
      <c r="D205" s="105"/>
      <c r="E205" s="197"/>
      <c r="F205" s="105"/>
      <c r="G205" s="105"/>
      <c r="H205" s="105"/>
      <c r="I205" s="105"/>
      <c r="J205" s="105"/>
      <c r="K205" s="105"/>
      <c r="L205" s="105"/>
      <c r="M205" s="105"/>
      <c r="N205" s="105"/>
      <c r="O205" s="105"/>
      <c r="P205" s="105"/>
      <c r="Q205" s="105"/>
      <c r="R205" s="105"/>
      <c r="S205" s="105"/>
      <c r="T205" s="105"/>
      <c r="U205" s="105"/>
      <c r="V205" s="105"/>
      <c r="W205" s="104"/>
      <c r="X205" s="213"/>
      <c r="Y205" s="105"/>
      <c r="Z205" s="105"/>
      <c r="AA205" s="105"/>
      <c r="AB205" s="104"/>
      <c r="AC205" s="104"/>
      <c r="AD205" s="104"/>
      <c r="AE205" s="104"/>
      <c r="AF205" s="104"/>
      <c r="AG205" s="104"/>
      <c r="AH205" s="104"/>
      <c r="AI205" s="104"/>
      <c r="AJ205" s="104"/>
      <c r="AK205" s="104"/>
      <c r="AL205" s="104"/>
      <c r="AM205" s="104"/>
      <c r="AN205" s="104"/>
      <c r="AO205" s="104"/>
      <c r="AP205" s="104"/>
      <c r="AQ205" s="104"/>
      <c r="AR205" s="104"/>
      <c r="AS205" s="104"/>
      <c r="AT205" s="104"/>
      <c r="AU205" s="104"/>
      <c r="AV205" s="104"/>
      <c r="AW205" s="104"/>
      <c r="AX205" s="104"/>
      <c r="AY205" s="104"/>
      <c r="AZ205" s="104"/>
      <c r="BA205" s="104"/>
      <c r="BB205" s="104"/>
      <c r="BC205" s="104"/>
      <c r="BD205" s="104"/>
      <c r="BE205" s="104"/>
      <c r="BF205" s="104"/>
      <c r="BG205" s="104"/>
      <c r="BH205" s="104"/>
      <c r="BI205" s="104"/>
      <c r="BJ205" s="104"/>
      <c r="BK205" s="104"/>
      <c r="BL205" s="104"/>
      <c r="BM205" s="104"/>
      <c r="BN205" s="104"/>
      <c r="BO205" s="104"/>
      <c r="BP205" s="104"/>
      <c r="BQ205" s="104"/>
      <c r="BR205" s="104"/>
      <c r="BS205" s="104"/>
      <c r="BT205" s="104"/>
      <c r="BU205" s="104"/>
      <c r="BV205" s="104"/>
      <c r="BW205" s="104"/>
      <c r="BX205" s="104"/>
      <c r="BY205" s="104"/>
      <c r="BZ205" s="104"/>
      <c r="CA205" s="104"/>
      <c r="CB205" s="104"/>
      <c r="CC205" s="104"/>
      <c r="CD205" s="104"/>
      <c r="CE205" s="104"/>
      <c r="CF205" s="104"/>
      <c r="CG205" s="104"/>
      <c r="CH205" s="104"/>
    </row>
    <row r="206" spans="1:86" x14ac:dyDescent="0.2">
      <c r="A206" s="104"/>
      <c r="B206" s="105"/>
      <c r="C206" s="104"/>
      <c r="D206" s="105"/>
      <c r="E206" s="197"/>
      <c r="F206" s="105"/>
      <c r="G206" s="105"/>
      <c r="H206" s="105"/>
      <c r="I206" s="105"/>
      <c r="J206" s="105"/>
      <c r="K206" s="105"/>
      <c r="L206" s="105"/>
      <c r="M206" s="105"/>
      <c r="N206" s="105"/>
      <c r="O206" s="105"/>
      <c r="P206" s="105"/>
      <c r="Q206" s="105"/>
      <c r="R206" s="105"/>
      <c r="S206" s="105"/>
      <c r="T206" s="105"/>
      <c r="U206" s="105"/>
      <c r="V206" s="105"/>
      <c r="W206" s="104"/>
      <c r="X206" s="213"/>
      <c r="Y206" s="105"/>
      <c r="Z206" s="105"/>
      <c r="AA206" s="105"/>
      <c r="AB206" s="105"/>
      <c r="AC206" s="104"/>
      <c r="AD206" s="104"/>
      <c r="AE206" s="104"/>
      <c r="AF206" s="104"/>
      <c r="AG206" s="104"/>
      <c r="AH206" s="104"/>
      <c r="AI206" s="104"/>
      <c r="AJ206" s="104"/>
      <c r="AK206" s="104"/>
      <c r="AL206" s="104"/>
      <c r="AM206" s="104"/>
      <c r="AN206" s="104"/>
      <c r="AO206" s="104"/>
      <c r="AP206" s="104"/>
      <c r="AQ206" s="104"/>
      <c r="AR206" s="104"/>
      <c r="AS206" s="104"/>
      <c r="AT206" s="104"/>
      <c r="AU206" s="104"/>
      <c r="AV206" s="104"/>
      <c r="AW206" s="104"/>
      <c r="AX206" s="104"/>
      <c r="AY206" s="104"/>
      <c r="AZ206" s="104"/>
      <c r="BA206" s="104"/>
      <c r="BB206" s="104"/>
      <c r="BC206" s="104"/>
      <c r="BD206" s="104"/>
      <c r="BE206" s="104"/>
      <c r="BF206" s="104"/>
      <c r="BG206" s="104"/>
      <c r="BH206" s="104"/>
      <c r="BI206" s="104"/>
      <c r="BJ206" s="104"/>
      <c r="BK206" s="104"/>
      <c r="BL206" s="104"/>
      <c r="BM206" s="104"/>
      <c r="BN206" s="104"/>
      <c r="BO206" s="104"/>
      <c r="BP206" s="104"/>
      <c r="BQ206" s="104"/>
      <c r="BR206" s="104"/>
      <c r="BS206" s="104"/>
      <c r="BT206" s="104"/>
      <c r="BU206" s="104"/>
      <c r="BV206" s="104"/>
      <c r="BW206" s="104"/>
      <c r="BX206" s="104"/>
      <c r="BY206" s="104"/>
      <c r="BZ206" s="104"/>
      <c r="CA206" s="104"/>
      <c r="CB206" s="104"/>
      <c r="CC206" s="104"/>
      <c r="CD206" s="104"/>
      <c r="CE206" s="104"/>
      <c r="CF206" s="104"/>
      <c r="CG206" s="104"/>
      <c r="CH206" s="104"/>
    </row>
  </sheetData>
  <mergeCells count="2">
    <mergeCell ref="AB7:AF7"/>
    <mergeCell ref="AB95:AF95"/>
  </mergeCells>
  <pageMargins left="0.7" right="0.7" top="0.75" bottom="0.75" header="0.3" footer="0.3"/>
  <pageSetup scale="67" fitToWidth="0" fitToHeight="2" orientation="portrait" blackAndWhite="1"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A0760-E6A9-4E8F-8EE7-771494D61B78}">
  <dimension ref="K1:V30"/>
  <sheetViews>
    <sheetView topLeftCell="G1" workbookViewId="0">
      <selection activeCell="V32" sqref="V32"/>
    </sheetView>
  </sheetViews>
  <sheetFormatPr defaultRowHeight="12.75" x14ac:dyDescent="0.2"/>
  <cols>
    <col min="11" max="11" width="11.5703125" bestFit="1" customWidth="1"/>
    <col min="12" max="12" width="17" bestFit="1" customWidth="1"/>
    <col min="13" max="13" width="21.140625" bestFit="1" customWidth="1"/>
    <col min="14" max="14" width="15.7109375" bestFit="1" customWidth="1"/>
    <col min="15" max="15" width="19.28515625" bestFit="1" customWidth="1"/>
    <col min="16" max="16" width="17.7109375" bestFit="1" customWidth="1"/>
    <col min="17" max="17" width="13.28515625" bestFit="1" customWidth="1"/>
    <col min="18" max="18" width="12.5703125" customWidth="1"/>
    <col min="19" max="19" width="16.7109375" bestFit="1" customWidth="1"/>
    <col min="20" max="20" width="15.140625" customWidth="1"/>
    <col min="21" max="21" width="10.28515625" bestFit="1" customWidth="1"/>
    <col min="22" max="22" width="8.42578125" bestFit="1" customWidth="1"/>
  </cols>
  <sheetData>
    <row r="1" spans="11:22" ht="30" x14ac:dyDescent="0.25">
      <c r="K1" s="550" t="s">
        <v>849</v>
      </c>
      <c r="L1" s="551" t="s">
        <v>72</v>
      </c>
      <c r="M1" s="551" t="s">
        <v>31</v>
      </c>
      <c r="N1" s="552" t="s">
        <v>575</v>
      </c>
      <c r="O1" s="552" t="s">
        <v>468</v>
      </c>
      <c r="P1" s="552" t="s">
        <v>667</v>
      </c>
      <c r="Q1" s="550" t="s">
        <v>25</v>
      </c>
      <c r="S1" s="550" t="s">
        <v>110</v>
      </c>
      <c r="T1" s="550"/>
      <c r="U1" s="551" t="s">
        <v>852</v>
      </c>
      <c r="V1" s="550" t="s">
        <v>853</v>
      </c>
    </row>
    <row r="2" spans="11:22" x14ac:dyDescent="0.2">
      <c r="K2" t="s">
        <v>667</v>
      </c>
      <c r="L2" s="553">
        <v>0</v>
      </c>
      <c r="M2" s="553">
        <v>0</v>
      </c>
      <c r="N2" s="553">
        <v>0</v>
      </c>
      <c r="O2" s="553">
        <v>0.15</v>
      </c>
      <c r="P2" s="553">
        <v>1</v>
      </c>
      <c r="Q2" s="553">
        <v>0</v>
      </c>
      <c r="S2" s="553">
        <v>0</v>
      </c>
      <c r="T2" s="553"/>
      <c r="V2" s="554">
        <f xml:space="preserve"> ((L2*$L$14)*2.38)/150 +((M2*$M$14)*2.38)/150 + ((N2*$N$14)*2.38)/150 + ((O2*$O$14)*2.38)/150 + ((P2*$P$14)*2.38)/150+((Q2*$Q$14)*2.38)/150 + ((R2*$R$14)*2.38)/150 + ((S2*$S$14)*2.38)/150</f>
        <v>0</v>
      </c>
    </row>
    <row r="3" spans="11:22" x14ac:dyDescent="0.2">
      <c r="K3" t="s">
        <v>850</v>
      </c>
      <c r="L3" s="553">
        <v>0</v>
      </c>
      <c r="M3" s="553">
        <v>0</v>
      </c>
      <c r="N3" s="553">
        <v>0</v>
      </c>
      <c r="O3" s="553">
        <v>0</v>
      </c>
      <c r="P3" s="553">
        <v>0</v>
      </c>
      <c r="Q3" s="553">
        <v>0</v>
      </c>
      <c r="S3" s="553">
        <v>0</v>
      </c>
      <c r="T3" s="553"/>
      <c r="V3" s="554">
        <f t="shared" ref="V3:V11" si="0" xml:space="preserve"> ((L3*$L$14)*2.38)/150 +((M3*$M$14)*2.38)/150 + ((N3*$N$14)*2.38)/150 + ((O3*$O$14)*2.38)/150 + ((P3*$P$14)*2.38)/150+((Q3*$Q$14)*2.38)/150 + ((R3*$R$14)*2.38)/150 + ((S3*$S$14)*2.38)/150</f>
        <v>0</v>
      </c>
    </row>
    <row r="4" spans="11:22" x14ac:dyDescent="0.2">
      <c r="K4" t="s">
        <v>106</v>
      </c>
      <c r="L4" s="553">
        <v>1</v>
      </c>
      <c r="M4" s="553">
        <v>0</v>
      </c>
      <c r="N4" s="553">
        <v>0</v>
      </c>
      <c r="O4" s="553">
        <v>0.3</v>
      </c>
      <c r="P4" s="553">
        <v>0</v>
      </c>
      <c r="Q4" s="553">
        <v>0</v>
      </c>
      <c r="S4" s="553">
        <v>0</v>
      </c>
      <c r="T4" s="553"/>
      <c r="V4" s="554">
        <f t="shared" si="0"/>
        <v>5.5533333333333337</v>
      </c>
    </row>
    <row r="5" spans="11:22" x14ac:dyDescent="0.2">
      <c r="K5" t="s">
        <v>107</v>
      </c>
      <c r="L5" s="553">
        <v>0</v>
      </c>
      <c r="M5" s="553">
        <v>0</v>
      </c>
      <c r="N5" s="553">
        <v>0</v>
      </c>
      <c r="O5" s="553">
        <v>0.3</v>
      </c>
      <c r="P5" s="553">
        <v>0</v>
      </c>
      <c r="Q5" s="553">
        <v>0</v>
      </c>
      <c r="S5" s="553">
        <v>0</v>
      </c>
      <c r="T5" s="553"/>
      <c r="V5" s="554">
        <f t="shared" si="0"/>
        <v>0</v>
      </c>
    </row>
    <row r="6" spans="11:22" x14ac:dyDescent="0.2">
      <c r="K6" t="s">
        <v>31</v>
      </c>
      <c r="L6" s="553">
        <v>0</v>
      </c>
      <c r="M6" s="553">
        <v>1</v>
      </c>
      <c r="N6" s="553">
        <v>0</v>
      </c>
      <c r="O6" s="553">
        <v>0</v>
      </c>
      <c r="P6" s="553">
        <v>0</v>
      </c>
      <c r="Q6" s="553">
        <v>0</v>
      </c>
      <c r="S6" s="553">
        <v>0</v>
      </c>
      <c r="T6" s="553"/>
      <c r="V6" s="554">
        <f t="shared" si="0"/>
        <v>2.8559999999999999</v>
      </c>
    </row>
    <row r="7" spans="11:22" x14ac:dyDescent="0.2">
      <c r="K7" t="s">
        <v>25</v>
      </c>
      <c r="L7" s="553">
        <v>0</v>
      </c>
      <c r="M7" s="553">
        <v>0</v>
      </c>
      <c r="N7" s="553">
        <v>1</v>
      </c>
      <c r="O7" s="553">
        <v>0.25</v>
      </c>
      <c r="P7" s="553">
        <v>0</v>
      </c>
      <c r="Q7" s="553">
        <v>1</v>
      </c>
      <c r="S7" s="553">
        <v>0</v>
      </c>
      <c r="T7" s="553"/>
      <c r="V7" s="554">
        <f t="shared" si="0"/>
        <v>9.393066666666666</v>
      </c>
    </row>
    <row r="8" spans="11:22" x14ac:dyDescent="0.2">
      <c r="K8" t="s">
        <v>454</v>
      </c>
      <c r="L8" s="553">
        <v>0</v>
      </c>
      <c r="M8" s="553">
        <v>0</v>
      </c>
      <c r="N8" s="553">
        <v>0</v>
      </c>
      <c r="O8" s="553">
        <v>0</v>
      </c>
      <c r="P8" s="553">
        <v>0</v>
      </c>
      <c r="Q8" s="553">
        <v>0</v>
      </c>
      <c r="S8" s="553">
        <v>0</v>
      </c>
      <c r="T8" s="553"/>
      <c r="V8" s="554">
        <f t="shared" si="0"/>
        <v>0</v>
      </c>
    </row>
    <row r="9" spans="11:22" x14ac:dyDescent="0.2">
      <c r="K9" t="s">
        <v>564</v>
      </c>
      <c r="L9" s="553">
        <v>0</v>
      </c>
      <c r="M9" s="553">
        <v>0</v>
      </c>
      <c r="N9" s="553">
        <v>0</v>
      </c>
      <c r="O9" s="553">
        <v>0</v>
      </c>
      <c r="P9" s="553">
        <v>0</v>
      </c>
      <c r="Q9" s="553">
        <v>0</v>
      </c>
      <c r="S9" s="553">
        <v>0</v>
      </c>
      <c r="T9" s="553"/>
      <c r="V9" s="554">
        <f t="shared" si="0"/>
        <v>0</v>
      </c>
    </row>
    <row r="10" spans="11:22" x14ac:dyDescent="0.2">
      <c r="K10" t="s">
        <v>371</v>
      </c>
      <c r="L10" s="553">
        <v>0</v>
      </c>
      <c r="M10" s="553">
        <v>0</v>
      </c>
      <c r="N10" s="553">
        <v>0</v>
      </c>
      <c r="O10" s="553">
        <v>0</v>
      </c>
      <c r="P10" s="553">
        <v>0</v>
      </c>
      <c r="Q10" s="553">
        <v>0</v>
      </c>
      <c r="S10" s="553">
        <v>0.8</v>
      </c>
      <c r="T10" s="553"/>
      <c r="V10" s="554">
        <f t="shared" si="0"/>
        <v>1.3328</v>
      </c>
    </row>
    <row r="11" spans="11:22" x14ac:dyDescent="0.2">
      <c r="K11" t="s">
        <v>854</v>
      </c>
      <c r="L11" s="553">
        <v>0</v>
      </c>
      <c r="M11" s="553">
        <v>0</v>
      </c>
      <c r="N11" s="553">
        <v>0</v>
      </c>
      <c r="O11" s="553">
        <v>0</v>
      </c>
      <c r="P11" s="553">
        <v>0</v>
      </c>
      <c r="Q11" s="553">
        <v>0</v>
      </c>
      <c r="S11" s="553">
        <v>0.2</v>
      </c>
      <c r="T11" s="553"/>
      <c r="V11" s="554">
        <f t="shared" si="0"/>
        <v>0.3332</v>
      </c>
    </row>
    <row r="12" spans="11:22" x14ac:dyDescent="0.2">
      <c r="L12" s="555">
        <f t="shared" ref="L12:N12" si="1">SUM(L2:L11)</f>
        <v>1</v>
      </c>
      <c r="M12" s="555">
        <f t="shared" si="1"/>
        <v>1</v>
      </c>
      <c r="N12" s="555">
        <f t="shared" si="1"/>
        <v>1</v>
      </c>
      <c r="O12" s="555">
        <f>SUM(O2:O11)</f>
        <v>1</v>
      </c>
      <c r="P12" s="555">
        <f t="shared" ref="P12" si="2">SUM(P2:P11)</f>
        <v>1</v>
      </c>
      <c r="Q12" s="555">
        <f>SUM(Q2:Q11)</f>
        <v>1</v>
      </c>
      <c r="S12" s="555">
        <f>SUM(S2:S11)</f>
        <v>1</v>
      </c>
      <c r="T12" s="555"/>
    </row>
    <row r="13" spans="11:22" x14ac:dyDescent="0.2">
      <c r="V13" t="s">
        <v>35</v>
      </c>
    </row>
    <row r="14" spans="11:22" x14ac:dyDescent="0.2">
      <c r="K14" t="s">
        <v>851</v>
      </c>
      <c r="L14" s="556">
        <v>350</v>
      </c>
      <c r="M14" s="556">
        <v>180</v>
      </c>
      <c r="N14" s="556">
        <v>428</v>
      </c>
      <c r="O14" s="556">
        <v>0</v>
      </c>
      <c r="P14" s="556">
        <v>0</v>
      </c>
      <c r="Q14" s="556">
        <v>164</v>
      </c>
      <c r="S14" s="557">
        <v>105</v>
      </c>
      <c r="T14" s="557"/>
      <c r="U14">
        <f>SUM(L14:S14)</f>
        <v>1227</v>
      </c>
      <c r="V14" s="554">
        <f>SUM(V2:V13)</f>
        <v>19.468399999999999</v>
      </c>
    </row>
    <row r="16" spans="11:22" x14ac:dyDescent="0.2">
      <c r="L16" s="90" t="s">
        <v>473</v>
      </c>
      <c r="M16" s="90" t="s">
        <v>472</v>
      </c>
      <c r="N16" s="90" t="s">
        <v>27</v>
      </c>
      <c r="O16" s="90" t="s">
        <v>848</v>
      </c>
      <c r="P16" t="s">
        <v>555</v>
      </c>
      <c r="Q16" s="90" t="s">
        <v>22</v>
      </c>
      <c r="R16" s="90" t="s">
        <v>94</v>
      </c>
      <c r="S16" t="s">
        <v>21</v>
      </c>
      <c r="T16" s="90" t="s">
        <v>607</v>
      </c>
      <c r="U16" s="90"/>
      <c r="V16" s="90" t="s">
        <v>853</v>
      </c>
    </row>
    <row r="17" spans="11:22" x14ac:dyDescent="0.2">
      <c r="K17" t="s">
        <v>23</v>
      </c>
      <c r="L17" s="553">
        <v>1</v>
      </c>
      <c r="M17" s="553">
        <v>1</v>
      </c>
      <c r="N17" s="553">
        <v>0</v>
      </c>
      <c r="O17" s="553">
        <v>0</v>
      </c>
      <c r="P17" s="553">
        <v>0</v>
      </c>
      <c r="Q17" s="553">
        <v>0.2</v>
      </c>
      <c r="R17" s="553">
        <v>0.15</v>
      </c>
      <c r="S17" s="553">
        <v>0.05</v>
      </c>
      <c r="T17" s="553">
        <v>0</v>
      </c>
      <c r="U17" s="553"/>
      <c r="V17" s="554">
        <f xml:space="preserve"> ((L17*$L$28)*2.38)/150 +((M17*$M$28)*2.38)/150 + ((N17*$N$28)*2.38)/150 + ((O17*$O$28)*2.38)/150 + ((P17*$P$28)*2.38)/150+((Q17*$Q$28)*2.38)/150 + ((R17*R$28)*2.38)/150 + ((S17*S$28)*2.38)/150 + ((T17*T$28)*2.38)/150</f>
        <v>10.437886666666666</v>
      </c>
    </row>
    <row r="18" spans="11:22" x14ac:dyDescent="0.2">
      <c r="K18" t="s">
        <v>26</v>
      </c>
      <c r="L18" s="553">
        <v>0</v>
      </c>
      <c r="M18" s="553">
        <v>0</v>
      </c>
      <c r="N18" s="553">
        <v>0</v>
      </c>
      <c r="O18" s="553">
        <v>0</v>
      </c>
      <c r="P18" s="553">
        <v>0</v>
      </c>
      <c r="Q18" s="553">
        <v>0.3</v>
      </c>
      <c r="R18" s="553">
        <v>0.2</v>
      </c>
      <c r="S18" s="553">
        <v>0.25</v>
      </c>
      <c r="T18" s="553">
        <v>0</v>
      </c>
      <c r="U18" s="553"/>
      <c r="V18" s="554">
        <f xml:space="preserve"> ((L18*$L$28)*2.38)/150 +((M18*$M$28)*2.38)/150 + ((N18*$N$28)*2.38)/150 + ((O18*$O$28)*2.38)/150 + ((P18*$P$28)*2.38)/150+((Q18*$Q$28)*2.38)/150 + ((R18*R$28)*2.38)/150 + ((S18*S$28)*2.38)/150 + ((T18*T$28)*2.38)/150</f>
        <v>1.8373600000000003</v>
      </c>
    </row>
    <row r="19" spans="11:22" x14ac:dyDescent="0.2">
      <c r="K19" t="s">
        <v>99</v>
      </c>
      <c r="L19" s="553">
        <v>0</v>
      </c>
      <c r="M19" s="553">
        <v>0</v>
      </c>
      <c r="N19" s="553">
        <v>0</v>
      </c>
      <c r="O19" s="553">
        <v>0</v>
      </c>
      <c r="P19" s="553">
        <v>0</v>
      </c>
      <c r="Q19" s="553">
        <v>0.05</v>
      </c>
      <c r="R19" s="553">
        <v>0.05</v>
      </c>
      <c r="S19" s="553">
        <v>0.1</v>
      </c>
      <c r="T19" s="553">
        <v>0</v>
      </c>
      <c r="U19" s="553"/>
      <c r="V19" s="554">
        <f t="shared" ref="V19:V25" si="3" xml:space="preserve"> ((L19*$L$28)*2.38)/150 +((M19*$M$28)*2.38)/150 + ((N19*$N$28)*2.38)/150 + ((O19*$O$28)*2.38)/150 + ((P19*$P$28)*2.38)/150+((Q19*$Q$28)*2.38)/150 + ((R19*R$28)*2.38)/150 + ((S19*S$28)*2.38)/150 + ((T19*T$28)*2.38)/150</f>
        <v>0.45934000000000008</v>
      </c>
    </row>
    <row r="20" spans="11:22" x14ac:dyDescent="0.2">
      <c r="K20" t="s">
        <v>70</v>
      </c>
      <c r="L20" s="553">
        <v>0</v>
      </c>
      <c r="M20" s="553">
        <v>0</v>
      </c>
      <c r="N20" s="553">
        <v>1</v>
      </c>
      <c r="O20" s="553">
        <v>1</v>
      </c>
      <c r="P20" s="553">
        <v>0</v>
      </c>
      <c r="Q20" s="553">
        <v>0.1</v>
      </c>
      <c r="R20" s="553">
        <v>0.25</v>
      </c>
      <c r="S20" s="553">
        <v>0.25</v>
      </c>
      <c r="T20" s="553">
        <v>0</v>
      </c>
      <c r="U20" s="553"/>
      <c r="V20" s="554">
        <f t="shared" si="3"/>
        <v>7.0884333333333327</v>
      </c>
    </row>
    <row r="21" spans="11:22" x14ac:dyDescent="0.2">
      <c r="K21" t="s">
        <v>24</v>
      </c>
      <c r="L21" s="553">
        <v>0</v>
      </c>
      <c r="M21" s="553">
        <v>0</v>
      </c>
      <c r="N21" s="553">
        <v>0</v>
      </c>
      <c r="O21" s="553">
        <v>0</v>
      </c>
      <c r="P21" s="553">
        <v>1</v>
      </c>
      <c r="Q21" s="553">
        <v>0.35</v>
      </c>
      <c r="R21" s="553">
        <v>0.35</v>
      </c>
      <c r="S21" s="553">
        <v>0.35</v>
      </c>
      <c r="T21" s="553">
        <v>0</v>
      </c>
      <c r="U21" s="553"/>
      <c r="V21" s="554">
        <f t="shared" si="3"/>
        <v>3.2153799999999992</v>
      </c>
    </row>
    <row r="22" spans="11:22" x14ac:dyDescent="0.2">
      <c r="K22" t="s">
        <v>95</v>
      </c>
      <c r="L22" s="553">
        <v>0</v>
      </c>
      <c r="M22" s="553">
        <v>0</v>
      </c>
      <c r="N22" s="553">
        <v>0</v>
      </c>
      <c r="O22" s="553">
        <v>0</v>
      </c>
      <c r="P22" s="553">
        <v>0</v>
      </c>
      <c r="Q22" s="553">
        <v>0</v>
      </c>
      <c r="R22" s="553">
        <v>0</v>
      </c>
      <c r="S22" s="553">
        <v>0</v>
      </c>
      <c r="T22" s="553">
        <v>0</v>
      </c>
      <c r="U22" s="553"/>
      <c r="V22" s="554">
        <f t="shared" si="3"/>
        <v>0</v>
      </c>
    </row>
    <row r="23" spans="11:22" x14ac:dyDescent="0.2">
      <c r="K23" t="s">
        <v>855</v>
      </c>
      <c r="L23" s="553">
        <v>0</v>
      </c>
      <c r="M23" s="553">
        <v>0</v>
      </c>
      <c r="N23" s="553">
        <v>0</v>
      </c>
      <c r="O23" s="553">
        <v>0</v>
      </c>
      <c r="P23" s="553">
        <v>0</v>
      </c>
      <c r="Q23" s="553">
        <v>0</v>
      </c>
      <c r="R23" s="553">
        <v>0</v>
      </c>
      <c r="S23" s="553">
        <v>0</v>
      </c>
      <c r="T23" s="553">
        <v>0</v>
      </c>
      <c r="U23" s="553"/>
      <c r="V23" s="554">
        <f t="shared" si="3"/>
        <v>0</v>
      </c>
    </row>
    <row r="24" spans="11:22" x14ac:dyDescent="0.2">
      <c r="K24" t="s">
        <v>854</v>
      </c>
      <c r="L24" s="553">
        <v>0</v>
      </c>
      <c r="M24" s="553">
        <v>0</v>
      </c>
      <c r="N24" s="553">
        <v>0</v>
      </c>
      <c r="O24" s="553">
        <v>0</v>
      </c>
      <c r="P24" s="553">
        <v>0</v>
      </c>
      <c r="Q24" s="553">
        <v>0</v>
      </c>
      <c r="R24" s="553">
        <v>0</v>
      </c>
      <c r="S24" s="553">
        <v>0</v>
      </c>
      <c r="T24" s="553">
        <v>0</v>
      </c>
      <c r="U24" s="553"/>
      <c r="V24" s="554">
        <f t="shared" si="3"/>
        <v>0</v>
      </c>
    </row>
    <row r="25" spans="11:22" x14ac:dyDescent="0.2">
      <c r="K25" t="s">
        <v>131</v>
      </c>
      <c r="L25" s="558">
        <v>0</v>
      </c>
      <c r="M25" s="558">
        <v>0</v>
      </c>
      <c r="N25" s="558">
        <v>0</v>
      </c>
      <c r="O25" s="558">
        <v>0</v>
      </c>
      <c r="P25" s="558">
        <v>0</v>
      </c>
      <c r="Q25" s="558">
        <v>0</v>
      </c>
      <c r="R25" s="558">
        <v>0</v>
      </c>
      <c r="S25" s="558">
        <v>0</v>
      </c>
      <c r="T25" s="558">
        <v>1</v>
      </c>
      <c r="U25" s="553"/>
      <c r="V25" s="554">
        <f t="shared" si="3"/>
        <v>0</v>
      </c>
    </row>
    <row r="26" spans="11:22" x14ac:dyDescent="0.2">
      <c r="L26" s="553">
        <f>SUM(L17:L25)</f>
        <v>1</v>
      </c>
      <c r="M26" s="553">
        <f t="shared" ref="M26:T26" si="4">SUM(M17:M25)</f>
        <v>1</v>
      </c>
      <c r="N26" s="553">
        <f t="shared" si="4"/>
        <v>1</v>
      </c>
      <c r="O26" s="553">
        <f t="shared" si="4"/>
        <v>1</v>
      </c>
      <c r="P26" s="553">
        <f t="shared" si="4"/>
        <v>1</v>
      </c>
      <c r="Q26" s="553">
        <f t="shared" si="4"/>
        <v>1</v>
      </c>
      <c r="R26" s="553">
        <f t="shared" si="4"/>
        <v>0.99999999999999989</v>
      </c>
      <c r="S26" s="553">
        <f t="shared" si="4"/>
        <v>1</v>
      </c>
      <c r="T26" s="553">
        <f t="shared" si="4"/>
        <v>1</v>
      </c>
    </row>
    <row r="28" spans="11:22" x14ac:dyDescent="0.2">
      <c r="K28" t="s">
        <v>851</v>
      </c>
      <c r="L28" s="556">
        <v>386</v>
      </c>
      <c r="M28" s="556">
        <v>185</v>
      </c>
      <c r="N28" s="556">
        <v>168</v>
      </c>
      <c r="O28" s="556">
        <v>134</v>
      </c>
      <c r="P28" s="556">
        <v>0</v>
      </c>
      <c r="Q28" s="557">
        <v>0</v>
      </c>
      <c r="R28" s="557">
        <v>579</v>
      </c>
      <c r="S28" s="557">
        <v>0</v>
      </c>
      <c r="T28" s="557">
        <v>0</v>
      </c>
      <c r="U28">
        <f>SUM(L28:S28)</f>
        <v>1452</v>
      </c>
      <c r="V28" s="554">
        <f>SUM(V17:V26)</f>
        <v>23.038399999999999</v>
      </c>
    </row>
    <row r="30" spans="11:22" ht="15" x14ac:dyDescent="0.25">
      <c r="U30">
        <f>U28+U14</f>
        <v>2679</v>
      </c>
      <c r="V30" s="559">
        <f>V28+V14</f>
        <v>42.506799999999998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210-6BB8-4DEE-A15A-695DE2CF410A}">
  <dimension ref="A1:O5"/>
  <sheetViews>
    <sheetView workbookViewId="0">
      <selection activeCell="L3" sqref="L3"/>
    </sheetView>
  </sheetViews>
  <sheetFormatPr defaultRowHeight="12.75" x14ac:dyDescent="0.2"/>
  <cols>
    <col min="1" max="1" width="13.85546875" bestFit="1" customWidth="1"/>
    <col min="2" max="2" width="5.7109375" bestFit="1" customWidth="1"/>
    <col min="3" max="3" width="10.7109375" bestFit="1" customWidth="1"/>
    <col min="4" max="4" width="11.140625" bestFit="1" customWidth="1"/>
    <col min="5" max="5" width="9" bestFit="1" customWidth="1"/>
    <col min="6" max="6" width="14.85546875" bestFit="1" customWidth="1"/>
    <col min="7" max="7" width="18" bestFit="1" customWidth="1"/>
    <col min="8" max="8" width="12.5703125" bestFit="1" customWidth="1"/>
    <col min="9" max="9" width="10.42578125" bestFit="1" customWidth="1"/>
    <col min="10" max="10" width="16.28515625" bestFit="1" customWidth="1"/>
    <col min="11" max="11" width="19.42578125" bestFit="1" customWidth="1"/>
    <col min="12" max="12" width="14.140625" bestFit="1" customWidth="1"/>
    <col min="13" max="13" width="10" bestFit="1" customWidth="1"/>
    <col min="14" max="14" width="11.42578125" bestFit="1" customWidth="1"/>
    <col min="15" max="15" width="8.5703125" bestFit="1" customWidth="1"/>
  </cols>
  <sheetData>
    <row r="1" spans="1:15" x14ac:dyDescent="0.2">
      <c r="A1" s="88" t="s">
        <v>856</v>
      </c>
      <c r="B1" s="88" t="s">
        <v>857</v>
      </c>
      <c r="C1" s="88" t="s">
        <v>858</v>
      </c>
      <c r="D1" s="88" t="s">
        <v>859</v>
      </c>
      <c r="E1" s="88" t="s">
        <v>860</v>
      </c>
      <c r="F1" s="88" t="s">
        <v>861</v>
      </c>
      <c r="G1" s="88" t="s">
        <v>862</v>
      </c>
      <c r="H1" s="88" t="s">
        <v>863</v>
      </c>
      <c r="I1" s="88" t="s">
        <v>864</v>
      </c>
      <c r="J1" s="88" t="s">
        <v>865</v>
      </c>
      <c r="K1" s="88" t="s">
        <v>866</v>
      </c>
      <c r="L1" s="88" t="s">
        <v>867</v>
      </c>
      <c r="M1" s="88" t="s">
        <v>868</v>
      </c>
      <c r="N1" s="88" t="s">
        <v>869</v>
      </c>
      <c r="O1" s="88" t="s">
        <v>870</v>
      </c>
    </row>
    <row r="2" spans="1:15" x14ac:dyDescent="0.2">
      <c r="A2" t="s">
        <v>22</v>
      </c>
      <c r="B2">
        <v>3</v>
      </c>
      <c r="C2">
        <v>24</v>
      </c>
      <c r="D2">
        <v>1544</v>
      </c>
      <c r="E2">
        <v>641</v>
      </c>
      <c r="F2">
        <v>902</v>
      </c>
      <c r="G2">
        <v>258</v>
      </c>
      <c r="H2" t="s">
        <v>873</v>
      </c>
      <c r="I2">
        <v>928</v>
      </c>
      <c r="J2">
        <v>615</v>
      </c>
      <c r="K2">
        <v>464</v>
      </c>
      <c r="L2" s="586">
        <v>47300</v>
      </c>
      <c r="M2">
        <v>0</v>
      </c>
      <c r="N2">
        <v>0</v>
      </c>
      <c r="O2" t="s">
        <v>872</v>
      </c>
    </row>
    <row r="3" spans="1:15" x14ac:dyDescent="0.2">
      <c r="A3" t="s">
        <v>473</v>
      </c>
      <c r="B3">
        <v>3</v>
      </c>
      <c r="C3">
        <v>24</v>
      </c>
      <c r="D3">
        <v>696</v>
      </c>
      <c r="E3">
        <v>667</v>
      </c>
      <c r="F3">
        <v>28</v>
      </c>
      <c r="G3">
        <v>282</v>
      </c>
      <c r="H3" s="586">
        <v>46874</v>
      </c>
      <c r="I3">
        <v>772</v>
      </c>
      <c r="J3">
        <v>0</v>
      </c>
      <c r="K3">
        <v>386</v>
      </c>
      <c r="L3" s="586">
        <v>46753</v>
      </c>
      <c r="M3">
        <v>254</v>
      </c>
      <c r="N3">
        <v>386</v>
      </c>
      <c r="O3" t="s">
        <v>871</v>
      </c>
    </row>
    <row r="4" spans="1:15" x14ac:dyDescent="0.2">
      <c r="A4" t="s">
        <v>26</v>
      </c>
      <c r="B4">
        <v>3</v>
      </c>
      <c r="C4">
        <v>24</v>
      </c>
      <c r="D4">
        <v>58</v>
      </c>
      <c r="E4">
        <v>299</v>
      </c>
      <c r="F4">
        <v>0</v>
      </c>
      <c r="G4">
        <v>238</v>
      </c>
      <c r="H4" s="586">
        <v>46327</v>
      </c>
      <c r="I4">
        <v>139</v>
      </c>
      <c r="J4">
        <v>0</v>
      </c>
      <c r="K4">
        <v>69</v>
      </c>
      <c r="L4" s="586">
        <v>46388</v>
      </c>
      <c r="M4">
        <v>238</v>
      </c>
      <c r="N4">
        <v>69</v>
      </c>
      <c r="O4" t="s">
        <v>871</v>
      </c>
    </row>
    <row r="5" spans="1:15" x14ac:dyDescent="0.2">
      <c r="A5" t="s">
        <v>27</v>
      </c>
      <c r="B5">
        <v>3</v>
      </c>
      <c r="C5">
        <v>24</v>
      </c>
      <c r="D5">
        <v>516</v>
      </c>
      <c r="E5">
        <v>674</v>
      </c>
      <c r="F5">
        <v>0</v>
      </c>
      <c r="G5">
        <v>424</v>
      </c>
      <c r="H5" s="586">
        <v>46692</v>
      </c>
      <c r="I5">
        <v>456</v>
      </c>
      <c r="J5">
        <v>60</v>
      </c>
      <c r="K5">
        <v>228</v>
      </c>
      <c r="L5" s="586">
        <v>46935</v>
      </c>
      <c r="M5">
        <v>424</v>
      </c>
      <c r="N5">
        <v>168</v>
      </c>
      <c r="O5" t="s">
        <v>872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D18E8-DF34-452A-88A6-826941FF39FB}">
  <dimension ref="A1:O3"/>
  <sheetViews>
    <sheetView workbookViewId="0">
      <selection activeCell="L3" sqref="L3"/>
    </sheetView>
  </sheetViews>
  <sheetFormatPr defaultRowHeight="12.75" x14ac:dyDescent="0.2"/>
  <cols>
    <col min="1" max="1" width="11.5703125" bestFit="1" customWidth="1"/>
    <col min="2" max="2" width="5.7109375" bestFit="1" customWidth="1"/>
    <col min="3" max="3" width="10.7109375" bestFit="1" customWidth="1"/>
    <col min="4" max="4" width="11.140625" bestFit="1" customWidth="1"/>
    <col min="5" max="5" width="9" bestFit="1" customWidth="1"/>
    <col min="6" max="6" width="14.85546875" bestFit="1" customWidth="1"/>
    <col min="7" max="7" width="18" bestFit="1" customWidth="1"/>
    <col min="8" max="8" width="12.5703125" bestFit="1" customWidth="1"/>
    <col min="9" max="9" width="10.42578125" bestFit="1" customWidth="1"/>
    <col min="10" max="10" width="16.28515625" bestFit="1" customWidth="1"/>
    <col min="11" max="11" width="19.42578125" bestFit="1" customWidth="1"/>
    <col min="12" max="12" width="14.140625" bestFit="1" customWidth="1"/>
    <col min="13" max="13" width="10" bestFit="1" customWidth="1"/>
    <col min="14" max="14" width="11.42578125" bestFit="1" customWidth="1"/>
    <col min="15" max="15" width="8.140625" bestFit="1" customWidth="1"/>
  </cols>
  <sheetData>
    <row r="1" spans="1:15" x14ac:dyDescent="0.2">
      <c r="A1" s="88" t="s">
        <v>856</v>
      </c>
      <c r="B1" s="88" t="s">
        <v>857</v>
      </c>
      <c r="C1" s="88" t="s">
        <v>858</v>
      </c>
      <c r="D1" s="88" t="s">
        <v>859</v>
      </c>
      <c r="E1" s="88" t="s">
        <v>860</v>
      </c>
      <c r="F1" s="88" t="s">
        <v>861</v>
      </c>
      <c r="G1" s="88" t="s">
        <v>862</v>
      </c>
      <c r="H1" s="88" t="s">
        <v>863</v>
      </c>
      <c r="I1" s="88" t="s">
        <v>864</v>
      </c>
      <c r="J1" s="88" t="s">
        <v>865</v>
      </c>
      <c r="K1" s="88" t="s">
        <v>866</v>
      </c>
      <c r="L1" s="88" t="s">
        <v>867</v>
      </c>
      <c r="M1" s="88" t="s">
        <v>868</v>
      </c>
      <c r="N1" s="88" t="s">
        <v>869</v>
      </c>
      <c r="O1" s="88" t="s">
        <v>870</v>
      </c>
    </row>
    <row r="2" spans="1:15" x14ac:dyDescent="0.2">
      <c r="A2" t="s">
        <v>25</v>
      </c>
      <c r="B2">
        <v>2</v>
      </c>
      <c r="C2">
        <v>18</v>
      </c>
      <c r="D2">
        <v>653</v>
      </c>
      <c r="E2">
        <v>393</v>
      </c>
      <c r="F2">
        <v>259</v>
      </c>
      <c r="G2">
        <v>226</v>
      </c>
      <c r="H2" s="586">
        <v>47058</v>
      </c>
      <c r="I2">
        <v>490</v>
      </c>
      <c r="J2">
        <v>162</v>
      </c>
      <c r="K2">
        <v>327</v>
      </c>
      <c r="L2" s="586">
        <v>46813</v>
      </c>
      <c r="M2">
        <v>0</v>
      </c>
      <c r="N2">
        <v>164</v>
      </c>
      <c r="O2" t="s">
        <v>872</v>
      </c>
    </row>
    <row r="3" spans="1:15" x14ac:dyDescent="0.2">
      <c r="A3" t="s">
        <v>31</v>
      </c>
      <c r="B3">
        <v>2</v>
      </c>
      <c r="C3">
        <v>18</v>
      </c>
      <c r="D3">
        <v>492</v>
      </c>
      <c r="E3">
        <v>231</v>
      </c>
      <c r="F3">
        <v>260</v>
      </c>
      <c r="G3">
        <v>147</v>
      </c>
      <c r="H3" s="586">
        <v>47331</v>
      </c>
      <c r="I3">
        <v>403</v>
      </c>
      <c r="J3">
        <v>88</v>
      </c>
      <c r="K3">
        <v>269</v>
      </c>
      <c r="L3" s="586">
        <v>46753</v>
      </c>
      <c r="M3">
        <v>0</v>
      </c>
      <c r="N3">
        <v>180</v>
      </c>
      <c r="O3" t="s">
        <v>872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AF83-9677-4612-91B1-C24A7F387FDB}">
  <dimension ref="A1:O6"/>
  <sheetViews>
    <sheetView tabSelected="1" workbookViewId="0">
      <selection activeCell="L3" sqref="L3"/>
    </sheetView>
  </sheetViews>
  <sheetFormatPr defaultRowHeight="12.75" x14ac:dyDescent="0.2"/>
  <cols>
    <col min="1" max="1" width="19.5703125" bestFit="1" customWidth="1"/>
    <col min="2" max="2" width="5.7109375" bestFit="1" customWidth="1"/>
    <col min="3" max="3" width="10.7109375" bestFit="1" customWidth="1"/>
    <col min="4" max="4" width="11.140625" bestFit="1" customWidth="1"/>
    <col min="5" max="5" width="9" bestFit="1" customWidth="1"/>
    <col min="6" max="6" width="14.85546875" bestFit="1" customWidth="1"/>
    <col min="7" max="7" width="18" bestFit="1" customWidth="1"/>
    <col min="8" max="8" width="12.5703125" bestFit="1" customWidth="1"/>
    <col min="9" max="9" width="10.42578125" bestFit="1" customWidth="1"/>
    <col min="10" max="10" width="16.28515625" bestFit="1" customWidth="1"/>
    <col min="11" max="11" width="19.42578125" bestFit="1" customWidth="1"/>
    <col min="12" max="12" width="14.140625" bestFit="1" customWidth="1"/>
    <col min="13" max="13" width="10" bestFit="1" customWidth="1"/>
    <col min="14" max="14" width="11.42578125" bestFit="1" customWidth="1"/>
    <col min="15" max="15" width="8.5703125" bestFit="1" customWidth="1"/>
  </cols>
  <sheetData>
    <row r="1" spans="1:15" x14ac:dyDescent="0.2">
      <c r="A1" s="88" t="s">
        <v>856</v>
      </c>
      <c r="B1" s="88" t="s">
        <v>857</v>
      </c>
      <c r="C1" s="88" t="s">
        <v>858</v>
      </c>
      <c r="D1" s="88" t="s">
        <v>859</v>
      </c>
      <c r="E1" s="88" t="s">
        <v>860</v>
      </c>
      <c r="F1" s="88" t="s">
        <v>861</v>
      </c>
      <c r="G1" s="88" t="s">
        <v>862</v>
      </c>
      <c r="H1" s="88" t="s">
        <v>863</v>
      </c>
      <c r="I1" s="88" t="s">
        <v>864</v>
      </c>
      <c r="J1" s="88" t="s">
        <v>865</v>
      </c>
      <c r="K1" s="88" t="s">
        <v>866</v>
      </c>
      <c r="L1" s="88" t="s">
        <v>867</v>
      </c>
      <c r="M1" s="88" t="s">
        <v>868</v>
      </c>
      <c r="N1" s="88" t="s">
        <v>869</v>
      </c>
      <c r="O1" s="88" t="s">
        <v>870</v>
      </c>
    </row>
    <row r="2" spans="1:15" x14ac:dyDescent="0.2">
      <c r="A2" t="s">
        <v>575</v>
      </c>
      <c r="B2">
        <v>1</v>
      </c>
      <c r="C2">
        <v>12</v>
      </c>
      <c r="D2">
        <v>50</v>
      </c>
      <c r="E2">
        <v>443</v>
      </c>
      <c r="F2">
        <v>0</v>
      </c>
      <c r="G2">
        <v>565</v>
      </c>
      <c r="H2" s="586">
        <v>46113</v>
      </c>
      <c r="I2">
        <v>428</v>
      </c>
      <c r="J2">
        <v>0</v>
      </c>
      <c r="K2">
        <v>428</v>
      </c>
      <c r="L2" s="586">
        <v>46143</v>
      </c>
      <c r="M2">
        <v>565</v>
      </c>
      <c r="N2">
        <v>428</v>
      </c>
      <c r="O2" t="s">
        <v>871</v>
      </c>
    </row>
    <row r="3" spans="1:15" x14ac:dyDescent="0.2">
      <c r="A3" t="s">
        <v>614</v>
      </c>
      <c r="B3">
        <v>1</v>
      </c>
      <c r="C3">
        <v>12</v>
      </c>
      <c r="D3">
        <v>0</v>
      </c>
      <c r="E3">
        <v>0</v>
      </c>
      <c r="F3">
        <v>0</v>
      </c>
      <c r="G3">
        <v>0</v>
      </c>
      <c r="H3" s="586">
        <v>46113</v>
      </c>
      <c r="I3">
        <v>0</v>
      </c>
      <c r="J3">
        <v>0</v>
      </c>
      <c r="K3">
        <v>0</v>
      </c>
      <c r="L3" s="586">
        <v>46113</v>
      </c>
      <c r="M3">
        <v>0</v>
      </c>
      <c r="N3">
        <v>0</v>
      </c>
      <c r="O3" t="s">
        <v>872</v>
      </c>
    </row>
    <row r="4" spans="1:15" x14ac:dyDescent="0.2">
      <c r="A4" t="s">
        <v>72</v>
      </c>
      <c r="B4">
        <v>1</v>
      </c>
      <c r="C4">
        <v>12</v>
      </c>
      <c r="D4">
        <v>340</v>
      </c>
      <c r="E4">
        <v>373</v>
      </c>
      <c r="F4">
        <v>0</v>
      </c>
      <c r="G4">
        <v>407</v>
      </c>
      <c r="H4" s="586">
        <v>46447</v>
      </c>
      <c r="I4">
        <v>350</v>
      </c>
      <c r="J4">
        <v>0</v>
      </c>
      <c r="K4">
        <v>350</v>
      </c>
      <c r="L4" s="586">
        <v>46447</v>
      </c>
      <c r="M4">
        <v>407</v>
      </c>
      <c r="N4">
        <v>350</v>
      </c>
      <c r="O4" t="s">
        <v>871</v>
      </c>
    </row>
    <row r="5" spans="1:15" x14ac:dyDescent="0.2">
      <c r="A5" t="s">
        <v>110</v>
      </c>
      <c r="B5">
        <v>1</v>
      </c>
      <c r="C5">
        <v>12</v>
      </c>
      <c r="D5">
        <v>367</v>
      </c>
      <c r="E5">
        <v>142</v>
      </c>
      <c r="F5">
        <v>224</v>
      </c>
      <c r="G5">
        <v>122</v>
      </c>
      <c r="H5" s="586">
        <v>47150</v>
      </c>
      <c r="I5">
        <v>236</v>
      </c>
      <c r="J5">
        <v>130</v>
      </c>
      <c r="K5">
        <v>236</v>
      </c>
      <c r="L5" s="586">
        <v>46661</v>
      </c>
      <c r="M5">
        <v>0</v>
      </c>
      <c r="N5">
        <v>105</v>
      </c>
      <c r="O5" t="s">
        <v>872</v>
      </c>
    </row>
    <row r="6" spans="1:15" x14ac:dyDescent="0.2">
      <c r="A6" t="s">
        <v>468</v>
      </c>
      <c r="B6">
        <v>1</v>
      </c>
      <c r="C6">
        <v>12</v>
      </c>
      <c r="D6">
        <v>302</v>
      </c>
      <c r="E6">
        <v>117</v>
      </c>
      <c r="F6">
        <v>184</v>
      </c>
      <c r="G6">
        <v>105</v>
      </c>
      <c r="H6" s="586">
        <v>47088</v>
      </c>
      <c r="I6">
        <v>126</v>
      </c>
      <c r="J6">
        <v>176</v>
      </c>
      <c r="K6">
        <v>126</v>
      </c>
      <c r="L6" s="586">
        <v>46966</v>
      </c>
      <c r="M6">
        <v>0</v>
      </c>
      <c r="N6">
        <v>0</v>
      </c>
      <c r="O6" t="s">
        <v>872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64C7EA3CFCAC4E83EF344FE90C0BE5" ma:contentTypeVersion="15" ma:contentTypeDescription="Create a new document." ma:contentTypeScope="" ma:versionID="83e72a9789802c2f05260e9eee046805">
  <xsd:schema xmlns:xsd="http://www.w3.org/2001/XMLSchema" xmlns:xs="http://www.w3.org/2001/XMLSchema" xmlns:p="http://schemas.microsoft.com/office/2006/metadata/properties" xmlns:ns2="d01b4bc4-674c-423d-914c-2d261382b3bc" xmlns:ns3="ba7f4f93-fc55-4ef4-b0e4-601c1ef149e6" targetNamespace="http://schemas.microsoft.com/office/2006/metadata/properties" ma:root="true" ma:fieldsID="723e425199d17bb9a0fcdf9786b85431" ns2:_="" ns3:_="">
    <xsd:import namespace="d01b4bc4-674c-423d-914c-2d261382b3bc"/>
    <xsd:import namespace="ba7f4f93-fc55-4ef4-b0e4-601c1ef149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1b4bc4-674c-423d-914c-2d261382b3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4c7ac21-3a28-46c7-9254-38c7245e81b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a7f4f93-fc55-4ef4-b0e4-601c1ef149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0661cae-373a-4e30-85ab-5b126e0cf8ad}" ma:internalName="TaxCatchAll" ma:showField="CatchAllData" ma:web="ba7f4f93-fc55-4ef4-b0e4-601c1ef149e6">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a7f4f93-fc55-4ef4-b0e4-601c1ef149e6" xsi:nil="true"/>
    <lcf76f155ced4ddcb4097134ff3c332f xmlns="d01b4bc4-674c-423d-914c-2d261382b3b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EA2D35-88CD-4969-8BB2-0F199EC6B7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1b4bc4-674c-423d-914c-2d261382b3bc"/>
    <ds:schemaRef ds:uri="ba7f4f93-fc55-4ef4-b0e4-601c1ef149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6C55019-0343-42C2-B42A-6C7A59BBFB34}">
  <ds:schemaRefs>
    <ds:schemaRef ds:uri="http://schemas.microsoft.com/office/2006/metadata/properties"/>
    <ds:schemaRef ds:uri="http://schemas.microsoft.com/office/infopath/2007/PartnerControls"/>
    <ds:schemaRef ds:uri="ba7f4f93-fc55-4ef4-b0e4-601c1ef149e6"/>
    <ds:schemaRef ds:uri="d01b4bc4-674c-423d-914c-2d261382b3bc"/>
  </ds:schemaRefs>
</ds:datastoreItem>
</file>

<file path=customXml/itemProps3.xml><?xml version="1.0" encoding="utf-8"?>
<ds:datastoreItem xmlns:ds="http://schemas.openxmlformats.org/officeDocument/2006/customXml" ds:itemID="{DA373580-091F-4C3A-B8AB-D23C07D266F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2</vt:i4>
      </vt:variant>
    </vt:vector>
  </HeadingPairs>
  <TitlesOfParts>
    <vt:vector size="25" baseType="lpstr">
      <vt:lpstr>2009</vt:lpstr>
      <vt:lpstr>2010</vt:lpstr>
      <vt:lpstr>hp</vt:lpstr>
      <vt:lpstr>2013</vt:lpstr>
      <vt:lpstr>2011</vt:lpstr>
      <vt:lpstr>2014</vt:lpstr>
      <vt:lpstr>2015</vt:lpstr>
      <vt:lpstr>2015 Tasting Room and Bulk Wine</vt:lpstr>
      <vt:lpstr>2016</vt:lpstr>
      <vt:lpstr>2017</vt:lpstr>
      <vt:lpstr>2018</vt:lpstr>
      <vt:lpstr>2019</vt:lpstr>
      <vt:lpstr>2020</vt:lpstr>
      <vt:lpstr>2021</vt:lpstr>
      <vt:lpstr>2022</vt:lpstr>
      <vt:lpstr>2023</vt:lpstr>
      <vt:lpstr>2024</vt:lpstr>
      <vt:lpstr>2025</vt:lpstr>
      <vt:lpstr>2026</vt:lpstr>
      <vt:lpstr>Crush_Calculator</vt:lpstr>
      <vt:lpstr>Class3_MRP</vt:lpstr>
      <vt:lpstr>Class2_MRP</vt:lpstr>
      <vt:lpstr>Class1_MRP</vt:lpstr>
      <vt:lpstr>'2010'!Print_Area</vt:lpstr>
      <vt:lpstr>'2019'!Print_Area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Ashton Lough</dc:creator>
  <cp:keywords/>
  <dc:description/>
  <cp:lastModifiedBy>Likith Reddy</cp:lastModifiedBy>
  <cp:revision/>
  <dcterms:created xsi:type="dcterms:W3CDTF">2007-08-31T21:08:41Z</dcterms:created>
  <dcterms:modified xsi:type="dcterms:W3CDTF">2026-04-23T11:39:13Z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0x0101000A64C7EA3CFCAC4E83EF344FE90C0BE5</vt:lpwstr>
  </property>
  <property fmtid="{D5CDD505-2E9C-101B-9397-08002B2CF9AE}" pid="3" name="MediaServiceImageTags">
    <vt:lpwstr/>
  </property>
</Properties>
</file>